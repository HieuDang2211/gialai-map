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Danh sách kiểm tra" sheetId="2" state="visible" r:id="rId2"/>
    <sheet xmlns:r="http://schemas.openxmlformats.org/officeDocument/2006/relationships" name="Tổng hợp" sheetId="3" state="visible" r:id="rId3"/>
  </sheets>
  <definedNames>
    <definedName name="_xlnm._FilterDatabase" localSheetId="1" hidden="1">'Danh sách kiểm tra'!$A$4:$V$152</definedName>
    <definedName name="_xlnm.Print_Titles" localSheetId="1">'Danh sách kiểm tra'!$4:$4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dd/mm/yyyy"/>
  </numFmts>
  <fonts count="10">
    <font>
      <name val="Calibri"/>
      <family val="2"/>
      <color theme="1"/>
      <sz val="11"/>
      <scheme val="minor"/>
    </font>
    <font>
      <name val="Arial"/>
      <b val="1"/>
      <color rgb="000F766E"/>
      <sz val="14"/>
    </font>
    <font>
      <name val="Arial"/>
      <i val="1"/>
      <color rgb="00475569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1D4ED8"/>
      <sz val="10"/>
      <u val="single"/>
    </font>
    <font>
      <name val="Arial"/>
      <b val="1"/>
      <sz val="10"/>
    </font>
    <font>
      <name val="Arial"/>
      <b val="1"/>
      <color rgb="000F766E"/>
      <sz val="13"/>
    </font>
    <font>
      <name val="Arial"/>
      <color rgb="00000000"/>
      <sz val="10"/>
    </font>
    <font>
      <name val="Arial"/>
      <b val="1"/>
      <color rgb="000F766E"/>
      <sz val="11"/>
    </font>
  </fonts>
  <fills count="6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B45309"/>
      </patternFill>
    </fill>
    <fill>
      <patternFill patternType="solid">
        <fgColor rgb="00334155"/>
      </patternFill>
    </fill>
    <fill>
      <patternFill patternType="solid">
        <fgColor rgb="00FFFBEB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4" fillId="5" borderId="1" pivotButton="0" quotePrefix="0" xfId="0"/>
    <xf numFmtId="164" fontId="4" fillId="5" borderId="1" pivotButton="0" quotePrefix="0" xfId="0"/>
    <xf numFmtId="165" fontId="4" fillId="5" borderId="1" pivotButton="0" quotePrefix="0" xfId="0"/>
    <xf numFmtId="3" fontId="4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4" fillId="0" borderId="1" pivotButton="0" quotePrefix="0" xfId="0"/>
    <xf numFmtId="9" fontId="4" fillId="0" borderId="1" pivotButton="0" quotePrefix="0" xfId="0"/>
    <xf numFmtId="9" fontId="0" fillId="0" borderId="1" pivotButton="0" quotePrefix="0" xfId="0"/>
  </cellXfs>
  <cellStyles count="1">
    <cellStyle name="Normal" xfId="0" builtinId="0" hidden="0"/>
  </cellStyles>
  <dxfs count="2">
    <dxf>
      <font>
        <name val="Arial"/>
        <b val="1"/>
        <color rgb="0015803D"/>
      </font>
      <fill>
        <patternFill patternType="solid">
          <fgColor rgb="00DCFCE7"/>
        </patternFill>
      </fill>
    </dxf>
    <dxf>
      <font>
        <name val="Arial"/>
        <b val="1"/>
        <color rgb="00B91C1C"/>
      </font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openstreetmap.org/?mlat=14.061869&amp;mlon=108.009918#map=18/14.061869/108.009918" TargetMode="External" Id="rId1"/><Relationship Type="http://schemas.openxmlformats.org/officeDocument/2006/relationships/hyperlink" Target="https://www.openstreetmap.org/?mlat=14.056879&amp;mlon=108.003073#map=18/14.056879/108.003073" TargetMode="External" Id="rId2"/><Relationship Type="http://schemas.openxmlformats.org/officeDocument/2006/relationships/hyperlink" Target="https://www.openstreetmap.org/?mlat=13.971800&amp;mlon=108.042300#map=18/13.971800/108.042300" TargetMode="External" Id="rId3"/><Relationship Type="http://schemas.openxmlformats.org/officeDocument/2006/relationships/hyperlink" Target="https://www.openstreetmap.org/?mlat=13.984145&amp;mlon=107.993733#map=18/13.984145/107.993733" TargetMode="External" Id="rId4"/><Relationship Type="http://schemas.openxmlformats.org/officeDocument/2006/relationships/hyperlink" Target="https://www.openstreetmap.org/?mlat=13.964108&amp;mlon=107.988214#map=18/13.964108/107.988214" TargetMode="External" Id="rId5"/><Relationship Type="http://schemas.openxmlformats.org/officeDocument/2006/relationships/hyperlink" Target="https://www.openstreetmap.org/?mlat=13.978780&amp;mlon=107.997549#map=18/13.978780/107.997549" TargetMode="External" Id="rId6"/><Relationship Type="http://schemas.openxmlformats.org/officeDocument/2006/relationships/hyperlink" Target="https://www.openstreetmap.org/?mlat=13.954041&amp;mlon=108.014269#map=18/13.954041/108.014269" TargetMode="External" Id="rId7"/><Relationship Type="http://schemas.openxmlformats.org/officeDocument/2006/relationships/hyperlink" Target="https://www.openstreetmap.org/?mlat=13.988266&amp;mlon=108.011451#map=18/13.988266/108.011451" TargetMode="External" Id="rId8"/><Relationship Type="http://schemas.openxmlformats.org/officeDocument/2006/relationships/hyperlink" Target="https://www.openstreetmap.org/?mlat=13.997023&amp;mlon=107.998083#map=18/13.997023/107.998083" TargetMode="External" Id="rId9"/><Relationship Type="http://schemas.openxmlformats.org/officeDocument/2006/relationships/hyperlink" Target="https://www.openstreetmap.org/?mlat=14.036034&amp;mlon=108.012214#map=18/14.036034/108.012214" TargetMode="External" Id="rId10"/><Relationship Type="http://schemas.openxmlformats.org/officeDocument/2006/relationships/hyperlink" Target="https://www.openstreetmap.org/?mlat=13.980900&amp;mlon=108.021500#map=18/13.980900/108.021500" TargetMode="External" Id="rId11"/><Relationship Type="http://schemas.openxmlformats.org/officeDocument/2006/relationships/hyperlink" Target="https://www.openstreetmap.org/?mlat=13.972151&amp;mlon=108.022385#map=18/13.972151/108.022385" TargetMode="External" Id="rId12"/><Relationship Type="http://schemas.openxmlformats.org/officeDocument/2006/relationships/hyperlink" Target="https://www.openstreetmap.org/?mlat=14.034813&amp;mlon=107.996807#map=18/14.034813/107.996807" TargetMode="External" Id="rId13"/><Relationship Type="http://schemas.openxmlformats.org/officeDocument/2006/relationships/hyperlink" Target="https://www.openstreetmap.org/?mlat=13.985172&amp;mlon=108.018771#map=18/13.985172/108.018771" TargetMode="External" Id="rId14"/><Relationship Type="http://schemas.openxmlformats.org/officeDocument/2006/relationships/hyperlink" Target="https://www.openstreetmap.org/?mlat=13.972590&amp;mlon=108.031853#map=18/13.972590/108.031853" TargetMode="External" Id="rId15"/><Relationship Type="http://schemas.openxmlformats.org/officeDocument/2006/relationships/hyperlink" Target="https://www.openstreetmap.org/?mlat=13.974527&amp;mlon=107.998111#map=18/13.974527/107.998111" TargetMode="External" Id="rId16"/><Relationship Type="http://schemas.openxmlformats.org/officeDocument/2006/relationships/hyperlink" Target="https://www.openstreetmap.org/?mlat=13.950515&amp;mlon=108.014056#map=18/13.950515/108.014056" TargetMode="External" Id="rId17"/><Relationship Type="http://schemas.openxmlformats.org/officeDocument/2006/relationships/hyperlink" Target="https://www.openstreetmap.org/?mlat=13.910494&amp;mlon=108.009658#map=18/13.910494/108.009658" TargetMode="External" Id="rId18"/><Relationship Type="http://schemas.openxmlformats.org/officeDocument/2006/relationships/hyperlink" Target="https://www.openstreetmap.org/?mlat=13.967844&amp;mlon=108.016891#map=18/13.967844/108.016891" TargetMode="External" Id="rId19"/><Relationship Type="http://schemas.openxmlformats.org/officeDocument/2006/relationships/hyperlink" Target="https://www.openstreetmap.org/?mlat=13.984357&amp;mlon=108.008750#map=18/13.984357/108.008750" TargetMode="External" Id="rId20"/><Relationship Type="http://schemas.openxmlformats.org/officeDocument/2006/relationships/hyperlink" Target="https://www.openstreetmap.org/?mlat=13.994021&amp;mlon=108.001402#map=18/13.994021/108.001402" TargetMode="External" Id="rId21"/><Relationship Type="http://schemas.openxmlformats.org/officeDocument/2006/relationships/hyperlink" Target="https://www.openstreetmap.org/?mlat=13.979300&amp;mlon=108.012500#map=18/13.979300/108.012500" TargetMode="External" Id="rId22"/><Relationship Type="http://schemas.openxmlformats.org/officeDocument/2006/relationships/hyperlink" Target="https://www.openstreetmap.org/?mlat=13.983700&amp;mlon=108.034500#map=18/13.983700/108.034500" TargetMode="External" Id="rId23"/><Relationship Type="http://schemas.openxmlformats.org/officeDocument/2006/relationships/hyperlink" Target="https://www.openstreetmap.org/?mlat=13.964964&amp;mlon=108.006275#map=18/13.964964/108.006275" TargetMode="External" Id="rId24"/><Relationship Type="http://schemas.openxmlformats.org/officeDocument/2006/relationships/hyperlink" Target="https://www.openstreetmap.org/?mlat=13.976400&amp;mlon=108.008200#map=18/13.976400/108.008200" TargetMode="External" Id="rId25"/><Relationship Type="http://schemas.openxmlformats.org/officeDocument/2006/relationships/hyperlink" Target="https://www.openstreetmap.org/?mlat=13.987300&amp;mlon=108.015800#map=18/13.987300/108.015800" TargetMode="External" Id="rId26"/><Relationship Type="http://schemas.openxmlformats.org/officeDocument/2006/relationships/hyperlink" Target="https://www.openstreetmap.org/?mlat=13.985600&amp;mlon=108.009800#map=18/13.985600/108.009800" TargetMode="External" Id="rId27"/><Relationship Type="http://schemas.openxmlformats.org/officeDocument/2006/relationships/hyperlink" Target="https://www.openstreetmap.org/?mlat=13.977032&amp;mlon=108.000195#map=18/13.977032/108.000195" TargetMode="External" Id="rId28"/><Relationship Type="http://schemas.openxmlformats.org/officeDocument/2006/relationships/hyperlink" Target="https://www.openstreetmap.org/?mlat=13.977277&amp;mlon=107.992914#map=18/13.977277/107.992914" TargetMode="External" Id="rId29"/><Relationship Type="http://schemas.openxmlformats.org/officeDocument/2006/relationships/hyperlink" Target="https://www.openstreetmap.org/?mlat=13.940143&amp;mlon=108.010153#map=18/13.940143/108.010153" TargetMode="External" Id="rId30"/><Relationship Type="http://schemas.openxmlformats.org/officeDocument/2006/relationships/hyperlink" Target="https://www.openstreetmap.org/?mlat=13.959062&amp;mlon=108.016094#map=18/13.959062/108.016094" TargetMode="External" Id="rId31"/><Relationship Type="http://schemas.openxmlformats.org/officeDocument/2006/relationships/hyperlink" Target="https://www.openstreetmap.org/?mlat=13.938404&amp;mlon=108.009280#map=18/13.938404/108.009280" TargetMode="External" Id="rId32"/><Relationship Type="http://schemas.openxmlformats.org/officeDocument/2006/relationships/hyperlink" Target="https://www.openstreetmap.org/?mlat=13.902620&amp;mlon=108.017526#map=18/13.902620/108.017526" TargetMode="External" Id="rId33"/><Relationship Type="http://schemas.openxmlformats.org/officeDocument/2006/relationships/hyperlink" Target="https://www.openstreetmap.org/?mlat=13.906643&amp;mlon=108.015942#map=18/13.906643/108.015942" TargetMode="External" Id="rId34"/><Relationship Type="http://schemas.openxmlformats.org/officeDocument/2006/relationships/hyperlink" Target="https://www.openstreetmap.org/?mlat=13.924707&amp;mlon=108.006163#map=18/13.924707/108.006163" TargetMode="External" Id="rId35"/><Relationship Type="http://schemas.openxmlformats.org/officeDocument/2006/relationships/hyperlink" Target="https://www.openstreetmap.org/?mlat=13.957503&amp;mlon=108.015526#map=18/13.957503/108.015526" TargetMode="External" Id="rId36"/><Relationship Type="http://schemas.openxmlformats.org/officeDocument/2006/relationships/hyperlink" Target="https://www.openstreetmap.org/?mlat=13.914047&amp;mlon=108.005668#map=18/13.914047/108.005668" TargetMode="External" Id="rId37"/><Relationship Type="http://schemas.openxmlformats.org/officeDocument/2006/relationships/hyperlink" Target="https://www.openstreetmap.org/?mlat=13.929572&amp;mlon=108.007448#map=18/13.929572/108.007448" TargetMode="External" Id="rId38"/><Relationship Type="http://schemas.openxmlformats.org/officeDocument/2006/relationships/hyperlink" Target="https://www.openstreetmap.org/?mlat=13.947055&amp;mlon=108.011929#map=18/13.947055/108.011929" TargetMode="External" Id="rId39"/><Relationship Type="http://schemas.openxmlformats.org/officeDocument/2006/relationships/hyperlink" Target="https://www.openstreetmap.org/?mlat=13.978069&amp;mlon=108.025781#map=18/13.978069/108.025781" TargetMode="External" Id="rId40"/><Relationship Type="http://schemas.openxmlformats.org/officeDocument/2006/relationships/hyperlink" Target="https://www.openstreetmap.org/?mlat=13.991702&amp;mlon=108.002739#map=18/13.991702/108.002739" TargetMode="External" Id="rId41"/><Relationship Type="http://schemas.openxmlformats.org/officeDocument/2006/relationships/hyperlink" Target="https://www.openstreetmap.org/?mlat=13.993392&amp;mlon=108.000955#map=18/13.993392/108.000955" TargetMode="External" Id="rId42"/><Relationship Type="http://schemas.openxmlformats.org/officeDocument/2006/relationships/hyperlink" Target="https://www.openstreetmap.org/?mlat=14.015716&amp;mlon=107.991876#map=18/14.015716/107.991876" TargetMode="External" Id="rId43"/><Relationship Type="http://schemas.openxmlformats.org/officeDocument/2006/relationships/hyperlink" Target="https://www.openstreetmap.org/?mlat=14.041971&amp;mlon=107.987605#map=18/14.041971/107.987605" TargetMode="External" Id="rId44"/><Relationship Type="http://schemas.openxmlformats.org/officeDocument/2006/relationships/hyperlink" Target="https://www.openstreetmap.org/?mlat=14.034438&amp;mlon=107.988002#map=18/14.034438/107.988002" TargetMode="External" Id="rId45"/><Relationship Type="http://schemas.openxmlformats.org/officeDocument/2006/relationships/hyperlink" Target="https://www.openstreetmap.org/?mlat=14.027680&amp;mlon=107.989579#map=18/14.027680/107.989579" TargetMode="External" Id="rId46"/><Relationship Type="http://schemas.openxmlformats.org/officeDocument/2006/relationships/hyperlink" Target="https://www.openstreetmap.org/?mlat=14.089625&amp;mlon=107.981072#map=18/14.089625/107.981072" TargetMode="External" Id="rId47"/><Relationship Type="http://schemas.openxmlformats.org/officeDocument/2006/relationships/hyperlink" Target="https://www.openstreetmap.org/?mlat=14.046784&amp;mlon=108.025730#map=18/14.046784/108.025730" TargetMode="External" Id="rId48"/><Relationship Type="http://schemas.openxmlformats.org/officeDocument/2006/relationships/hyperlink" Target="https://www.openstreetmap.org/?mlat=14.092750&amp;mlon=107.978184#map=18/14.092750/107.978184" TargetMode="External" Id="rId49"/><Relationship Type="http://schemas.openxmlformats.org/officeDocument/2006/relationships/hyperlink" Target="https://www.openstreetmap.org/?mlat=14.080199&amp;mlon=107.988099#map=18/14.080199/107.988099" TargetMode="External" Id="rId50"/><Relationship Type="http://schemas.openxmlformats.org/officeDocument/2006/relationships/hyperlink" Target="https://www.openstreetmap.org/?mlat=13.919783&amp;mlon=108.004922#map=18/13.919783/108.004922" TargetMode="External" Id="rId51"/><Relationship Type="http://schemas.openxmlformats.org/officeDocument/2006/relationships/hyperlink" Target="https://www.openstreetmap.org/?mlat=14.046859&amp;mlon=107.996007#map=18/14.046859/107.996007" TargetMode="External" Id="rId52"/><Relationship Type="http://schemas.openxmlformats.org/officeDocument/2006/relationships/hyperlink" Target="https://www.openstreetmap.org/?mlat=13.969184&amp;mlon=107.988988#map=18/13.969184/107.988988" TargetMode="External" Id="rId53"/><Relationship Type="http://schemas.openxmlformats.org/officeDocument/2006/relationships/hyperlink" Target="https://www.openstreetmap.org/?mlat=13.972615&amp;mlon=107.988967#map=18/13.972615/107.988967" TargetMode="External" Id="rId54"/><Relationship Type="http://schemas.openxmlformats.org/officeDocument/2006/relationships/hyperlink" Target="https://www.openstreetmap.org/?mlat=13.980120&amp;mlon=107.996299#map=18/13.980120/107.996299" TargetMode="External" Id="rId55"/><Relationship Type="http://schemas.openxmlformats.org/officeDocument/2006/relationships/hyperlink" Target="https://www.openstreetmap.org/?mlat=13.983239&amp;mlon=107.991046#map=18/13.983239/107.991046" TargetMode="External" Id="rId56"/><Relationship Type="http://schemas.openxmlformats.org/officeDocument/2006/relationships/hyperlink" Target="https://www.openstreetmap.org/?mlat=13.978302&amp;mlon=107.986994#map=18/13.978302/107.986994" TargetMode="External" Id="rId57"/><Relationship Type="http://schemas.openxmlformats.org/officeDocument/2006/relationships/hyperlink" Target="https://www.openstreetmap.org/?mlat=13.980267&amp;mlon=107.989479#map=18/13.980267/107.989479" TargetMode="External" Id="rId58"/><Relationship Type="http://schemas.openxmlformats.org/officeDocument/2006/relationships/hyperlink" Target="https://www.openstreetmap.org/?mlat=13.976554&amp;mlon=108.000868#map=18/13.976554/108.000868" TargetMode="External" Id="rId59"/><Relationship Type="http://schemas.openxmlformats.org/officeDocument/2006/relationships/hyperlink" Target="https://www.openstreetmap.org/?mlat=13.970364&amp;mlon=107.999584#map=18/13.970364/107.999584" TargetMode="External" Id="rId60"/><Relationship Type="http://schemas.openxmlformats.org/officeDocument/2006/relationships/hyperlink" Target="https://www.openstreetmap.org/?mlat=13.979965&amp;mlon=107.998626#map=18/13.979965/107.998626" TargetMode="External" Id="rId61"/><Relationship Type="http://schemas.openxmlformats.org/officeDocument/2006/relationships/hyperlink" Target="https://www.openstreetmap.org/?mlat=13.979960&amp;mlon=107.998649#map=18/13.979960/107.998649" TargetMode="External" Id="rId62"/><Relationship Type="http://schemas.openxmlformats.org/officeDocument/2006/relationships/hyperlink" Target="https://www.openstreetmap.org/?mlat=13.964694&amp;mlon=108.017303#map=18/13.964694/108.017303" TargetMode="External" Id="rId63"/><Relationship Type="http://schemas.openxmlformats.org/officeDocument/2006/relationships/hyperlink" Target="https://www.openstreetmap.org/?mlat=13.963553&amp;mlon=108.020496#map=18/13.963553/108.020496" TargetMode="External" Id="rId64"/><Relationship Type="http://schemas.openxmlformats.org/officeDocument/2006/relationships/hyperlink" Target="https://www.openstreetmap.org/?mlat=13.970603&amp;mlon=108.026391#map=18/13.970603/108.026391" TargetMode="External" Id="rId65"/><Relationship Type="http://schemas.openxmlformats.org/officeDocument/2006/relationships/hyperlink" Target="https://www.openstreetmap.org/?mlat=13.976794&amp;mlon=108.002227#map=18/13.976794/108.002227" TargetMode="External" Id="rId66"/><Relationship Type="http://schemas.openxmlformats.org/officeDocument/2006/relationships/hyperlink" Target="https://www.openstreetmap.org/?mlat=13.979496&amp;mlon=107.999217#map=18/13.979496/107.999217" TargetMode="External" Id="rId67"/><Relationship Type="http://schemas.openxmlformats.org/officeDocument/2006/relationships/hyperlink" Target="https://www.openstreetmap.org/?mlat=13.972410&amp;mlon=108.014668#map=18/13.972410/108.014668" TargetMode="External" Id="rId68"/><Relationship Type="http://schemas.openxmlformats.org/officeDocument/2006/relationships/hyperlink" Target="https://www.openstreetmap.org/?mlat=13.978379&amp;mlon=108.014446#map=18/13.978379/108.014446" TargetMode="External" Id="rId69"/><Relationship Type="http://schemas.openxmlformats.org/officeDocument/2006/relationships/hyperlink" Target="https://www.openstreetmap.org/?mlat=13.979419&amp;mlon=108.010636#map=18/13.979419/108.010636" TargetMode="External" Id="rId70"/><Relationship Type="http://schemas.openxmlformats.org/officeDocument/2006/relationships/hyperlink" Target="https://www.openstreetmap.org/?mlat=13.976822&amp;mlon=108.006305#map=18/13.976822/108.006305" TargetMode="External" Id="rId71"/><Relationship Type="http://schemas.openxmlformats.org/officeDocument/2006/relationships/hyperlink" Target="https://www.openstreetmap.org/?mlat=13.981437&amp;mlon=108.000195#map=18/13.981437/108.000195" TargetMode="External" Id="rId72"/><Relationship Type="http://schemas.openxmlformats.org/officeDocument/2006/relationships/hyperlink" Target="https://www.openstreetmap.org/?mlat=13.979938&amp;mlon=107.999221#map=18/13.979938/107.999221" TargetMode="External" Id="rId73"/><Relationship Type="http://schemas.openxmlformats.org/officeDocument/2006/relationships/hyperlink" Target="https://www.openstreetmap.org/?mlat=13.978644&amp;mlon=108.011233#map=18/13.978644/108.011233" TargetMode="External" Id="rId74"/><Relationship Type="http://schemas.openxmlformats.org/officeDocument/2006/relationships/hyperlink" Target="https://www.openstreetmap.org/?mlat=13.969831&amp;mlon=108.018447#map=18/13.969831/108.018447" TargetMode="External" Id="rId75"/><Relationship Type="http://schemas.openxmlformats.org/officeDocument/2006/relationships/hyperlink" Target="https://www.openstreetmap.org/?mlat=13.970573&amp;mlon=108.015729#map=18/13.970573/108.015729" TargetMode="External" Id="rId76"/><Relationship Type="http://schemas.openxmlformats.org/officeDocument/2006/relationships/hyperlink" Target="https://www.openstreetmap.org/?mlat=13.978444&amp;mlon=108.012831#map=18/13.978444/108.012831" TargetMode="External" Id="rId77"/><Relationship Type="http://schemas.openxmlformats.org/officeDocument/2006/relationships/hyperlink" Target="https://www.openstreetmap.org/?mlat=13.975266&amp;mlon=108.015095#map=18/13.975266/108.015095" TargetMode="External" Id="rId78"/><Relationship Type="http://schemas.openxmlformats.org/officeDocument/2006/relationships/hyperlink" Target="https://www.openstreetmap.org/?mlat=13.981680&amp;mlon=108.008389#map=18/13.981680/108.008389" TargetMode="External" Id="rId79"/><Relationship Type="http://schemas.openxmlformats.org/officeDocument/2006/relationships/hyperlink" Target="https://www.openstreetmap.org/?mlat=13.970082&amp;mlon=108.014993#map=18/13.970082/108.014993" TargetMode="External" Id="rId80"/><Relationship Type="http://schemas.openxmlformats.org/officeDocument/2006/relationships/hyperlink" Target="https://www.openstreetmap.org/?mlat=14.009646&amp;mlon=107.993393#map=18/14.009646/107.993393" TargetMode="External" Id="rId81"/><Relationship Type="http://schemas.openxmlformats.org/officeDocument/2006/relationships/hyperlink" Target="https://www.openstreetmap.org/?mlat=14.000926&amp;mlon=107.991416#map=18/14.000926/107.991416" TargetMode="External" Id="rId82"/><Relationship Type="http://schemas.openxmlformats.org/officeDocument/2006/relationships/hyperlink" Target="https://www.openstreetmap.org/?mlat=14.004752&amp;mlon=107.994981#map=18/14.004752/107.994981" TargetMode="External" Id="rId83"/><Relationship Type="http://schemas.openxmlformats.org/officeDocument/2006/relationships/hyperlink" Target="https://www.openstreetmap.org/?mlat=13.976870&amp;mlon=107.990679#map=18/13.976870/107.990679" TargetMode="External" Id="rId84"/><Relationship Type="http://schemas.openxmlformats.org/officeDocument/2006/relationships/hyperlink" Target="https://www.openstreetmap.org/?mlat=13.985977&amp;mlon=108.007370#map=18/13.985977/108.007370" TargetMode="External" Id="rId85"/><Relationship Type="http://schemas.openxmlformats.org/officeDocument/2006/relationships/hyperlink" Target="https://www.openstreetmap.org/?mlat=13.995564&amp;mlon=107.998273#map=18/13.995564/107.998273" TargetMode="External" Id="rId86"/><Relationship Type="http://schemas.openxmlformats.org/officeDocument/2006/relationships/hyperlink" Target="https://www.openstreetmap.org/?mlat=13.969860&amp;mlon=107.994462#map=18/13.969860/107.994462" TargetMode="External" Id="rId87"/><Relationship Type="http://schemas.openxmlformats.org/officeDocument/2006/relationships/hyperlink" Target="https://www.openstreetmap.org/?mlat=13.965428&amp;mlon=107.991962#map=18/13.965428/107.991962" TargetMode="External" Id="rId88"/><Relationship Type="http://schemas.openxmlformats.org/officeDocument/2006/relationships/hyperlink" Target="https://www.openstreetmap.org/?mlat=13.968487&amp;mlon=107.992127#map=18/13.968487/107.992127" TargetMode="External" Id="rId89"/><Relationship Type="http://schemas.openxmlformats.org/officeDocument/2006/relationships/hyperlink" Target="https://www.openstreetmap.org/?mlat=13.978683&amp;mlon=107.984689#map=18/13.978683/107.984689" TargetMode="External" Id="rId90"/><Relationship Type="http://schemas.openxmlformats.org/officeDocument/2006/relationships/hyperlink" Target="https://www.openstreetmap.org/?mlat=13.976186&amp;mlon=108.007167#map=18/13.976186/108.007167" TargetMode="External" Id="rId91"/><Relationship Type="http://schemas.openxmlformats.org/officeDocument/2006/relationships/hyperlink" Target="https://www.openstreetmap.org/?mlat=13.970020&amp;mlon=108.015597#map=18/13.970020/108.015597" TargetMode="External" Id="rId92"/><Relationship Type="http://schemas.openxmlformats.org/officeDocument/2006/relationships/hyperlink" Target="https://www.openstreetmap.org/?mlat=13.973896&amp;mlon=108.015126#map=18/13.973896/108.015126" TargetMode="External" Id="rId93"/><Relationship Type="http://schemas.openxmlformats.org/officeDocument/2006/relationships/hyperlink" Target="https://www.openstreetmap.org/?mlat=14.015489&amp;mlon=107.985773#map=18/14.015489/107.985773" TargetMode="External" Id="rId94"/><Relationship Type="http://schemas.openxmlformats.org/officeDocument/2006/relationships/hyperlink" Target="https://www.openstreetmap.org/?mlat=13.978438&amp;mlon=108.012272#map=18/13.978438/108.012272" TargetMode="External" Id="rId95"/><Relationship Type="http://schemas.openxmlformats.org/officeDocument/2006/relationships/hyperlink" Target="https://www.openstreetmap.org/?mlat=13.982935&amp;mlon=108.005989#map=18/13.982935/108.005989" TargetMode="External" Id="rId96"/><Relationship Type="http://schemas.openxmlformats.org/officeDocument/2006/relationships/hyperlink" Target="https://www.openstreetmap.org/?mlat=13.979667&amp;mlon=107.993029#map=18/13.979667/107.993029" TargetMode="External" Id="rId97"/><Relationship Type="http://schemas.openxmlformats.org/officeDocument/2006/relationships/hyperlink" Target="https://www.openstreetmap.org/?mlat=13.979667&amp;mlon=107.993029#map=18/13.979667/107.993029" TargetMode="External" Id="rId98"/><Relationship Type="http://schemas.openxmlformats.org/officeDocument/2006/relationships/hyperlink" Target="https://www.openstreetmap.org/?mlat=13.977149&amp;mlon=107.994717#map=18/13.977149/107.994717" TargetMode="External" Id="rId99"/><Relationship Type="http://schemas.openxmlformats.org/officeDocument/2006/relationships/hyperlink" Target="https://www.openstreetmap.org/?mlat=13.980355&amp;mlon=107.995495#map=18/13.980355/107.995495" TargetMode="External" Id="rId100"/><Relationship Type="http://schemas.openxmlformats.org/officeDocument/2006/relationships/hyperlink" Target="https://www.openstreetmap.org/?mlat=13.980355&amp;mlon=107.995495#map=18/13.980355/107.995495" TargetMode="External" Id="rId101"/><Relationship Type="http://schemas.openxmlformats.org/officeDocument/2006/relationships/hyperlink" Target="https://www.openstreetmap.org/?mlat=13.980355&amp;mlon=107.995495#map=18/13.980355/107.995495" TargetMode="External" Id="rId102"/><Relationship Type="http://schemas.openxmlformats.org/officeDocument/2006/relationships/hyperlink" Target="https://www.openstreetmap.org/?mlat=13.977775&amp;mlon=107.995581#map=18/13.977775/107.995581" TargetMode="External" Id="rId103"/><Relationship Type="http://schemas.openxmlformats.org/officeDocument/2006/relationships/hyperlink" Target="https://www.openstreetmap.org/?mlat=13.979797&amp;mlon=107.993359#map=18/13.979797/107.993359" TargetMode="External" Id="rId104"/><Relationship Type="http://schemas.openxmlformats.org/officeDocument/2006/relationships/hyperlink" Target="https://www.openstreetmap.org/?mlat=13.979881&amp;mlon=107.992826#map=18/13.979881/107.992826" TargetMode="External" Id="rId105"/><Relationship Type="http://schemas.openxmlformats.org/officeDocument/2006/relationships/hyperlink" Target="https://www.openstreetmap.org/?mlat=13.977775&amp;mlon=107.995581#map=18/13.977775/107.995581" TargetMode="External" Id="rId106"/><Relationship Type="http://schemas.openxmlformats.org/officeDocument/2006/relationships/hyperlink" Target="https://www.openstreetmap.org/?mlat=13.964466&amp;mlon=108.017029#map=18/13.964466/108.017029" TargetMode="External" Id="rId107"/><Relationship Type="http://schemas.openxmlformats.org/officeDocument/2006/relationships/hyperlink" Target="https://www.openstreetmap.org/?mlat=13.971235&amp;mlon=108.031073#map=18/13.971235/108.031073" TargetMode="External" Id="rId108"/><Relationship Type="http://schemas.openxmlformats.org/officeDocument/2006/relationships/hyperlink" Target="https://www.openstreetmap.org/?mlat=13.964068&amp;mlon=108.017085#map=18/13.964068/108.017085" TargetMode="External" Id="rId109"/><Relationship Type="http://schemas.openxmlformats.org/officeDocument/2006/relationships/hyperlink" Target="https://www.openstreetmap.org/?mlat=13.964068&amp;mlon=108.017085#map=18/13.964068/108.017085" TargetMode="External" Id="rId110"/><Relationship Type="http://schemas.openxmlformats.org/officeDocument/2006/relationships/hyperlink" Target="https://www.openstreetmap.org/?mlat=13.983157&amp;mlon=108.000617#map=18/13.983157/108.000617" TargetMode="External" Id="rId111"/><Relationship Type="http://schemas.openxmlformats.org/officeDocument/2006/relationships/hyperlink" Target="https://www.openstreetmap.org/?mlat=13.970614&amp;mlon=108.018577#map=18/13.970614/108.018577" TargetMode="External" Id="rId112"/><Relationship Type="http://schemas.openxmlformats.org/officeDocument/2006/relationships/hyperlink" Target="https://www.openstreetmap.org/?mlat=13.970614&amp;mlon=108.018577#map=18/13.970614/108.018577" TargetMode="External" Id="rId113"/><Relationship Type="http://schemas.openxmlformats.org/officeDocument/2006/relationships/hyperlink" Target="https://www.openstreetmap.org/?mlat=13.970614&amp;mlon=108.018577#map=18/13.970614/108.018577" TargetMode="External" Id="rId114"/><Relationship Type="http://schemas.openxmlformats.org/officeDocument/2006/relationships/hyperlink" Target="https://www.openstreetmap.org/?mlat=13.977581&amp;mlon=108.001427#map=18/13.977581/108.001427" TargetMode="External" Id="rId115"/><Relationship Type="http://schemas.openxmlformats.org/officeDocument/2006/relationships/hyperlink" Target="https://www.openstreetmap.org/?mlat=13.971860&amp;mlon=108.030581#map=18/13.971860/108.030581" TargetMode="External" Id="rId116"/><Relationship Type="http://schemas.openxmlformats.org/officeDocument/2006/relationships/hyperlink" Target="https://www.openstreetmap.org/?mlat=13.978670&amp;mlon=108.012436#map=18/13.978670/108.012436" TargetMode="External" Id="rId117"/><Relationship Type="http://schemas.openxmlformats.org/officeDocument/2006/relationships/hyperlink" Target="https://www.openstreetmap.org/?mlat=13.983910&amp;mlon=108.028153#map=18/13.983910/108.028153" TargetMode="External" Id="rId118"/><Relationship Type="http://schemas.openxmlformats.org/officeDocument/2006/relationships/hyperlink" Target="https://www.openstreetmap.org/?mlat=13.977266&amp;mlon=108.001279#map=18/13.977266/108.001279" TargetMode="External" Id="rId119"/><Relationship Type="http://schemas.openxmlformats.org/officeDocument/2006/relationships/hyperlink" Target="https://www.openstreetmap.org/?mlat=13.989810&amp;mlon=108.041880#map=18/13.989810/108.041880" TargetMode="External" Id="rId120"/><Relationship Type="http://schemas.openxmlformats.org/officeDocument/2006/relationships/hyperlink" Target="https://www.openstreetmap.org/?mlat=13.972270&amp;mlon=108.014785#map=18/13.972270/108.014785" TargetMode="External" Id="rId121"/><Relationship Type="http://schemas.openxmlformats.org/officeDocument/2006/relationships/hyperlink" Target="https://www.openstreetmap.org/?mlat=13.985277&amp;mlon=108.007542#map=18/13.985277/108.007542" TargetMode="External" Id="rId122"/><Relationship Type="http://schemas.openxmlformats.org/officeDocument/2006/relationships/hyperlink" Target="https://www.openstreetmap.org/?mlat=13.982082&amp;mlon=108.009435#map=18/13.982082/108.009435" TargetMode="External" Id="rId123"/><Relationship Type="http://schemas.openxmlformats.org/officeDocument/2006/relationships/hyperlink" Target="https://www.openstreetmap.org/?mlat=13.988047&amp;mlon=108.008083#map=18/13.988047/108.008083" TargetMode="External" Id="rId124"/><Relationship Type="http://schemas.openxmlformats.org/officeDocument/2006/relationships/hyperlink" Target="https://www.openstreetmap.org/?mlat=13.977120&amp;mlon=108.005601#map=18/13.977120/108.005601" TargetMode="External" Id="rId125"/><Relationship Type="http://schemas.openxmlformats.org/officeDocument/2006/relationships/hyperlink" Target="https://www.openstreetmap.org/?mlat=13.978451&amp;mlon=107.999191#map=18/13.978451/107.999191" TargetMode="External" Id="rId126"/><Relationship Type="http://schemas.openxmlformats.org/officeDocument/2006/relationships/hyperlink" Target="https://www.openstreetmap.org/?mlat=13.988047&amp;mlon=108.008083#map=18/13.988047/108.008083" TargetMode="External" Id="rId127"/><Relationship Type="http://schemas.openxmlformats.org/officeDocument/2006/relationships/hyperlink" Target="https://www.openstreetmap.org/?mlat=13.982082&amp;mlon=108.009435#map=18/13.982082/108.009435" TargetMode="External" Id="rId128"/><Relationship Type="http://schemas.openxmlformats.org/officeDocument/2006/relationships/hyperlink" Target="https://www.openstreetmap.org/?mlat=13.977120&amp;mlon=108.005601#map=18/13.977120/108.005601" TargetMode="External" Id="rId129"/><Relationship Type="http://schemas.openxmlformats.org/officeDocument/2006/relationships/hyperlink" Target="https://www.openstreetmap.org/?mlat=14.015366&amp;mlon=107.992624#map=18/14.015366/107.992624" TargetMode="External" Id="rId130"/><Relationship Type="http://schemas.openxmlformats.org/officeDocument/2006/relationships/hyperlink" Target="https://www.openstreetmap.org/?mlat=14.030170&amp;mlon=107.987061#map=18/14.030170/107.987061" TargetMode="External" Id="rId131"/><Relationship Type="http://schemas.openxmlformats.org/officeDocument/2006/relationships/hyperlink" Target="https://www.openstreetmap.org/?mlat=14.028108&amp;mlon=107.989695#map=18/14.028108/107.989695" TargetMode="External" Id="rId132"/><Relationship Type="http://schemas.openxmlformats.org/officeDocument/2006/relationships/hyperlink" Target="https://www.openstreetmap.org/?mlat=14.028108&amp;mlon=107.989695#map=18/14.028108/107.989695" TargetMode="External" Id="rId133"/><Relationship Type="http://schemas.openxmlformats.org/officeDocument/2006/relationships/hyperlink" Target="https://www.openstreetmap.org/?mlat=14.036740&amp;mlon=108.014189#map=18/14.036740/108.014189" TargetMode="External" Id="rId134"/><Relationship Type="http://schemas.openxmlformats.org/officeDocument/2006/relationships/hyperlink" Target="https://www.openstreetmap.org/?mlat=14.036728&amp;mlon=108.014311#map=18/14.036728/108.014311" TargetMode="External" Id="rId135"/><Relationship Type="http://schemas.openxmlformats.org/officeDocument/2006/relationships/hyperlink" Target="https://www.openstreetmap.org/?mlat=13.978982&amp;mlon=107.996099#map=18/13.978982/107.996099" TargetMode="External" Id="rId136"/><Relationship Type="http://schemas.openxmlformats.org/officeDocument/2006/relationships/hyperlink" Target="https://www.openstreetmap.org/?mlat=13.968952&amp;mlon=107.997661#map=18/13.968952/107.997661" TargetMode="External" Id="rId137"/><Relationship Type="http://schemas.openxmlformats.org/officeDocument/2006/relationships/hyperlink" Target="https://www.openstreetmap.org/?mlat=13.969587&amp;mlon=107.996284#map=18/13.969587/107.996284" TargetMode="External" Id="rId138"/><Relationship Type="http://schemas.openxmlformats.org/officeDocument/2006/relationships/hyperlink" Target="https://www.openstreetmap.org/?mlat=13.979466&amp;mlon=107.993135#map=18/13.979466/107.993135" TargetMode="External" Id="rId139"/><Relationship Type="http://schemas.openxmlformats.org/officeDocument/2006/relationships/hyperlink" Target="https://www.openstreetmap.org/?mlat=13.979940&amp;mlon=107.993470#map=18/13.979940/107.993470" TargetMode="External" Id="rId140"/><Relationship Type="http://schemas.openxmlformats.org/officeDocument/2006/relationships/hyperlink" Target="https://www.openstreetmap.org/?mlat=13.979940&amp;mlon=107.993470#map=18/13.979940/107.993470" TargetMode="External" Id="rId141"/><Relationship Type="http://schemas.openxmlformats.org/officeDocument/2006/relationships/hyperlink" Target="https://www.openstreetmap.org/?mlat=13.977683&amp;mlon=107.999500#map=18/13.977683/107.999500" TargetMode="External" Id="rId142"/><Relationship Type="http://schemas.openxmlformats.org/officeDocument/2006/relationships/hyperlink" Target="https://www.openstreetmap.org/?mlat=13.978745&amp;mlon=108.012487#map=18/13.978745/108.012487" TargetMode="External" Id="rId143"/><Relationship Type="http://schemas.openxmlformats.org/officeDocument/2006/relationships/hyperlink" Target="https://www.openstreetmap.org/?mlat=13.982130&amp;mlon=108.009505#map=18/13.982130/108.009505" TargetMode="External" Id="rId144"/><Relationship Type="http://schemas.openxmlformats.org/officeDocument/2006/relationships/hyperlink" Target="https://www.openstreetmap.org/?mlat=13.977135&amp;mlon=108.003431#map=18/13.977135/108.003431" TargetMode="External" Id="rId145"/><Relationship Type="http://schemas.openxmlformats.org/officeDocument/2006/relationships/hyperlink" Target="https://www.openstreetmap.org/?mlat=14.028142&amp;mlon=107.989501#map=18/14.028142/107.989501" TargetMode="External" Id="rId146"/><Relationship Type="http://schemas.openxmlformats.org/officeDocument/2006/relationships/hyperlink" Target="https://www.openstreetmap.org/?mlat=14.028142&amp;mlon=107.989501#map=18/14.028142/107.989501" TargetMode="External" Id="rId147"/><Relationship Type="http://schemas.openxmlformats.org/officeDocument/2006/relationships/hyperlink" Target="https://www.openstreetmap.org/?mlat=13.986153&amp;mlon=108.005970#map=18/13.986153/108.005970" TargetMode="External" Id="rId1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HƯỚNG DẪN KIỂM TRA VÀ SỬA VỊ TRÍ</t>
        </is>
      </c>
    </row>
    <row r="2">
      <c r="A2" s="2" t="inlineStr"/>
    </row>
    <row r="3">
      <c r="A3" s="2" t="inlineStr">
        <is>
          <t>1. Làm theo thứ tự Ưu tiên: Cao (nghi sai / chưa đối chiếu) → Trung bình (OpenStreetMap, hiệu chỉnh tự động) → Thấp (website ngân hàng, đã đối chiếu).</t>
        </is>
      </c>
    </row>
    <row r="4">
      <c r="A4" s="2" t="inlineStr">
        <is>
          <t>2. Bấm "Bản đồ" để xem vị trí hiện tại. Đến tận nơi hoặc đối chiếu trên ảnh vệ tinh.</t>
        </is>
      </c>
    </row>
    <row r="5">
      <c r="A5" s="2" t="inlineStr">
        <is>
          <t>3. Chọn "Kết quả kiểm tra":</t>
        </is>
      </c>
    </row>
    <row r="6">
      <c r="A6" s="2" t="inlineStr">
        <is>
          <t xml:space="preserve">    • Vị trí đúng – ghim đang đúng chỗ (để trống Vĩ độ / Kinh độ mới).</t>
        </is>
      </c>
    </row>
    <row r="7">
      <c r="A7" s="2" t="inlineStr">
        <is>
          <t xml:space="preserve">    • Sửa vị trí – điền Vĩ độ mới, Kinh độ mới (≥ 6 chữ số thập phân, vd 13.981234 / 108.004567) và Cách xác định.</t>
        </is>
      </c>
    </row>
    <row r="8">
      <c r="A8" s="2" t="inlineStr">
        <is>
          <t xml:space="preserve">    • Địa điểm không tồn tại – sẽ bị ẩn khỏi bản đồ.</t>
        </is>
      </c>
    </row>
    <row r="9">
      <c r="A9" s="2" t="inlineStr">
        <is>
          <t xml:space="preserve">    • Đã chuyển đi – sẽ được đánh dấu "nghi sai" cho tới khi có địa chỉ mới.</t>
        </is>
      </c>
    </row>
    <row r="10">
      <c r="A10" s="2" t="inlineStr">
        <is>
          <t>4. Cột "Kiểm tra" tự báo lỗi (thiếu toạ độ, toạ độ ngoài Gia Lai, đảo vĩ/kinh độ, dời quá xa). Chỉ dòng "OK" được nhập vào hệ thống.</t>
        </is>
      </c>
    </row>
    <row r="11">
      <c r="A11" s="2" t="inlineStr">
        <is>
          <t>5. Cột "Dời bao xa (m)" tự tính khoảng cách từ vị trí cũ tới vị trí mới để tự soát lại.</t>
        </is>
      </c>
    </row>
    <row r="12">
      <c r="A12" s="2" t="inlineStr"/>
    </row>
    <row r="13">
      <c r="A13" s="3" t="inlineStr">
        <is>
          <t>LẤY TOẠ ĐỘ ĐÚNG CÁCH</t>
        </is>
      </c>
    </row>
    <row r="14">
      <c r="A14" s="2" t="inlineStr">
        <is>
          <t>• Đo GPS tại chỗ: đứng ở cổng/lối vào, chờ điện thoại báo độ chính xác ≤ 10 m rồi mới ghi; ghi đủ số thập phân điện thoại hiển thị, không làm tròn.</t>
        </is>
      </c>
    </row>
    <row r="15">
      <c r="A15" s="2" t="inlineStr">
        <is>
          <t>• Chọn trên ảnh vệ tinh: phóng to tới khi thấy rõ mái nhà / cổng, đặt điểm ở lối vào chính.</t>
        </is>
      </c>
    </row>
    <row r="16">
      <c r="A16" s="2" t="inlineStr">
        <is>
          <t>• Không chép toạ độ từ Google Maps hay ứng dụng khác; không tự cộng/trừ để "làm khác đi".</t>
        </is>
      </c>
    </row>
    <row r="17">
      <c r="A17" s="2" t="inlineStr">
        <is>
          <t>• Ngân hàng / ATM / cây xăng: đặt điểm ở vị trí máy ATM, quầy giao dịch hoặc trụ bơm.</t>
        </is>
      </c>
    </row>
    <row r="18">
      <c r="A18" s="2" t="inlineStr"/>
    </row>
    <row r="19">
      <c r="A19" s="3" t="inlineStr">
        <is>
          <t>SAU KHI ĐIỀN XONG</t>
        </is>
      </c>
    </row>
    <row r="20">
      <c r="A20" s="2" t="inlineStr">
        <is>
          <t>Gửi lại file; hệ thống nhập bằng api/scripts/apply-location-fixes.py (chỉ các dòng "OK"), ghi vào data/corrections/locations.json mục "manual".</t>
        </is>
      </c>
    </row>
    <row r="21">
      <c r="A21" s="2" t="inlineStr">
        <is>
          <t>Không xoá hoặc sửa cột "Mã hệ thống" – đó là khoá để nhập đúng địa điểm.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15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9" customWidth="1" min="3" max="3"/>
    <col width="32" customWidth="1" min="4" max="4"/>
    <col width="14" customWidth="1" min="5" max="5"/>
    <col width="16" customWidth="1" min="6" max="6"/>
    <col width="32" customWidth="1" min="7" max="7"/>
    <col width="16" customWidth="1" min="8" max="8"/>
    <col width="11" customWidth="1" min="9" max="9"/>
    <col width="11" customWidth="1" min="10" max="10"/>
    <col width="13" customWidth="1" min="11" max="11"/>
    <col width="30" customWidth="1" min="12" max="12"/>
    <col width="10" customWidth="1" min="13" max="13"/>
    <col width="20" customWidth="1" min="14" max="14"/>
    <col width="11" customWidth="1" min="15" max="15"/>
    <col width="11" customWidth="1" min="16" max="16"/>
    <col width="17" customWidth="1" min="17" max="17"/>
    <col width="11" customWidth="1" min="18" max="18"/>
    <col width="14" customWidth="1" min="19" max="19"/>
    <col width="26" customWidth="1" min="20" max="20"/>
    <col width="10" customWidth="1" min="21" max="21"/>
    <col width="30" customWidth="1" min="22" max="22"/>
  </cols>
  <sheetData>
    <row r="1">
      <c r="A1" s="4" t="inlineStr">
        <is>
          <t>KIỂM TRA VỊ TRÍ ĐỊA ĐIỂM – TP PLEIKU CŨ (trừ quán ăn): 5 phường trung tâm, Xã Biển Hồ, Xã Gào</t>
        </is>
      </c>
    </row>
    <row r="2">
      <c r="A2" s="5" t="inlineStr">
        <is>
          <t>148 địa điểm, sắp theo Ưu tiên (Cao trước). Cột XANH: thông tin hiện tại – không sửa. Cột CAM: điền kết quả kiểm tra. Xuất ngày 17/10/2026.</t>
        </is>
      </c>
    </row>
    <row r="4" ht="34" customHeight="1">
      <c r="A4" s="6" t="inlineStr">
        <is>
          <t>STT</t>
        </is>
      </c>
      <c r="B4" s="6" t="inlineStr">
        <is>
          <t>Mã hệ thống</t>
        </is>
      </c>
      <c r="C4" s="6" t="inlineStr">
        <is>
          <t>Ưu tiên</t>
        </is>
      </c>
      <c r="D4" s="6" t="inlineStr">
        <is>
          <t>Tên địa điểm</t>
        </is>
      </c>
      <c r="E4" s="6" t="inlineStr">
        <is>
          <t>Danh mục</t>
        </is>
      </c>
      <c r="F4" s="6" t="inlineStr">
        <is>
          <t>Nguồn dữ liệu</t>
        </is>
      </c>
      <c r="G4" s="6" t="inlineStr">
        <is>
          <t>Địa chỉ hiện tại</t>
        </is>
      </c>
      <c r="H4" s="6" t="inlineStr">
        <is>
          <t>Phường / xã</t>
        </is>
      </c>
      <c r="I4" s="6" t="inlineStr">
        <is>
          <t>Vĩ độ hiện tại</t>
        </is>
      </c>
      <c r="J4" s="6" t="inlineStr">
        <is>
          <t>Kinh độ hiện tại</t>
        </is>
      </c>
      <c r="K4" s="6" t="inlineStr">
        <is>
          <t>Mức tin cậy hiện tại</t>
        </is>
      </c>
      <c r="L4" s="6" t="inlineStr">
        <is>
          <t>Ghi chú của hệ thống</t>
        </is>
      </c>
      <c r="M4" s="6" t="inlineStr">
        <is>
          <t>Xem vị trí hiện tại</t>
        </is>
      </c>
      <c r="N4" s="7" t="inlineStr">
        <is>
          <t>Kết quả kiểm tra</t>
        </is>
      </c>
      <c r="O4" s="7" t="inlineStr">
        <is>
          <t>Vĩ độ mới</t>
        </is>
      </c>
      <c r="P4" s="7" t="inlineStr">
        <is>
          <t>Kinh độ mới</t>
        </is>
      </c>
      <c r="Q4" s="7" t="inlineStr">
        <is>
          <t>Cách xác định</t>
        </is>
      </c>
      <c r="R4" s="7" t="inlineStr">
        <is>
          <t>Ngày kiểm tra</t>
        </is>
      </c>
      <c r="S4" s="7" t="inlineStr">
        <is>
          <t>Người kiểm tra</t>
        </is>
      </c>
      <c r="T4" s="7" t="inlineStr">
        <is>
          <t>Ghi chú</t>
        </is>
      </c>
      <c r="U4" s="8" t="inlineStr">
        <is>
          <t>Dời bao xa (m)</t>
        </is>
      </c>
      <c r="V4" s="8" t="inlineStr">
        <is>
          <t>Kiểm tra</t>
        </is>
      </c>
    </row>
    <row r="5">
      <c r="A5" s="9" t="n">
        <v>1</v>
      </c>
      <c r="B5" s="9" t="inlineStr">
        <is>
          <t>645ecf86-7c89-440b-afdf-e9b9e894ce61</t>
        </is>
      </c>
      <c r="C5" s="9" t="inlineStr">
        <is>
          <t>Cao</t>
        </is>
      </c>
      <c r="D5" s="10" t="inlineStr">
        <is>
          <t>Đường Thông</t>
        </is>
      </c>
      <c r="E5" s="9" t="inlineStr">
        <is>
          <t>Danh lam thắng cảnh</t>
        </is>
      </c>
      <c r="F5" s="9" t="inlineStr">
        <is>
          <t>Dữ liệu gialai-travel</t>
        </is>
      </c>
      <c r="G5" s="10" t="inlineStr">
        <is>
          <t>Thôn 1, xã Nghĩa Hưng, huyện Chư Păh, tỉnh Gia Lai</t>
        </is>
      </c>
      <c r="H5" s="9" t="inlineStr">
        <is>
          <t>Phường Hội Phú</t>
        </is>
      </c>
      <c r="I5" s="11" t="n">
        <v>14.061869</v>
      </c>
      <c r="J5" s="11" t="n">
        <v>108.009918</v>
      </c>
      <c r="K5" s="9" t="inlineStr">
        <is>
          <t>Nghi sai</t>
        </is>
      </c>
      <c r="L5" s="10" t="inlineStr">
        <is>
          <t>toạ độ cách xã/phường ghi trong nguồn (Phường Hội Phú) 9.7 km, không có tham chiếu OSM</t>
        </is>
      </c>
      <c r="M5" s="12" t="inlineStr">
        <is>
          <t>Bản đồ</t>
        </is>
      </c>
      <c r="N5" s="13" t="n"/>
      <c r="O5" s="14" t="n"/>
      <c r="P5" s="14" t="n"/>
      <c r="Q5" s="13" t="n"/>
      <c r="R5" s="15" t="n"/>
      <c r="S5" s="13" t="n"/>
      <c r="T5" s="13" t="n"/>
      <c r="U5" s="16">
        <f>IF(AND(ISNUMBER(O5),ISNUMBER(P5)),ROUND(SQRT(((P5-J5)*111320*COS(RADIANS(I5)))^2+((O5-I5)*110540)^2),0),"")</f>
        <v/>
      </c>
      <c r="V5" s="17">
        <f>IF(N5="","",IF(N5="Sửa vị trí",IF(OR(O5="",P5=""),"Thiếu vĩ độ / kinh độ mới",IF(OR(O5&lt;12.5,O5&gt;15,P5&lt;107,P5&gt;109.6),"Toạ độ ngoài Gia Lai (đảo vĩ/kinh độ?)",IF(Q5="","Chọn cách xác định",IF(U5&gt;20000,"Dời hơn 20 km – kiểm tra lại","OK")))),IF(AND(N5&lt;&gt;"Sửa vị trí",OR(O5&lt;&gt;"",P5&lt;&gt;"")),"Có toạ độ mới nhưng kết quả không phải Sửa vị trí","OK")))</f>
        <v/>
      </c>
    </row>
    <row r="6">
      <c r="A6" s="9" t="n">
        <v>2</v>
      </c>
      <c r="B6" s="9" t="inlineStr">
        <is>
          <t>5d9f731f-9846-45b3-8d6e-a85be68145b4</t>
        </is>
      </c>
      <c r="C6" s="9" t="inlineStr">
        <is>
          <t>Cao</t>
        </is>
      </c>
      <c r="D6" s="10" t="inlineStr">
        <is>
          <t>Cầu Treo</t>
        </is>
      </c>
      <c r="E6" s="9" t="inlineStr">
        <is>
          <t>Danh lam thắng cảnh</t>
        </is>
      </c>
      <c r="F6" s="9" t="inlineStr">
        <is>
          <t>Dữ liệu gialai-travel</t>
        </is>
      </c>
      <c r="G6" s="10" t="inlineStr">
        <is>
          <t>Phường Thống Nhất, Pleiku, Gia Lai</t>
        </is>
      </c>
      <c r="H6" s="9" t="inlineStr">
        <is>
          <t>Phường Pleiku</t>
        </is>
      </c>
      <c r="I6" s="11" t="n">
        <v>14.056879</v>
      </c>
      <c r="J6" s="11" t="n">
        <v>108.003073</v>
      </c>
      <c r="K6" s="9" t="inlineStr">
        <is>
          <t>Nghi sai</t>
        </is>
      </c>
      <c r="L6" s="10" t="inlineStr">
        <is>
          <t>toạ độ cách xã/phường ghi trong nguồn (Phường Pleiku) 4.7 km, không có tham chiếu OSM</t>
        </is>
      </c>
      <c r="M6" s="12" t="inlineStr">
        <is>
          <t>Bản đồ</t>
        </is>
      </c>
      <c r="N6" s="13" t="n"/>
      <c r="O6" s="14" t="n"/>
      <c r="P6" s="14" t="n"/>
      <c r="Q6" s="13" t="n"/>
      <c r="R6" s="15" t="n"/>
      <c r="S6" s="13" t="n"/>
      <c r="T6" s="13" t="n"/>
      <c r="U6" s="16">
        <f>IF(AND(ISNUMBER(O6),ISNUMBER(P6)),ROUND(SQRT(((P6-J6)*111320*COS(RADIANS(I6)))^2+((O6-I6)*110540)^2),0),"")</f>
        <v/>
      </c>
      <c r="V6" s="17">
        <f>IF(N6="","",IF(N6="Sửa vị trí",IF(OR(O6="",P6=""),"Thiếu vĩ độ / kinh độ mới",IF(OR(O6&lt;12.5,O6&gt;15,P6&lt;107,P6&gt;109.6),"Toạ độ ngoài Gia Lai (đảo vĩ/kinh độ?)",IF(Q6="","Chọn cách xác định",IF(U6&gt;20000,"Dời hơn 20 km – kiểm tra lại","OK")))),IF(AND(N6&lt;&gt;"Sửa vị trí",OR(O6&lt;&gt;"",P6&lt;&gt;"")),"Có toạ độ mới nhưng kết quả không phải Sửa vị trí","OK")))</f>
        <v/>
      </c>
    </row>
    <row r="7">
      <c r="A7" s="9" t="n">
        <v>3</v>
      </c>
      <c r="B7" s="9" t="inlineStr">
        <is>
          <t>323a62c4-e7e3-43dc-9246-4065b44e411b</t>
        </is>
      </c>
      <c r="C7" s="9" t="inlineStr">
        <is>
          <t>Cao</t>
        </is>
      </c>
      <c r="D7" s="10" t="inlineStr">
        <is>
          <t>Chùa Phật Tích Hùng Vương</t>
        </is>
      </c>
      <c r="E7" s="9" t="inlineStr">
        <is>
          <t>Địa danh văn hóa</t>
        </is>
      </c>
      <c r="F7" s="9" t="inlineStr">
        <is>
          <t>Dữ liệu gialai-travel</t>
        </is>
      </c>
      <c r="G7" s="10" t="inlineStr">
        <is>
          <t>Đường Quang Trung, Tp. Pleiku, Gia Lai</t>
        </is>
      </c>
      <c r="H7" s="9" t="inlineStr">
        <is>
          <t>Phường Pleiku</t>
        </is>
      </c>
      <c r="I7" s="11" t="n">
        <v>13.9718</v>
      </c>
      <c r="J7" s="11" t="n">
        <v>108.0423</v>
      </c>
      <c r="K7" s="9" t="inlineStr">
        <is>
          <t>Nghi sai</t>
        </is>
      </c>
      <c r="L7" s="10" t="inlineStr">
        <is>
          <t>toạ độ cách xã/phường ghi trong nguồn (Phường Pleiku) 1.1 km, không có tham chiếu OSM</t>
        </is>
      </c>
      <c r="M7" s="12" t="inlineStr">
        <is>
          <t>Bản đồ</t>
        </is>
      </c>
      <c r="N7" s="13" t="n"/>
      <c r="O7" s="14" t="n"/>
      <c r="P7" s="14" t="n"/>
      <c r="Q7" s="13" t="n"/>
      <c r="R7" s="15" t="n"/>
      <c r="S7" s="13" t="n"/>
      <c r="T7" s="13" t="n"/>
      <c r="U7" s="16">
        <f>IF(AND(ISNUMBER(O7),ISNUMBER(P7)),ROUND(SQRT(((P7-J7)*111320*COS(RADIANS(I7)))^2+((O7-I7)*110540)^2),0),"")</f>
        <v/>
      </c>
      <c r="V7" s="17">
        <f>IF(N7="","",IF(N7="Sửa vị trí",IF(OR(O7="",P7=""),"Thiếu vĩ độ / kinh độ mới",IF(OR(O7&lt;12.5,O7&gt;15,P7&lt;107,P7&gt;109.6),"Toạ độ ngoài Gia Lai (đảo vĩ/kinh độ?)",IF(Q7="","Chọn cách xác định",IF(U7&gt;20000,"Dời hơn 20 km – kiểm tra lại","OK")))),IF(AND(N7&lt;&gt;"Sửa vị trí",OR(O7&lt;&gt;"",P7&lt;&gt;"")),"Có toạ độ mới nhưng kết quả không phải Sửa vị trí","OK")))</f>
        <v/>
      </c>
    </row>
    <row r="8">
      <c r="A8" s="9" t="n">
        <v>4</v>
      </c>
      <c r="B8" s="9" t="inlineStr">
        <is>
          <t>f6de3ec8-2fcd-4ab1-84e6-3b0256fb5a26</t>
        </is>
      </c>
      <c r="C8" s="9" t="inlineStr">
        <is>
          <t>Cao</t>
        </is>
      </c>
      <c r="D8" s="10" t="inlineStr">
        <is>
          <t>Chợ Nguyễn Trãi (chợ Bà Định)</t>
        </is>
      </c>
      <c r="E8" s="9" t="inlineStr">
        <is>
          <t>Chợ</t>
        </is>
      </c>
      <c r="F8" s="9" t="inlineStr">
        <is>
          <t>Dữ liệu gialai-travel</t>
        </is>
      </c>
      <c r="G8" s="10" t="inlineStr">
        <is>
          <t>51 Nguyễn Trãi, Diên Hồng, Gia Lai 600000, Việt Nam</t>
        </is>
      </c>
      <c r="H8" s="9" t="inlineStr">
        <is>
          <t>Phường Diên Hồng</t>
        </is>
      </c>
      <c r="I8" s="11" t="n">
        <v>13.984145</v>
      </c>
      <c r="J8" s="11" t="n">
        <v>107.993733</v>
      </c>
      <c r="K8" s="9" t="inlineStr">
        <is>
          <t>Chưa đối chiếu</t>
        </is>
      </c>
      <c r="L8" s="10" t="n"/>
      <c r="M8" s="12" t="inlineStr">
        <is>
          <t>Bản đồ</t>
        </is>
      </c>
      <c r="N8" s="13" t="n"/>
      <c r="O8" s="14" t="n"/>
      <c r="P8" s="14" t="n"/>
      <c r="Q8" s="13" t="n"/>
      <c r="R8" s="15" t="n"/>
      <c r="S8" s="13" t="n"/>
      <c r="T8" s="13" t="n"/>
      <c r="U8" s="16">
        <f>IF(AND(ISNUMBER(O8),ISNUMBER(P8)),ROUND(SQRT(((P8-J8)*111320*COS(RADIANS(I8)))^2+((O8-I8)*110540)^2),0),"")</f>
        <v/>
      </c>
      <c r="V8" s="17">
        <f>IF(N8="","",IF(N8="Sửa vị trí",IF(OR(O8="",P8=""),"Thiếu vĩ độ / kinh độ mới",IF(OR(O8&lt;12.5,O8&gt;15,P8&lt;107,P8&gt;109.6),"Toạ độ ngoài Gia Lai (đảo vĩ/kinh độ?)",IF(Q8="","Chọn cách xác định",IF(U8&gt;20000,"Dời hơn 20 km – kiểm tra lại","OK")))),IF(AND(N8&lt;&gt;"Sửa vị trí",OR(O8&lt;&gt;"",P8&lt;&gt;"")),"Có toạ độ mới nhưng kết quả không phải Sửa vị trí","OK")))</f>
        <v/>
      </c>
    </row>
    <row r="9">
      <c r="A9" s="9" t="n">
        <v>5</v>
      </c>
      <c r="B9" s="9" t="inlineStr">
        <is>
          <t>cc535157-e44f-4a5f-bfab-e02f6ded87da</t>
        </is>
      </c>
      <c r="C9" s="9" t="inlineStr">
        <is>
          <t>Cao</t>
        </is>
      </c>
      <c r="D9" s="10" t="inlineStr">
        <is>
          <t>Chợ Đêm Pleiku (Mới)</t>
        </is>
      </c>
      <c r="E9" s="9" t="inlineStr">
        <is>
          <t>Chợ</t>
        </is>
      </c>
      <c r="F9" s="9" t="inlineStr">
        <is>
          <t>Dữ liệu gialai-travel</t>
        </is>
      </c>
      <c r="G9" s="10" t="inlineStr">
        <is>
          <t>XX7Q+J7W, Trần Xuân Soạn, Diên Hồng, Gia Lai, Việt Nam</t>
        </is>
      </c>
      <c r="H9" s="9" t="inlineStr">
        <is>
          <t>Phường Diên Hồng</t>
        </is>
      </c>
      <c r="I9" s="11" t="n">
        <v>13.964108</v>
      </c>
      <c r="J9" s="11" t="n">
        <v>107.988214</v>
      </c>
      <c r="K9" s="9" t="inlineStr">
        <is>
          <t>Chưa đối chiếu</t>
        </is>
      </c>
      <c r="L9" s="10" t="n"/>
      <c r="M9" s="12" t="inlineStr">
        <is>
          <t>Bản đồ</t>
        </is>
      </c>
      <c r="N9" s="13" t="n"/>
      <c r="O9" s="14" t="n"/>
      <c r="P9" s="14" t="n"/>
      <c r="Q9" s="13" t="n"/>
      <c r="R9" s="15" t="n"/>
      <c r="S9" s="13" t="n"/>
      <c r="T9" s="13" t="n"/>
      <c r="U9" s="16">
        <f>IF(AND(ISNUMBER(O9),ISNUMBER(P9)),ROUND(SQRT(((P9-J9)*111320*COS(RADIANS(I9)))^2+((O9-I9)*110540)^2),0),"")</f>
        <v/>
      </c>
      <c r="V9" s="17">
        <f>IF(N9="","",IF(N9="Sửa vị trí",IF(OR(O9="",P9=""),"Thiếu vĩ độ / kinh độ mới",IF(OR(O9&lt;12.5,O9&gt;15,P9&lt;107,P9&gt;109.6),"Toạ độ ngoài Gia Lai (đảo vĩ/kinh độ?)",IF(Q9="","Chọn cách xác định",IF(U9&gt;20000,"Dời hơn 20 km – kiểm tra lại","OK")))),IF(AND(N9&lt;&gt;"Sửa vị trí",OR(O9&lt;&gt;"",P9&lt;&gt;"")),"Có toạ độ mới nhưng kết quả không phải Sửa vị trí","OK")))</f>
        <v/>
      </c>
    </row>
    <row r="10">
      <c r="A10" s="9" t="n">
        <v>6</v>
      </c>
      <c r="B10" s="9" t="inlineStr">
        <is>
          <t>aa7c34af-5f08-4ef5-9d48-7b226ec6910b</t>
        </is>
      </c>
      <c r="C10" s="9" t="inlineStr">
        <is>
          <t>Cao</t>
        </is>
      </c>
      <c r="D10" s="10" t="inlineStr">
        <is>
          <t>Chợ Đêm Pleiku Gia Lai</t>
        </is>
      </c>
      <c r="E10" s="9" t="inlineStr">
        <is>
          <t>Chợ</t>
        </is>
      </c>
      <c r="F10" s="9" t="inlineStr">
        <is>
          <t>Dữ liệu gialai-travel</t>
        </is>
      </c>
      <c r="G10" s="10" t="inlineStr">
        <is>
          <t>40 Nguyễn Thiện Thuật, Diên Hồng, Gia Lai 600000, Việt Nam</t>
        </is>
      </c>
      <c r="H10" s="9" t="inlineStr">
        <is>
          <t>Phường Diên Hồng</t>
        </is>
      </c>
      <c r="I10" s="11" t="n">
        <v>13.97878</v>
      </c>
      <c r="J10" s="11" t="n">
        <v>107.997549</v>
      </c>
      <c r="K10" s="9" t="inlineStr">
        <is>
          <t>Chưa đối chiếu</t>
        </is>
      </c>
      <c r="L10" s="10" t="n"/>
      <c r="M10" s="12" t="inlineStr">
        <is>
          <t>Bản đồ</t>
        </is>
      </c>
      <c r="N10" s="13" t="n"/>
      <c r="O10" s="14" t="n"/>
      <c r="P10" s="14" t="n"/>
      <c r="Q10" s="13" t="n"/>
      <c r="R10" s="15" t="n"/>
      <c r="S10" s="13" t="n"/>
      <c r="T10" s="13" t="n"/>
      <c r="U10" s="16">
        <f>IF(AND(ISNUMBER(O10),ISNUMBER(P10)),ROUND(SQRT(((P10-J10)*111320*COS(RADIANS(I10)))^2+((O10-I10)*110540)^2),0),"")</f>
        <v/>
      </c>
      <c r="V10" s="17">
        <f>IF(N10="","",IF(N10="Sửa vị trí",IF(OR(O10="",P10=""),"Thiếu vĩ độ / kinh độ mới",IF(OR(O10&lt;12.5,O10&gt;15,P10&lt;107,P10&gt;109.6),"Toạ độ ngoài Gia Lai (đảo vĩ/kinh độ?)",IF(Q10="","Chọn cách xác định",IF(U10&gt;20000,"Dời hơn 20 km – kiểm tra lại","OK")))),IF(AND(N10&lt;&gt;"Sửa vị trí",OR(O10&lt;&gt;"",P10&lt;&gt;"")),"Có toạ độ mới nhưng kết quả không phải Sửa vị trí","OK")))</f>
        <v/>
      </c>
    </row>
    <row r="11">
      <c r="A11" s="9" t="n">
        <v>7</v>
      </c>
      <c r="B11" s="9" t="inlineStr">
        <is>
          <t>a08921df-0ff9-4d7c-bf84-e8316e4f2656</t>
        </is>
      </c>
      <c r="C11" s="9" t="inlineStr">
        <is>
          <t>Cao</t>
        </is>
      </c>
      <c r="D11" s="10" t="inlineStr">
        <is>
          <t>Chợ Trà Bá</t>
        </is>
      </c>
      <c r="E11" s="9" t="inlineStr">
        <is>
          <t>Chợ</t>
        </is>
      </c>
      <c r="F11" s="9" t="inlineStr">
        <is>
          <t>Dữ liệu gialai-travel</t>
        </is>
      </c>
      <c r="G11" s="10" t="inlineStr">
        <is>
          <t>18 Trường Chinh, Hội Phú, Gia Lai 600000, Việt Nam</t>
        </is>
      </c>
      <c r="H11" s="9" t="inlineStr">
        <is>
          <t>Phường Hội Phú</t>
        </is>
      </c>
      <c r="I11" s="11" t="n">
        <v>13.954041</v>
      </c>
      <c r="J11" s="11" t="n">
        <v>108.014269</v>
      </c>
      <c r="K11" s="9" t="inlineStr">
        <is>
          <t>Chưa đối chiếu</t>
        </is>
      </c>
      <c r="L11" s="10" t="n"/>
      <c r="M11" s="12" t="inlineStr">
        <is>
          <t>Bản đồ</t>
        </is>
      </c>
      <c r="N11" s="13" t="n"/>
      <c r="O11" s="14" t="n"/>
      <c r="P11" s="14" t="n"/>
      <c r="Q11" s="13" t="n"/>
      <c r="R11" s="15" t="n"/>
      <c r="S11" s="13" t="n"/>
      <c r="T11" s="13" t="n"/>
      <c r="U11" s="16">
        <f>IF(AND(ISNUMBER(O11),ISNUMBER(P11)),ROUND(SQRT(((P11-J11)*111320*COS(RADIANS(I11)))^2+((O11-I11)*110540)^2),0),"")</f>
        <v/>
      </c>
      <c r="V11" s="17">
        <f>IF(N11="","",IF(N11="Sửa vị trí",IF(OR(O11="",P11=""),"Thiếu vĩ độ / kinh độ mới",IF(OR(O11&lt;12.5,O11&gt;15,P11&lt;107,P11&gt;109.6),"Toạ độ ngoài Gia Lai (đảo vĩ/kinh độ?)",IF(Q11="","Chọn cách xác định",IF(U11&gt;20000,"Dời hơn 20 km – kiểm tra lại","OK")))),IF(AND(N11&lt;&gt;"Sửa vị trí",OR(O11&lt;&gt;"",P11&lt;&gt;"")),"Có toạ độ mới nhưng kết quả không phải Sửa vị trí","OK")))</f>
        <v/>
      </c>
    </row>
    <row r="12">
      <c r="A12" s="9" t="n">
        <v>8</v>
      </c>
      <c r="B12" s="9" t="inlineStr">
        <is>
          <t>2c97df02-2a2a-4371-9c4a-a15fd685824a</t>
        </is>
      </c>
      <c r="C12" s="9" t="inlineStr">
        <is>
          <t>Cao</t>
        </is>
      </c>
      <c r="D12" s="10" t="inlineStr">
        <is>
          <t>Chợ Hoa Lư mới</t>
        </is>
      </c>
      <c r="E12" s="9" t="inlineStr">
        <is>
          <t>Chợ</t>
        </is>
      </c>
      <c r="F12" s="9" t="inlineStr">
        <is>
          <t>Dữ liệu gialai-travel</t>
        </is>
      </c>
      <c r="G12" s="10" t="inlineStr">
        <is>
          <t>X2Q6+7HG, Nguyễn Bá Lân, Pleiku, Gia Lai 600000, Việt Nam</t>
        </is>
      </c>
      <c r="H12" s="9" t="inlineStr">
        <is>
          <t>Phường Pleiku</t>
        </is>
      </c>
      <c r="I12" s="11" t="n">
        <v>13.988266</v>
      </c>
      <c r="J12" s="11" t="n">
        <v>108.011451</v>
      </c>
      <c r="K12" s="9" t="inlineStr">
        <is>
          <t>Chưa đối chiếu</t>
        </is>
      </c>
      <c r="L12" s="10" t="n"/>
      <c r="M12" s="12" t="inlineStr">
        <is>
          <t>Bản đồ</t>
        </is>
      </c>
      <c r="N12" s="13" t="n"/>
      <c r="O12" s="14" t="n"/>
      <c r="P12" s="14" t="n"/>
      <c r="Q12" s="13" t="n"/>
      <c r="R12" s="15" t="n"/>
      <c r="S12" s="13" t="n"/>
      <c r="T12" s="13" t="n"/>
      <c r="U12" s="16">
        <f>IF(AND(ISNUMBER(O12),ISNUMBER(P12)),ROUND(SQRT(((P12-J12)*111320*COS(RADIANS(I12)))^2+((O12-I12)*110540)^2),0),"")</f>
        <v/>
      </c>
      <c r="V12" s="17">
        <f>IF(N12="","",IF(N12="Sửa vị trí",IF(OR(O12="",P12=""),"Thiếu vĩ độ / kinh độ mới",IF(OR(O12&lt;12.5,O12&gt;15,P12&lt;107,P12&gt;109.6),"Toạ độ ngoài Gia Lai (đảo vĩ/kinh độ?)",IF(Q12="","Chọn cách xác định",IF(U12&gt;20000,"Dời hơn 20 km – kiểm tra lại","OK")))),IF(AND(N12&lt;&gt;"Sửa vị trí",OR(O12&lt;&gt;"",P12&lt;&gt;"")),"Có toạ độ mới nhưng kết quả không phải Sửa vị trí","OK")))</f>
        <v/>
      </c>
    </row>
    <row r="13">
      <c r="A13" s="9" t="n">
        <v>9</v>
      </c>
      <c r="B13" s="9" t="inlineStr">
        <is>
          <t>844b0f98-3d3f-48f9-ae29-4f80485a6a6f</t>
        </is>
      </c>
      <c r="C13" s="9" t="inlineStr">
        <is>
          <t>Cao</t>
        </is>
      </c>
      <c r="D13" s="10" t="inlineStr">
        <is>
          <t>Chợ Thống Nhất</t>
        </is>
      </c>
      <c r="E13" s="9" t="inlineStr">
        <is>
          <t>Chợ</t>
        </is>
      </c>
      <c r="F13" s="9" t="inlineStr">
        <is>
          <t>Dữ liệu gialai-travel</t>
        </is>
      </c>
      <c r="G13" s="10" t="inlineStr">
        <is>
          <t>192 Phạm Văn Đồng, Thống Nhất, Gia Lai 600000, Việt Nam</t>
        </is>
      </c>
      <c r="H13" s="9" t="inlineStr">
        <is>
          <t>Phường Thống Nhất</t>
        </is>
      </c>
      <c r="I13" s="11" t="n">
        <v>13.997023</v>
      </c>
      <c r="J13" s="11" t="n">
        <v>107.998083</v>
      </c>
      <c r="K13" s="9" t="inlineStr">
        <is>
          <t>Chưa đối chiếu</t>
        </is>
      </c>
      <c r="L13" s="10" t="n"/>
      <c r="M13" s="12" t="inlineStr">
        <is>
          <t>Bản đồ</t>
        </is>
      </c>
      <c r="N13" s="13" t="n"/>
      <c r="O13" s="14" t="n"/>
      <c r="P13" s="14" t="n"/>
      <c r="Q13" s="13" t="n"/>
      <c r="R13" s="15" t="n"/>
      <c r="S13" s="13" t="n"/>
      <c r="T13" s="13" t="n"/>
      <c r="U13" s="16">
        <f>IF(AND(ISNUMBER(O13),ISNUMBER(P13)),ROUND(SQRT(((P13-J13)*111320*COS(RADIANS(I13)))^2+((O13-I13)*110540)^2),0),"")</f>
        <v/>
      </c>
      <c r="V13" s="17">
        <f>IF(N13="","",IF(N13="Sửa vị trí",IF(OR(O13="",P13=""),"Thiếu vĩ độ / kinh độ mới",IF(OR(O13&lt;12.5,O13&gt;15,P13&lt;107,P13&gt;109.6),"Toạ độ ngoài Gia Lai (đảo vĩ/kinh độ?)",IF(Q13="","Chọn cách xác định",IF(U13&gt;20000,"Dời hơn 20 km – kiểm tra lại","OK")))),IF(AND(N13&lt;&gt;"Sửa vị trí",OR(O13&lt;&gt;"",P13&lt;&gt;"")),"Có toạ độ mới nhưng kết quả không phải Sửa vị trí","OK")))</f>
        <v/>
      </c>
    </row>
    <row r="14">
      <c r="A14" s="9" t="n">
        <v>10</v>
      </c>
      <c r="B14" s="9" t="inlineStr">
        <is>
          <t>533f2cc2-6337-4540-b666-c1c4a79e63c2</t>
        </is>
      </c>
      <c r="C14" s="9" t="inlineStr">
        <is>
          <t>Cao</t>
        </is>
      </c>
      <c r="D14" s="10" t="inlineStr">
        <is>
          <t>Chợ Biển Hồ</t>
        </is>
      </c>
      <c r="E14" s="9" t="inlineStr">
        <is>
          <t>Chợ</t>
        </is>
      </c>
      <c r="F14" s="9" t="inlineStr">
        <is>
          <t>Dữ liệu gialai-travel</t>
        </is>
      </c>
      <c r="G14" s="10" t="inlineStr">
        <is>
          <t>22P6+CV8, Biển Hồ, Gia Lai 600000, Việt Nam</t>
        </is>
      </c>
      <c r="H14" s="9" t="inlineStr">
        <is>
          <t>Xã Biển Hồ</t>
        </is>
      </c>
      <c r="I14" s="11" t="n">
        <v>14.036034</v>
      </c>
      <c r="J14" s="11" t="n">
        <v>108.012214</v>
      </c>
      <c r="K14" s="9" t="inlineStr">
        <is>
          <t>Chưa đối chiếu</t>
        </is>
      </c>
      <c r="L14" s="10" t="n"/>
      <c r="M14" s="12" t="inlineStr">
        <is>
          <t>Bản đồ</t>
        </is>
      </c>
      <c r="N14" s="13" t="n"/>
      <c r="O14" s="14" t="n"/>
      <c r="P14" s="14" t="n"/>
      <c r="Q14" s="13" t="n"/>
      <c r="R14" s="15" t="n"/>
      <c r="S14" s="13" t="n"/>
      <c r="T14" s="13" t="n"/>
      <c r="U14" s="16">
        <f>IF(AND(ISNUMBER(O14),ISNUMBER(P14)),ROUND(SQRT(((P14-J14)*111320*COS(RADIANS(I14)))^2+((O14-I14)*110540)^2),0),"")</f>
        <v/>
      </c>
      <c r="V14" s="17">
        <f>IF(N14="","",IF(N14="Sửa vị trí",IF(OR(O14="",P14=""),"Thiếu vĩ độ / kinh độ mới",IF(OR(O14&lt;12.5,O14&gt;15,P14&lt;107,P14&gt;109.6),"Toạ độ ngoài Gia Lai (đảo vĩ/kinh độ?)",IF(Q14="","Chọn cách xác định",IF(U14&gt;20000,"Dời hơn 20 km – kiểm tra lại","OK")))),IF(AND(N14&lt;&gt;"Sửa vị trí",OR(O14&lt;&gt;"",P14&lt;&gt;"")),"Có toạ độ mới nhưng kết quả không phải Sửa vị trí","OK")))</f>
        <v/>
      </c>
    </row>
    <row r="15">
      <c r="A15" s="9" t="n">
        <v>11</v>
      </c>
      <c r="B15" s="9" t="inlineStr">
        <is>
          <t>bcb9373c-4431-42f3-bc9b-1a232653a56c</t>
        </is>
      </c>
      <c r="C15" s="9" t="inlineStr">
        <is>
          <t>Cao</t>
        </is>
      </c>
      <c r="D15" s="10" t="inlineStr">
        <is>
          <t>Hồ Từ Lệnh</t>
        </is>
      </c>
      <c r="E15" s="9" t="inlineStr">
        <is>
          <t>Danh lam thắng cảnh</t>
        </is>
      </c>
      <c r="F15" s="9" t="inlineStr">
        <is>
          <t>Dữ liệu gialai-travel</t>
        </is>
      </c>
      <c r="G15" s="10" t="inlineStr">
        <is>
          <t>Đường Từ Lệnh, Tp. Pleiku, Gia Lai</t>
        </is>
      </c>
      <c r="H15" s="9" t="inlineStr">
        <is>
          <t>Phường Pleiku</t>
        </is>
      </c>
      <c r="I15" s="11" t="n">
        <v>13.9809</v>
      </c>
      <c r="J15" s="11" t="n">
        <v>108.0215</v>
      </c>
      <c r="K15" s="9" t="inlineStr">
        <is>
          <t>Chưa đối chiếu</t>
        </is>
      </c>
      <c r="L15" s="10" t="n"/>
      <c r="M15" s="12" t="inlineStr">
        <is>
          <t>Bản đồ</t>
        </is>
      </c>
      <c r="N15" s="13" t="n"/>
      <c r="O15" s="14" t="n"/>
      <c r="P15" s="14" t="n"/>
      <c r="Q15" s="13" t="n"/>
      <c r="R15" s="15" t="n"/>
      <c r="S15" s="13" t="n"/>
      <c r="T15" s="13" t="n"/>
      <c r="U15" s="16">
        <f>IF(AND(ISNUMBER(O15),ISNUMBER(P15)),ROUND(SQRT(((P15-J15)*111320*COS(RADIANS(I15)))^2+((O15-I15)*110540)^2),0),"")</f>
        <v/>
      </c>
      <c r="V15" s="17">
        <f>IF(N15="","",IF(N15="Sửa vị trí",IF(OR(O15="",P15=""),"Thiếu vĩ độ / kinh độ mới",IF(OR(O15&lt;12.5,O15&gt;15,P15&lt;107,P15&gt;109.6),"Toạ độ ngoài Gia Lai (đảo vĩ/kinh độ?)",IF(Q15="","Chọn cách xác định",IF(U15&gt;20000,"Dời hơn 20 km – kiểm tra lại","OK")))),IF(AND(N15&lt;&gt;"Sửa vị trí",OR(O15&lt;&gt;"",P15&lt;&gt;"")),"Có toạ độ mới nhưng kết quả không phải Sửa vị trí","OK")))</f>
        <v/>
      </c>
    </row>
    <row r="16">
      <c r="A16" s="9" t="n">
        <v>12</v>
      </c>
      <c r="B16" s="9" t="inlineStr">
        <is>
          <t>9e96630f-5d4a-43f8-947e-9f4f6a4dff7c</t>
        </is>
      </c>
      <c r="C16" s="9" t="inlineStr">
        <is>
          <t>Cao</t>
        </is>
      </c>
      <c r="D16" s="10" t="inlineStr">
        <is>
          <t>Núi Lửa Chư Pah</t>
        </is>
      </c>
      <c r="E16" s="9" t="inlineStr">
        <is>
          <t>Danh lam thắng cảnh</t>
        </is>
      </c>
      <c r="F16" s="9" t="inlineStr">
        <is>
          <t>Dữ liệu gialai-travel</t>
        </is>
      </c>
      <c r="G16" s="10" t="inlineStr">
        <is>
          <t>Phường Pleiku, Gia Lai</t>
        </is>
      </c>
      <c r="H16" s="9" t="inlineStr">
        <is>
          <t>Phường Pleiku</t>
        </is>
      </c>
      <c r="I16" s="11" t="n">
        <v>13.972151</v>
      </c>
      <c r="J16" s="11" t="n">
        <v>108.022385</v>
      </c>
      <c r="K16" s="9" t="inlineStr">
        <is>
          <t>Chưa đối chiếu</t>
        </is>
      </c>
      <c r="L16" s="10" t="n"/>
      <c r="M16" s="12" t="inlineStr">
        <is>
          <t>Bản đồ</t>
        </is>
      </c>
      <c r="N16" s="13" t="n"/>
      <c r="O16" s="14" t="n"/>
      <c r="P16" s="14" t="n"/>
      <c r="Q16" s="13" t="n"/>
      <c r="R16" s="15" t="n"/>
      <c r="S16" s="13" t="n"/>
      <c r="T16" s="13" t="n"/>
      <c r="U16" s="16">
        <f>IF(AND(ISNUMBER(O16),ISNUMBER(P16)),ROUND(SQRT(((P16-J16)*111320*COS(RADIANS(I16)))^2+((O16-I16)*110540)^2),0),"")</f>
        <v/>
      </c>
      <c r="V16" s="17">
        <f>IF(N16="","",IF(N16="Sửa vị trí",IF(OR(O16="",P16=""),"Thiếu vĩ độ / kinh độ mới",IF(OR(O16&lt;12.5,O16&gt;15,P16&lt;107,P16&gt;109.6),"Toạ độ ngoài Gia Lai (đảo vĩ/kinh độ?)",IF(Q16="","Chọn cách xác định",IF(U16&gt;20000,"Dời hơn 20 km – kiểm tra lại","OK")))),IF(AND(N16&lt;&gt;"Sửa vị trí",OR(O16&lt;&gt;"",P16&lt;&gt;"")),"Có toạ độ mới nhưng kết quả không phải Sửa vị trí","OK")))</f>
        <v/>
      </c>
    </row>
    <row r="17">
      <c r="A17" s="9" t="n">
        <v>13</v>
      </c>
      <c r="B17" s="9" t="inlineStr">
        <is>
          <t>f3ea9782-b004-4976-8a00-d3b24cef6831</t>
        </is>
      </c>
      <c r="C17" s="9" t="inlineStr">
        <is>
          <t>Cao</t>
        </is>
      </c>
      <c r="D17" s="10" t="inlineStr">
        <is>
          <t>Biển Hồ T'Nưng</t>
        </is>
      </c>
      <c r="E17" s="9" t="inlineStr">
        <is>
          <t>Danh lam thắng cảnh</t>
        </is>
      </c>
      <c r="F17" s="9" t="inlineStr">
        <is>
          <t>Dữ liệu gialai-travel</t>
        </is>
      </c>
      <c r="G17" s="10" t="inlineStr">
        <is>
          <t>Xã Biển Hồ, thành phố Pleiku, tỉnh Gia Lai.</t>
        </is>
      </c>
      <c r="H17" s="9" t="inlineStr">
        <is>
          <t>Xã Biển Hồ</t>
        </is>
      </c>
      <c r="I17" s="11" t="n">
        <v>14.034813</v>
      </c>
      <c r="J17" s="11" t="n">
        <v>107.996807</v>
      </c>
      <c r="K17" s="9" t="inlineStr">
        <is>
          <t>Chưa đối chiếu</t>
        </is>
      </c>
      <c r="L17" s="10" t="n"/>
      <c r="M17" s="12" t="inlineStr">
        <is>
          <t>Bản đồ</t>
        </is>
      </c>
      <c r="N17" s="13" t="n"/>
      <c r="O17" s="14" t="n"/>
      <c r="P17" s="14" t="n"/>
      <c r="Q17" s="13" t="n"/>
      <c r="R17" s="15" t="n"/>
      <c r="S17" s="13" t="n"/>
      <c r="T17" s="13" t="n"/>
      <c r="U17" s="16">
        <f>IF(AND(ISNUMBER(O17),ISNUMBER(P17)),ROUND(SQRT(((P17-J17)*111320*COS(RADIANS(I17)))^2+((O17-I17)*110540)^2),0),"")</f>
        <v/>
      </c>
      <c r="V17" s="17">
        <f>IF(N17="","",IF(N17="Sửa vị trí",IF(OR(O17="",P17=""),"Thiếu vĩ độ / kinh độ mới",IF(OR(O17&lt;12.5,O17&gt;15,P17&lt;107,P17&gt;109.6),"Toạ độ ngoài Gia Lai (đảo vĩ/kinh độ?)",IF(Q17="","Chọn cách xác định",IF(U17&gt;20000,"Dời hơn 20 km – kiểm tra lại","OK")))),IF(AND(N17&lt;&gt;"Sửa vị trí",OR(O17&lt;&gt;"",P17&lt;&gt;"")),"Có toạ độ mới nhưng kết quả không phải Sửa vị trí","OK")))</f>
        <v/>
      </c>
    </row>
    <row r="18">
      <c r="A18" s="9" t="n">
        <v>14</v>
      </c>
      <c r="B18" s="9" t="inlineStr">
        <is>
          <t>c6c46286-0ca9-41f9-86e2-410c49058582</t>
        </is>
      </c>
      <c r="C18" s="9" t="inlineStr">
        <is>
          <t>Cao</t>
        </is>
      </c>
      <c r="D18" s="10" t="inlineStr">
        <is>
          <t>The Stay Home</t>
        </is>
      </c>
      <c r="E18" s="9" t="inlineStr">
        <is>
          <t>Homestay</t>
        </is>
      </c>
      <c r="F18" s="9" t="inlineStr">
        <is>
          <t>Dữ liệu gialai-travel</t>
        </is>
      </c>
      <c r="G18" s="10" t="inlineStr">
        <is>
          <t>10 Hoàng Văn Thái, Pleiku, Gia Lai 600000, Việt Nam</t>
        </is>
      </c>
      <c r="H18" s="9" t="inlineStr">
        <is>
          <t>Phường Pleiku</t>
        </is>
      </c>
      <c r="I18" s="11" t="n">
        <v>13.985172</v>
      </c>
      <c r="J18" s="11" t="n">
        <v>108.018771</v>
      </c>
      <c r="K18" s="9" t="inlineStr">
        <is>
          <t>Chưa đối chiếu</t>
        </is>
      </c>
      <c r="L18" s="10" t="n"/>
      <c r="M18" s="12" t="inlineStr">
        <is>
          <t>Bản đồ</t>
        </is>
      </c>
      <c r="N18" s="13" t="n"/>
      <c r="O18" s="14" t="n"/>
      <c r="P18" s="14" t="n"/>
      <c r="Q18" s="13" t="n"/>
      <c r="R18" s="15" t="n"/>
      <c r="S18" s="13" t="n"/>
      <c r="T18" s="13" t="n"/>
      <c r="U18" s="16">
        <f>IF(AND(ISNUMBER(O18),ISNUMBER(P18)),ROUND(SQRT(((P18-J18)*111320*COS(RADIANS(I18)))^2+((O18-I18)*110540)^2),0),"")</f>
        <v/>
      </c>
      <c r="V18" s="17">
        <f>IF(N18="","",IF(N18="Sửa vị trí",IF(OR(O18="",P18=""),"Thiếu vĩ độ / kinh độ mới",IF(OR(O18&lt;12.5,O18&gt;15,P18&lt;107,P18&gt;109.6),"Toạ độ ngoài Gia Lai (đảo vĩ/kinh độ?)",IF(Q18="","Chọn cách xác định",IF(U18&gt;20000,"Dời hơn 20 km – kiểm tra lại","OK")))),IF(AND(N18&lt;&gt;"Sửa vị trí",OR(O18&lt;&gt;"",P18&lt;&gt;"")),"Có toạ độ mới nhưng kết quả không phải Sửa vị trí","OK")))</f>
        <v/>
      </c>
    </row>
    <row r="19">
      <c r="A19" s="9" t="n">
        <v>15</v>
      </c>
      <c r="B19" s="9" t="inlineStr">
        <is>
          <t>42917bb5-e4df-413a-9c58-6bec9e4e32c0</t>
        </is>
      </c>
      <c r="C19" s="9" t="inlineStr">
        <is>
          <t>Cao</t>
        </is>
      </c>
      <c r="D19" s="10" t="inlineStr">
        <is>
          <t>Nhà khách T500/QĐ3</t>
        </is>
      </c>
      <c r="E19" s="9" t="inlineStr">
        <is>
          <t>Khách sạn</t>
        </is>
      </c>
      <c r="F19" s="9" t="inlineStr">
        <is>
          <t>Dữ liệu gialai-travel</t>
        </is>
      </c>
      <c r="G19" s="10" t="inlineStr">
        <is>
          <t>273 Lê Duẩn, An Phú, Gia Lai 600000, Việt Nam</t>
        </is>
      </c>
      <c r="H19" s="9" t="inlineStr">
        <is>
          <t>Phường An Phú</t>
        </is>
      </c>
      <c r="I19" s="11" t="n">
        <v>13.97259</v>
      </c>
      <c r="J19" s="11" t="n">
        <v>108.031853</v>
      </c>
      <c r="K19" s="9" t="inlineStr">
        <is>
          <t>Chưa đối chiếu</t>
        </is>
      </c>
      <c r="L19" s="10" t="n"/>
      <c r="M19" s="12" t="inlineStr">
        <is>
          <t>Bản đồ</t>
        </is>
      </c>
      <c r="N19" s="13" t="n"/>
      <c r="O19" s="14" t="n"/>
      <c r="P19" s="14" t="n"/>
      <c r="Q19" s="13" t="n"/>
      <c r="R19" s="15" t="n"/>
      <c r="S19" s="13" t="n"/>
      <c r="T19" s="13" t="n"/>
      <c r="U19" s="16">
        <f>IF(AND(ISNUMBER(O19),ISNUMBER(P19)),ROUND(SQRT(((P19-J19)*111320*COS(RADIANS(I19)))^2+((O19-I19)*110540)^2),0),"")</f>
        <v/>
      </c>
      <c r="V19" s="17">
        <f>IF(N19="","",IF(N19="Sửa vị trí",IF(OR(O19="",P19=""),"Thiếu vĩ độ / kinh độ mới",IF(OR(O19&lt;12.5,O19&gt;15,P19&lt;107,P19&gt;109.6),"Toạ độ ngoài Gia Lai (đảo vĩ/kinh độ?)",IF(Q19="","Chọn cách xác định",IF(U19&gt;20000,"Dời hơn 20 km – kiểm tra lại","OK")))),IF(AND(N19&lt;&gt;"Sửa vị trí",OR(O19&lt;&gt;"",P19&lt;&gt;"")),"Có toạ độ mới nhưng kết quả không phải Sửa vị trí","OK")))</f>
        <v/>
      </c>
    </row>
    <row r="20">
      <c r="A20" s="9" t="n">
        <v>16</v>
      </c>
      <c r="B20" s="9" t="inlineStr">
        <is>
          <t>4d4c6307-a641-4c59-a82d-8eddb652c7b7</t>
        </is>
      </c>
      <c r="C20" s="9" t="inlineStr">
        <is>
          <t>Cao</t>
        </is>
      </c>
      <c r="D20" s="10" t="inlineStr">
        <is>
          <t>Nhà Nghỉ Đông Nam Á</t>
        </is>
      </c>
      <c r="E20" s="9" t="inlineStr">
        <is>
          <t>Nhà nghỉ</t>
        </is>
      </c>
      <c r="F20" s="9" t="inlineStr">
        <is>
          <t>Dữ liệu gialai-travel</t>
        </is>
      </c>
      <c r="G20" s="10" t="inlineStr">
        <is>
          <t>39 Hoàng Văn Thụ, Diên Hồng, Gia Lai 600000, Việt Nam</t>
        </is>
      </c>
      <c r="H20" s="9" t="inlineStr">
        <is>
          <t>Phường Diên Hồng</t>
        </is>
      </c>
      <c r="I20" s="11" t="n">
        <v>13.974527</v>
      </c>
      <c r="J20" s="11" t="n">
        <v>107.998111</v>
      </c>
      <c r="K20" s="9" t="inlineStr">
        <is>
          <t>Chưa đối chiếu</t>
        </is>
      </c>
      <c r="L20" s="10" t="n"/>
      <c r="M20" s="12" t="inlineStr">
        <is>
          <t>Bản đồ</t>
        </is>
      </c>
      <c r="N20" s="13" t="n"/>
      <c r="O20" s="14" t="n"/>
      <c r="P20" s="14" t="n"/>
      <c r="Q20" s="13" t="n"/>
      <c r="R20" s="15" t="n"/>
      <c r="S20" s="13" t="n"/>
      <c r="T20" s="13" t="n"/>
      <c r="U20" s="16">
        <f>IF(AND(ISNUMBER(O20),ISNUMBER(P20)),ROUND(SQRT(((P20-J20)*111320*COS(RADIANS(I20)))^2+((O20-I20)*110540)^2),0),"")</f>
        <v/>
      </c>
      <c r="V20" s="17">
        <f>IF(N20="","",IF(N20="Sửa vị trí",IF(OR(O20="",P20=""),"Thiếu vĩ độ / kinh độ mới",IF(OR(O20&lt;12.5,O20&gt;15,P20&lt;107,P20&gt;109.6),"Toạ độ ngoài Gia Lai (đảo vĩ/kinh độ?)",IF(Q20="","Chọn cách xác định",IF(U20&gt;20000,"Dời hơn 20 km – kiểm tra lại","OK")))),IF(AND(N20&lt;&gt;"Sửa vị trí",OR(O20&lt;&gt;"",P20&lt;&gt;"")),"Có toạ độ mới nhưng kết quả không phải Sửa vị trí","OK")))</f>
        <v/>
      </c>
    </row>
    <row r="21">
      <c r="A21" s="9" t="n">
        <v>17</v>
      </c>
      <c r="B21" s="9" t="inlineStr">
        <is>
          <t>b0df8b2e-8a00-4980-a439-2f4431d62764</t>
        </is>
      </c>
      <c r="C21" s="9" t="inlineStr">
        <is>
          <t>Cao</t>
        </is>
      </c>
      <c r="D21" s="10" t="inlineStr">
        <is>
          <t>Nhà Nghỉ Bảo Long</t>
        </is>
      </c>
      <c r="E21" s="9" t="inlineStr">
        <is>
          <t>Nhà nghỉ</t>
        </is>
      </c>
      <c r="F21" s="9" t="inlineStr">
        <is>
          <t>Dữ liệu gialai-travel</t>
        </is>
      </c>
      <c r="G21" s="10" t="inlineStr">
        <is>
          <t>567 Đường Lê Thánh Tôn, Hội Phú, Gia Lai 600000, Việt Nam</t>
        </is>
      </c>
      <c r="H21" s="9" t="inlineStr">
        <is>
          <t>Phường Hội Phú</t>
        </is>
      </c>
      <c r="I21" s="11" t="n">
        <v>13.950515</v>
      </c>
      <c r="J21" s="11" t="n">
        <v>108.014056</v>
      </c>
      <c r="K21" s="9" t="inlineStr">
        <is>
          <t>Chưa đối chiếu</t>
        </is>
      </c>
      <c r="L21" s="10" t="n"/>
      <c r="M21" s="12" t="inlineStr">
        <is>
          <t>Bản đồ</t>
        </is>
      </c>
      <c r="N21" s="13" t="n"/>
      <c r="O21" s="14" t="n"/>
      <c r="P21" s="14" t="n"/>
      <c r="Q21" s="13" t="n"/>
      <c r="R21" s="15" t="n"/>
      <c r="S21" s="13" t="n"/>
      <c r="T21" s="13" t="n"/>
      <c r="U21" s="16">
        <f>IF(AND(ISNUMBER(O21),ISNUMBER(P21)),ROUND(SQRT(((P21-J21)*111320*COS(RADIANS(I21)))^2+((O21-I21)*110540)^2),0),"")</f>
        <v/>
      </c>
      <c r="V21" s="17">
        <f>IF(N21="","",IF(N21="Sửa vị trí",IF(OR(O21="",P21=""),"Thiếu vĩ độ / kinh độ mới",IF(OR(O21&lt;12.5,O21&gt;15,P21&lt;107,P21&gt;109.6),"Toạ độ ngoài Gia Lai (đảo vĩ/kinh độ?)",IF(Q21="","Chọn cách xác định",IF(U21&gt;20000,"Dời hơn 20 km – kiểm tra lại","OK")))),IF(AND(N21&lt;&gt;"Sửa vị trí",OR(O21&lt;&gt;"",P21&lt;&gt;"")),"Có toạ độ mới nhưng kết quả không phải Sửa vị trí","OK")))</f>
        <v/>
      </c>
    </row>
    <row r="22">
      <c r="A22" s="9" t="n">
        <v>18</v>
      </c>
      <c r="B22" s="9" t="inlineStr">
        <is>
          <t>8abe44c2-9268-4840-968d-09893b57710e</t>
        </is>
      </c>
      <c r="C22" s="9" t="inlineStr">
        <is>
          <t>Cao</t>
        </is>
      </c>
      <c r="D22" s="10" t="inlineStr">
        <is>
          <t>Nhà nghỉ Hàm Rồng</t>
        </is>
      </c>
      <c r="E22" s="9" t="inlineStr">
        <is>
          <t>Nhà nghỉ</t>
        </is>
      </c>
      <c r="F22" s="9" t="inlineStr">
        <is>
          <t>Dữ liệu gialai-travel</t>
        </is>
      </c>
      <c r="G22" s="10" t="inlineStr">
        <is>
          <t>1322 Trường Chinh, Hội Phú, Gia Lai 600000, Việt Nam</t>
        </is>
      </c>
      <c r="H22" s="9" t="inlineStr">
        <is>
          <t>Phường Hội Phú</t>
        </is>
      </c>
      <c r="I22" s="11" t="n">
        <v>13.910494</v>
      </c>
      <c r="J22" s="11" t="n">
        <v>108.009658</v>
      </c>
      <c r="K22" s="9" t="inlineStr">
        <is>
          <t>Chưa đối chiếu</t>
        </is>
      </c>
      <c r="L22" s="10" t="n"/>
      <c r="M22" s="12" t="inlineStr">
        <is>
          <t>Bản đồ</t>
        </is>
      </c>
      <c r="N22" s="13" t="n"/>
      <c r="O22" s="14" t="n"/>
      <c r="P22" s="14" t="n"/>
      <c r="Q22" s="13" t="n"/>
      <c r="R22" s="15" t="n"/>
      <c r="S22" s="13" t="n"/>
      <c r="T22" s="13" t="n"/>
      <c r="U22" s="16">
        <f>IF(AND(ISNUMBER(O22),ISNUMBER(P22)),ROUND(SQRT(((P22-J22)*111320*COS(RADIANS(I22)))^2+((O22-I22)*110540)^2),0),"")</f>
        <v/>
      </c>
      <c r="V22" s="17">
        <f>IF(N22="","",IF(N22="Sửa vị trí",IF(OR(O22="",P22=""),"Thiếu vĩ độ / kinh độ mới",IF(OR(O22&lt;12.5,O22&gt;15,P22&lt;107,P22&gt;109.6),"Toạ độ ngoài Gia Lai (đảo vĩ/kinh độ?)",IF(Q22="","Chọn cách xác định",IF(U22&gt;20000,"Dời hơn 20 km – kiểm tra lại","OK")))),IF(AND(N22&lt;&gt;"Sửa vị trí",OR(O22&lt;&gt;"",P22&lt;&gt;"")),"Có toạ độ mới nhưng kết quả không phải Sửa vị trí","OK")))</f>
        <v/>
      </c>
    </row>
    <row r="23">
      <c r="A23" s="9" t="n">
        <v>19</v>
      </c>
      <c r="B23" s="9" t="inlineStr">
        <is>
          <t>c8c8d657-5d10-4678-9ec1-aaef5e58b289</t>
        </is>
      </c>
      <c r="C23" s="9" t="inlineStr">
        <is>
          <t>Cao</t>
        </is>
      </c>
      <c r="D23" s="10" t="inlineStr">
        <is>
          <t>Nhà Nghỉ 47</t>
        </is>
      </c>
      <c r="E23" s="9" t="inlineStr">
        <is>
          <t>Nhà nghỉ</t>
        </is>
      </c>
      <c r="F23" s="9" t="inlineStr">
        <is>
          <t>Dữ liệu gialai-travel</t>
        </is>
      </c>
      <c r="G23" s="10" t="inlineStr">
        <is>
          <t>47 Trường Chinh, Pleiku, Gia Lai 600000, Việt Nam</t>
        </is>
      </c>
      <c r="H23" s="9" t="inlineStr">
        <is>
          <t>Phường Pleiku</t>
        </is>
      </c>
      <c r="I23" s="11" t="n">
        <v>13.967844</v>
      </c>
      <c r="J23" s="11" t="n">
        <v>108.016891</v>
      </c>
      <c r="K23" s="9" t="inlineStr">
        <is>
          <t>Chưa đối chiếu</t>
        </is>
      </c>
      <c r="L23" s="10" t="n"/>
      <c r="M23" s="12" t="inlineStr">
        <is>
          <t>Bản đồ</t>
        </is>
      </c>
      <c r="N23" s="13" t="n"/>
      <c r="O23" s="14" t="n"/>
      <c r="P23" s="14" t="n"/>
      <c r="Q23" s="13" t="n"/>
      <c r="R23" s="15" t="n"/>
      <c r="S23" s="13" t="n"/>
      <c r="T23" s="13" t="n"/>
      <c r="U23" s="16">
        <f>IF(AND(ISNUMBER(O23),ISNUMBER(P23)),ROUND(SQRT(((P23-J23)*111320*COS(RADIANS(I23)))^2+((O23-I23)*110540)^2),0),"")</f>
        <v/>
      </c>
      <c r="V23" s="17">
        <f>IF(N23="","",IF(N23="Sửa vị trí",IF(OR(O23="",P23=""),"Thiếu vĩ độ / kinh độ mới",IF(OR(O23&lt;12.5,O23&gt;15,P23&lt;107,P23&gt;109.6),"Toạ độ ngoài Gia Lai (đảo vĩ/kinh độ?)",IF(Q23="","Chọn cách xác định",IF(U23&gt;20000,"Dời hơn 20 km – kiểm tra lại","OK")))),IF(AND(N23&lt;&gt;"Sửa vị trí",OR(O23&lt;&gt;"",P23&lt;&gt;"")),"Có toạ độ mới nhưng kết quả không phải Sửa vị trí","OK")))</f>
        <v/>
      </c>
    </row>
    <row r="24">
      <c r="A24" s="9" t="n">
        <v>20</v>
      </c>
      <c r="B24" s="9" t="inlineStr">
        <is>
          <t>9097ede3-3e8e-46cc-8101-ae48c2aa6e04</t>
        </is>
      </c>
      <c r="C24" s="9" t="inlineStr">
        <is>
          <t>Cao</t>
        </is>
      </c>
      <c r="D24" s="10" t="inlineStr">
        <is>
          <t>Nhà Nghỉ Phương Anh</t>
        </is>
      </c>
      <c r="E24" s="9" t="inlineStr">
        <is>
          <t>Nhà nghỉ</t>
        </is>
      </c>
      <c r="F24" s="9" t="inlineStr">
        <is>
          <t>Dữ liệu gialai-travel</t>
        </is>
      </c>
      <c r="G24" s="10" t="inlineStr">
        <is>
          <t>71 Phan Đình Giót, Pleiku, Gia Lai 600000, Việt Nam</t>
        </is>
      </c>
      <c r="H24" s="9" t="inlineStr">
        <is>
          <t>Phường Pleiku</t>
        </is>
      </c>
      <c r="I24" s="11" t="n">
        <v>13.984357</v>
      </c>
      <c r="J24" s="11" t="n">
        <v>108.00875</v>
      </c>
      <c r="K24" s="9" t="inlineStr">
        <is>
          <t>Chưa đối chiếu</t>
        </is>
      </c>
      <c r="L24" s="10" t="n"/>
      <c r="M24" s="12" t="inlineStr">
        <is>
          <t>Bản đồ</t>
        </is>
      </c>
      <c r="N24" s="13" t="n"/>
      <c r="O24" s="14" t="n"/>
      <c r="P24" s="14" t="n"/>
      <c r="Q24" s="13" t="n"/>
      <c r="R24" s="15" t="n"/>
      <c r="S24" s="13" t="n"/>
      <c r="T24" s="13" t="n"/>
      <c r="U24" s="16">
        <f>IF(AND(ISNUMBER(O24),ISNUMBER(P24)),ROUND(SQRT(((P24-J24)*111320*COS(RADIANS(I24)))^2+((O24-I24)*110540)^2),0),"")</f>
        <v/>
      </c>
      <c r="V24" s="17">
        <f>IF(N24="","",IF(N24="Sửa vị trí",IF(OR(O24="",P24=""),"Thiếu vĩ độ / kinh độ mới",IF(OR(O24&lt;12.5,O24&gt;15,P24&lt;107,P24&gt;109.6),"Toạ độ ngoài Gia Lai (đảo vĩ/kinh độ?)",IF(Q24="","Chọn cách xác định",IF(U24&gt;20000,"Dời hơn 20 km – kiểm tra lại","OK")))),IF(AND(N24&lt;&gt;"Sửa vị trí",OR(O24&lt;&gt;"",P24&lt;&gt;"")),"Có toạ độ mới nhưng kết quả không phải Sửa vị trí","OK")))</f>
        <v/>
      </c>
    </row>
    <row r="25">
      <c r="A25" s="9" t="n">
        <v>21</v>
      </c>
      <c r="B25" s="9" t="inlineStr">
        <is>
          <t>e78e2bd4-1179-4cef-8832-c73dc4f50f7c</t>
        </is>
      </c>
      <c r="C25" s="9" t="inlineStr">
        <is>
          <t>Cao</t>
        </is>
      </c>
      <c r="D25" s="10" t="inlineStr">
        <is>
          <t>Nhà nghỉ - Hotel Valentine</t>
        </is>
      </c>
      <c r="E25" s="9" t="inlineStr">
        <is>
          <t>Nhà nghỉ</t>
        </is>
      </c>
      <c r="F25" s="9" t="inlineStr">
        <is>
          <t>Dữ liệu gialai-travel</t>
        </is>
      </c>
      <c r="G25" s="10" t="inlineStr">
        <is>
          <t>37 Tôn Thất Thuyết, Thống Nhất, Gia Lai 600000, Việt Nam</t>
        </is>
      </c>
      <c r="H25" s="9" t="inlineStr">
        <is>
          <t>Phường Thống Nhất</t>
        </is>
      </c>
      <c r="I25" s="11" t="n">
        <v>13.994021</v>
      </c>
      <c r="J25" s="11" t="n">
        <v>108.001402</v>
      </c>
      <c r="K25" s="9" t="inlineStr">
        <is>
          <t>Chưa đối chiếu</t>
        </is>
      </c>
      <c r="L25" s="10" t="n"/>
      <c r="M25" s="12" t="inlineStr">
        <is>
          <t>Bản đồ</t>
        </is>
      </c>
      <c r="N25" s="13" t="n"/>
      <c r="O25" s="14" t="n"/>
      <c r="P25" s="14" t="n"/>
      <c r="Q25" s="13" t="n"/>
      <c r="R25" s="15" t="n"/>
      <c r="S25" s="13" t="n"/>
      <c r="T25" s="13" t="n"/>
      <c r="U25" s="16">
        <f>IF(AND(ISNUMBER(O25),ISNUMBER(P25)),ROUND(SQRT(((P25-J25)*111320*COS(RADIANS(I25)))^2+((O25-I25)*110540)^2),0),"")</f>
        <v/>
      </c>
      <c r="V25" s="17">
        <f>IF(N25="","",IF(N25="Sửa vị trí",IF(OR(O25="",P25=""),"Thiếu vĩ độ / kinh độ mới",IF(OR(O25&lt;12.5,O25&gt;15,P25&lt;107,P25&gt;109.6),"Toạ độ ngoài Gia Lai (đảo vĩ/kinh độ?)",IF(Q25="","Chọn cách xác định",IF(U25&gt;20000,"Dời hơn 20 km – kiểm tra lại","OK")))),IF(AND(N25&lt;&gt;"Sửa vị trí",OR(O25&lt;&gt;"",P25&lt;&gt;"")),"Có toạ độ mới nhưng kết quả không phải Sửa vị trí","OK")))</f>
        <v/>
      </c>
    </row>
    <row r="26">
      <c r="A26" s="9" t="n">
        <v>22</v>
      </c>
      <c r="B26" s="9" t="inlineStr">
        <is>
          <t>50f62d21-0c7a-42a0-9d3b-0330249628ca</t>
        </is>
      </c>
      <c r="C26" s="9" t="inlineStr">
        <is>
          <t>Cao</t>
        </is>
      </c>
      <c r="D26" s="10" t="inlineStr">
        <is>
          <t>Bảo Tàng Dân Tộc Học Gia Lai</t>
        </is>
      </c>
      <c r="E26" s="9" t="inlineStr">
        <is>
          <t>Địa danh văn hóa</t>
        </is>
      </c>
      <c r="F26" s="9" t="inlineStr">
        <is>
          <t>Dữ liệu gialai-travel</t>
        </is>
      </c>
      <c r="G26" s="10" t="inlineStr">
        <is>
          <t>42 Phan Đình Giót, Tp. Pleiku, Gia Lai</t>
        </is>
      </c>
      <c r="H26" s="9" t="inlineStr">
        <is>
          <t>Phường Pleiku</t>
        </is>
      </c>
      <c r="I26" s="11" t="n">
        <v>13.9793</v>
      </c>
      <c r="J26" s="11" t="n">
        <v>108.0125</v>
      </c>
      <c r="K26" s="9" t="inlineStr">
        <is>
          <t>Chưa đối chiếu</t>
        </is>
      </c>
      <c r="L26" s="10" t="n"/>
      <c r="M26" s="12" t="inlineStr">
        <is>
          <t>Bản đồ</t>
        </is>
      </c>
      <c r="N26" s="13" t="n"/>
      <c r="O26" s="14" t="n"/>
      <c r="P26" s="14" t="n"/>
      <c r="Q26" s="13" t="n"/>
      <c r="R26" s="15" t="n"/>
      <c r="S26" s="13" t="n"/>
      <c r="T26" s="13" t="n"/>
      <c r="U26" s="16">
        <f>IF(AND(ISNUMBER(O26),ISNUMBER(P26)),ROUND(SQRT(((P26-J26)*111320*COS(RADIANS(I26)))^2+((O26-I26)*110540)^2),0),"")</f>
        <v/>
      </c>
      <c r="V26" s="17">
        <f>IF(N26="","",IF(N26="Sửa vị trí",IF(OR(O26="",P26=""),"Thiếu vĩ độ / kinh độ mới",IF(OR(O26&lt;12.5,O26&gt;15,P26&lt;107,P26&gt;109.6),"Toạ độ ngoài Gia Lai (đảo vĩ/kinh độ?)",IF(Q26="","Chọn cách xác định",IF(U26&gt;20000,"Dời hơn 20 km – kiểm tra lại","OK")))),IF(AND(N26&lt;&gt;"Sửa vị trí",OR(O26&lt;&gt;"",P26&lt;&gt;"")),"Có toạ độ mới nhưng kết quả không phải Sửa vị trí","OK")))</f>
        <v/>
      </c>
    </row>
    <row r="27">
      <c r="A27" s="9" t="n">
        <v>23</v>
      </c>
      <c r="B27" s="9" t="inlineStr">
        <is>
          <t>56bdf188-8d8a-4cae-8874-189b9403842f</t>
        </is>
      </c>
      <c r="C27" s="9" t="inlineStr">
        <is>
          <t>Cao</t>
        </is>
      </c>
      <c r="D27" s="10" t="inlineStr">
        <is>
          <t>Chùa Bửu Minh Pleiku</t>
        </is>
      </c>
      <c r="E27" s="9" t="inlineStr">
        <is>
          <t>Địa danh văn hóa</t>
        </is>
      </c>
      <c r="F27" s="9" t="inlineStr">
        <is>
          <t>Dữ liệu gialai-travel</t>
        </is>
      </c>
      <c r="G27" s="10" t="inlineStr">
        <is>
          <t>54 Trần Hưng Đạo, Tp. Pleiku, Gia Lai</t>
        </is>
      </c>
      <c r="H27" s="9" t="inlineStr">
        <is>
          <t>Phường Pleiku</t>
        </is>
      </c>
      <c r="I27" s="11" t="n">
        <v>13.9837</v>
      </c>
      <c r="J27" s="11" t="n">
        <v>108.0345</v>
      </c>
      <c r="K27" s="9" t="inlineStr">
        <is>
          <t>Chưa đối chiếu</t>
        </is>
      </c>
      <c r="L27" s="10" t="n"/>
      <c r="M27" s="12" t="inlineStr">
        <is>
          <t>Bản đồ</t>
        </is>
      </c>
      <c r="N27" s="13" t="n"/>
      <c r="O27" s="14" t="n"/>
      <c r="P27" s="14" t="n"/>
      <c r="Q27" s="13" t="n"/>
      <c r="R27" s="15" t="n"/>
      <c r="S27" s="13" t="n"/>
      <c r="T27" s="13" t="n"/>
      <c r="U27" s="16">
        <f>IF(AND(ISNUMBER(O27),ISNUMBER(P27)),ROUND(SQRT(((P27-J27)*111320*COS(RADIANS(I27)))^2+((O27-I27)*110540)^2),0),"")</f>
        <v/>
      </c>
      <c r="V27" s="17">
        <f>IF(N27="","",IF(N27="Sửa vị trí",IF(OR(O27="",P27=""),"Thiếu vĩ độ / kinh độ mới",IF(OR(O27&lt;12.5,O27&gt;15,P27&lt;107,P27&gt;109.6),"Toạ độ ngoài Gia Lai (đảo vĩ/kinh độ?)",IF(Q27="","Chọn cách xác định",IF(U27&gt;20000,"Dời hơn 20 km – kiểm tra lại","OK")))),IF(AND(N27&lt;&gt;"Sửa vị trí",OR(O27&lt;&gt;"",P27&lt;&gt;"")),"Có toạ độ mới nhưng kết quả không phải Sửa vị trí","OK")))</f>
        <v/>
      </c>
    </row>
    <row r="28">
      <c r="A28" s="9" t="n">
        <v>24</v>
      </c>
      <c r="B28" s="9" t="inlineStr">
        <is>
          <t>0cc01ede-5e6a-4023-9dfe-d4896843dd30</t>
        </is>
      </c>
      <c r="C28" s="9" t="inlineStr">
        <is>
          <t>Cao</t>
        </is>
      </c>
      <c r="D28" s="10" t="inlineStr">
        <is>
          <t>Chùa Minh Thành</t>
        </is>
      </c>
      <c r="E28" s="9" t="inlineStr">
        <is>
          <t>Địa danh văn hóa</t>
        </is>
      </c>
      <c r="F28" s="9" t="inlineStr">
        <is>
          <t>Dữ liệu gialai-travel</t>
        </is>
      </c>
      <c r="G28" s="10" t="inlineStr">
        <is>
          <t>Số 348 đường Nguyễn Viết Xuân, phường Hội Phú, thành phố Pleiku, tỉnh Gia Lai.</t>
        </is>
      </c>
      <c r="H28" s="9" t="inlineStr">
        <is>
          <t>Phường Pleiku</t>
        </is>
      </c>
      <c r="I28" s="11" t="n">
        <v>13.964964</v>
      </c>
      <c r="J28" s="11" t="n">
        <v>108.006275</v>
      </c>
      <c r="K28" s="9" t="inlineStr">
        <is>
          <t>Chưa đối chiếu</t>
        </is>
      </c>
      <c r="L28" s="10" t="n"/>
      <c r="M28" s="12" t="inlineStr">
        <is>
          <t>Bản đồ</t>
        </is>
      </c>
      <c r="N28" s="13" t="n"/>
      <c r="O28" s="14" t="n"/>
      <c r="P28" s="14" t="n"/>
      <c r="Q28" s="13" t="n"/>
      <c r="R28" s="15" t="n"/>
      <c r="S28" s="13" t="n"/>
      <c r="T28" s="13" t="n"/>
      <c r="U28" s="16">
        <f>IF(AND(ISNUMBER(O28),ISNUMBER(P28)),ROUND(SQRT(((P28-J28)*111320*COS(RADIANS(I28)))^2+((O28-I28)*110540)^2),0),"")</f>
        <v/>
      </c>
      <c r="V28" s="17">
        <f>IF(N28="","",IF(N28="Sửa vị trí",IF(OR(O28="",P28=""),"Thiếu vĩ độ / kinh độ mới",IF(OR(O28&lt;12.5,O28&gt;15,P28&lt;107,P28&gt;109.6),"Toạ độ ngoài Gia Lai (đảo vĩ/kinh độ?)",IF(Q28="","Chọn cách xác định",IF(U28&gt;20000,"Dời hơn 20 km – kiểm tra lại","OK")))),IF(AND(N28&lt;&gt;"Sửa vị trí",OR(O28&lt;&gt;"",P28&lt;&gt;"")),"Có toạ độ mới nhưng kết quả không phải Sửa vị trí","OK")))</f>
        <v/>
      </c>
    </row>
    <row r="29">
      <c r="A29" s="9" t="n">
        <v>25</v>
      </c>
      <c r="B29" s="9" t="inlineStr">
        <is>
          <t>350134b7-1ce5-47fd-97d2-4aaf83ff9ac0</t>
        </is>
      </c>
      <c r="C29" s="9" t="inlineStr">
        <is>
          <t>Cao</t>
        </is>
      </c>
      <c r="D29" s="10" t="inlineStr">
        <is>
          <t>Khu Di Tích Chiến Trường Gia Lai</t>
        </is>
      </c>
      <c r="E29" s="9" t="inlineStr">
        <is>
          <t>Địa danh văn hóa</t>
        </is>
      </c>
      <c r="F29" s="9" t="inlineStr">
        <is>
          <t>Dữ liệu gialai-travel</t>
        </is>
      </c>
      <c r="G29" s="10" t="inlineStr">
        <is>
          <t>Đường Nguyễn Tất Thành, Tp. Pleiku, Gia Lai</t>
        </is>
      </c>
      <c r="H29" s="9" t="inlineStr">
        <is>
          <t>Phường Pleiku</t>
        </is>
      </c>
      <c r="I29" s="11" t="n">
        <v>13.9764</v>
      </c>
      <c r="J29" s="11" t="n">
        <v>108.0082</v>
      </c>
      <c r="K29" s="9" t="inlineStr">
        <is>
          <t>Chưa đối chiếu</t>
        </is>
      </c>
      <c r="L29" s="10" t="n"/>
      <c r="M29" s="12" t="inlineStr">
        <is>
          <t>Bản đồ</t>
        </is>
      </c>
      <c r="N29" s="13" t="n"/>
      <c r="O29" s="14" t="n"/>
      <c r="P29" s="14" t="n"/>
      <c r="Q29" s="13" t="n"/>
      <c r="R29" s="15" t="n"/>
      <c r="S29" s="13" t="n"/>
      <c r="T29" s="13" t="n"/>
      <c r="U29" s="16">
        <f>IF(AND(ISNUMBER(O29),ISNUMBER(P29)),ROUND(SQRT(((P29-J29)*111320*COS(RADIANS(I29)))^2+((O29-I29)*110540)^2),0),"")</f>
        <v/>
      </c>
      <c r="V29" s="17">
        <f>IF(N29="","",IF(N29="Sửa vị trí",IF(OR(O29="",P29=""),"Thiếu vĩ độ / kinh độ mới",IF(OR(O29&lt;12.5,O29&gt;15,P29&lt;107,P29&gt;109.6),"Toạ độ ngoài Gia Lai (đảo vĩ/kinh độ?)",IF(Q29="","Chọn cách xác định",IF(U29&gt;20000,"Dời hơn 20 km – kiểm tra lại","OK")))),IF(AND(N29&lt;&gt;"Sửa vị trí",OR(O29&lt;&gt;"",P29&lt;&gt;"")),"Có toạ độ mới nhưng kết quả không phải Sửa vị trí","OK")))</f>
        <v/>
      </c>
    </row>
    <row r="30">
      <c r="A30" s="9" t="n">
        <v>26</v>
      </c>
      <c r="B30" s="9" t="inlineStr">
        <is>
          <t>34404ba4-89cc-41b8-8bfa-6bae21f6c76f</t>
        </is>
      </c>
      <c r="C30" s="9" t="inlineStr">
        <is>
          <t>Cao</t>
        </is>
      </c>
      <c r="D30" s="10" t="inlineStr">
        <is>
          <t>Nhà thờ Gia Lai (Gia Lai Cathedral)</t>
        </is>
      </c>
      <c r="E30" s="9" t="inlineStr">
        <is>
          <t>Địa danh văn hóa</t>
        </is>
      </c>
      <c r="F30" s="9" t="inlineStr">
        <is>
          <t>Dữ liệu gialai-travel</t>
        </is>
      </c>
      <c r="G30" s="10" t="inlineStr">
        <is>
          <t>123 Trần Phú, Tp. Pleiku, Gia Lai</t>
        </is>
      </c>
      <c r="H30" s="9" t="inlineStr">
        <is>
          <t>Phường Pleiku</t>
        </is>
      </c>
      <c r="I30" s="11" t="n">
        <v>13.9873</v>
      </c>
      <c r="J30" s="11" t="n">
        <v>108.0158</v>
      </c>
      <c r="K30" s="9" t="inlineStr">
        <is>
          <t>Chưa đối chiếu</t>
        </is>
      </c>
      <c r="L30" s="10" t="n"/>
      <c r="M30" s="12" t="inlineStr">
        <is>
          <t>Bản đồ</t>
        </is>
      </c>
      <c r="N30" s="13" t="n"/>
      <c r="O30" s="14" t="n"/>
      <c r="P30" s="14" t="n"/>
      <c r="Q30" s="13" t="n"/>
      <c r="R30" s="15" t="n"/>
      <c r="S30" s="13" t="n"/>
      <c r="T30" s="13" t="n"/>
      <c r="U30" s="16">
        <f>IF(AND(ISNUMBER(O30),ISNUMBER(P30)),ROUND(SQRT(((P30-J30)*111320*COS(RADIANS(I30)))^2+((O30-I30)*110540)^2),0),"")</f>
        <v/>
      </c>
      <c r="V30" s="17">
        <f>IF(N30="","",IF(N30="Sửa vị trí",IF(OR(O30="",P30=""),"Thiếu vĩ độ / kinh độ mới",IF(OR(O30&lt;12.5,O30&gt;15,P30&lt;107,P30&gt;109.6),"Toạ độ ngoài Gia Lai (đảo vĩ/kinh độ?)",IF(Q30="","Chọn cách xác định",IF(U30&gt;20000,"Dời hơn 20 km – kiểm tra lại","OK")))),IF(AND(N30&lt;&gt;"Sửa vị trí",OR(O30&lt;&gt;"",P30&lt;&gt;"")),"Có toạ độ mới nhưng kết quả không phải Sửa vị trí","OK")))</f>
        <v/>
      </c>
    </row>
    <row r="31">
      <c r="A31" s="9" t="n">
        <v>27</v>
      </c>
      <c r="B31" s="9" t="inlineStr">
        <is>
          <t>2f4aa9e6-5545-453f-8868-aafe0c954961</t>
        </is>
      </c>
      <c r="C31" s="9" t="inlineStr">
        <is>
          <t>Cao</t>
        </is>
      </c>
      <c r="D31" s="10" t="inlineStr">
        <is>
          <t>Núi Hồng Lợi</t>
        </is>
      </c>
      <c r="E31" s="9" t="inlineStr">
        <is>
          <t>Địa điểm check-in</t>
        </is>
      </c>
      <c r="F31" s="9" t="inlineStr">
        <is>
          <t>Dữ liệu gialai-travel</t>
        </is>
      </c>
      <c r="G31" s="10" t="inlineStr">
        <is>
          <t>Núi Hồng Lợi, Tp. Pleiku, Gia Lai</t>
        </is>
      </c>
      <c r="H31" s="9" t="inlineStr">
        <is>
          <t>Phường Pleiku</t>
        </is>
      </c>
      <c r="I31" s="11" t="n">
        <v>13.9856</v>
      </c>
      <c r="J31" s="11" t="n">
        <v>108.0098</v>
      </c>
      <c r="K31" s="9" t="inlineStr">
        <is>
          <t>Chưa đối chiếu</t>
        </is>
      </c>
      <c r="L31" s="10" t="n"/>
      <c r="M31" s="12" t="inlineStr">
        <is>
          <t>Bản đồ</t>
        </is>
      </c>
      <c r="N31" s="13" t="n"/>
      <c r="O31" s="14" t="n"/>
      <c r="P31" s="14" t="n"/>
      <c r="Q31" s="13" t="n"/>
      <c r="R31" s="15" t="n"/>
      <c r="S31" s="13" t="n"/>
      <c r="T31" s="13" t="n"/>
      <c r="U31" s="16">
        <f>IF(AND(ISNUMBER(O31),ISNUMBER(P31)),ROUND(SQRT(((P31-J31)*111320*COS(RADIANS(I31)))^2+((O31-I31)*110540)^2),0),"")</f>
        <v/>
      </c>
      <c r="V31" s="17">
        <f>IF(N31="","",IF(N31="Sửa vị trí",IF(OR(O31="",P31=""),"Thiếu vĩ độ / kinh độ mới",IF(OR(O31&lt;12.5,O31&gt;15,P31&lt;107,P31&gt;109.6),"Toạ độ ngoài Gia Lai (đảo vĩ/kinh độ?)",IF(Q31="","Chọn cách xác định",IF(U31&gt;20000,"Dời hơn 20 km – kiểm tra lại","OK")))),IF(AND(N31&lt;&gt;"Sửa vị trí",OR(O31&lt;&gt;"",P31&lt;&gt;"")),"Có toạ độ mới nhưng kết quả không phải Sửa vị trí","OK")))</f>
        <v/>
      </c>
    </row>
    <row r="32">
      <c r="A32" s="9" t="n">
        <v>28</v>
      </c>
      <c r="B32" s="9" t="inlineStr">
        <is>
          <t>6c42fea5-09fc-bfbd-3e10-c4db51f13792</t>
        </is>
      </c>
      <c r="C32" s="9" t="inlineStr">
        <is>
          <t>Trung bình</t>
        </is>
      </c>
      <c r="D32" s="10" t="inlineStr">
        <is>
          <t>Cây xăng (Phường Diên Hồng)</t>
        </is>
      </c>
      <c r="E32" s="9" t="inlineStr">
        <is>
          <t>Cây xăng</t>
        </is>
      </c>
      <c r="F32" s="9" t="inlineStr">
        <is>
          <t>OpenStreetMap</t>
        </is>
      </c>
      <c r="G32" s="10" t="inlineStr">
        <is>
          <t>Phường Diên Hồng, Gia Lai</t>
        </is>
      </c>
      <c r="H32" s="9" t="inlineStr">
        <is>
          <t>Phường Diên Hồng</t>
        </is>
      </c>
      <c r="I32" s="11" t="n">
        <v>13.977032</v>
      </c>
      <c r="J32" s="11" t="n">
        <v>108.000195</v>
      </c>
      <c r="K32" s="9" t="inlineStr">
        <is>
          <t>Đã đối chiếu</t>
        </is>
      </c>
      <c r="L32" s="10" t="n"/>
      <c r="M32" s="12" t="inlineStr">
        <is>
          <t>Bản đồ</t>
        </is>
      </c>
      <c r="N32" s="13" t="n"/>
      <c r="O32" s="14" t="n"/>
      <c r="P32" s="14" t="n"/>
      <c r="Q32" s="13" t="n"/>
      <c r="R32" s="15" t="n"/>
      <c r="S32" s="13" t="n"/>
      <c r="T32" s="13" t="n"/>
      <c r="U32" s="16">
        <f>IF(AND(ISNUMBER(O32),ISNUMBER(P32)),ROUND(SQRT(((P32-J32)*111320*COS(RADIANS(I32)))^2+((O32-I32)*110540)^2),0),"")</f>
        <v/>
      </c>
      <c r="V32" s="17">
        <f>IF(N32="","",IF(N32="Sửa vị trí",IF(OR(O32="",P32=""),"Thiếu vĩ độ / kinh độ mới",IF(OR(O32&lt;12.5,O32&gt;15,P32&lt;107,P32&gt;109.6),"Toạ độ ngoài Gia Lai (đảo vĩ/kinh độ?)",IF(Q32="","Chọn cách xác định",IF(U32&gt;20000,"Dời hơn 20 km – kiểm tra lại","OK")))),IF(AND(N32&lt;&gt;"Sửa vị trí",OR(O32&lt;&gt;"",P32&lt;&gt;"")),"Có toạ độ mới nhưng kết quả không phải Sửa vị trí","OK")))</f>
        <v/>
      </c>
    </row>
    <row r="33">
      <c r="A33" s="9" t="n">
        <v>29</v>
      </c>
      <c r="B33" s="9" t="inlineStr">
        <is>
          <t>f7b2a9ba-38c0-c06c-a294-b169d3a361c4</t>
        </is>
      </c>
      <c r="C33" s="9" t="inlineStr">
        <is>
          <t>Trung bình</t>
        </is>
      </c>
      <c r="D33" s="10" t="inlineStr">
        <is>
          <t>Cửa hàng xăng dầu Gia lai @ Lý Thái Tổ</t>
        </is>
      </c>
      <c r="E33" s="9" t="inlineStr">
        <is>
          <t>Cây xăng</t>
        </is>
      </c>
      <c r="F33" s="9" t="inlineStr">
        <is>
          <t>OpenStreetMap</t>
        </is>
      </c>
      <c r="G33" s="10" t="inlineStr">
        <is>
          <t>Phường Diên Hồng, Gia Lai</t>
        </is>
      </c>
      <c r="H33" s="9" t="inlineStr">
        <is>
          <t>Phường Diên Hồng</t>
        </is>
      </c>
      <c r="I33" s="11" t="n">
        <v>13.977277</v>
      </c>
      <c r="J33" s="11" t="n">
        <v>107.992914</v>
      </c>
      <c r="K33" s="9" t="inlineStr">
        <is>
          <t>Đã đối chiếu</t>
        </is>
      </c>
      <c r="L33" s="10" t="n"/>
      <c r="M33" s="12" t="inlineStr">
        <is>
          <t>Bản đồ</t>
        </is>
      </c>
      <c r="N33" s="13" t="n"/>
      <c r="O33" s="14" t="n"/>
      <c r="P33" s="14" t="n"/>
      <c r="Q33" s="13" t="n"/>
      <c r="R33" s="15" t="n"/>
      <c r="S33" s="13" t="n"/>
      <c r="T33" s="13" t="n"/>
      <c r="U33" s="16">
        <f>IF(AND(ISNUMBER(O33),ISNUMBER(P33)),ROUND(SQRT(((P33-J33)*111320*COS(RADIANS(I33)))^2+((O33-I33)*110540)^2),0),"")</f>
        <v/>
      </c>
      <c r="V33" s="17">
        <f>IF(N33="","",IF(N33="Sửa vị trí",IF(OR(O33="",P33=""),"Thiếu vĩ độ / kinh độ mới",IF(OR(O33&lt;12.5,O33&gt;15,P33&lt;107,P33&gt;109.6),"Toạ độ ngoài Gia Lai (đảo vĩ/kinh độ?)",IF(Q33="","Chọn cách xác định",IF(U33&gt;20000,"Dời hơn 20 km – kiểm tra lại","OK")))),IF(AND(N33&lt;&gt;"Sửa vị trí",OR(O33&lt;&gt;"",P33&lt;&gt;"")),"Có toạ độ mới nhưng kết quả không phải Sửa vị trí","OK")))</f>
        <v/>
      </c>
    </row>
    <row r="34">
      <c r="A34" s="9" t="n">
        <v>30</v>
      </c>
      <c r="B34" s="9" t="inlineStr">
        <is>
          <t>d2f7c270-50ad-9ac6-c968-34b058478f7d</t>
        </is>
      </c>
      <c r="C34" s="9" t="inlineStr">
        <is>
          <t>Trung bình</t>
        </is>
      </c>
      <c r="D34" s="10" t="inlineStr">
        <is>
          <t>Cây xăng (Phường Hội Phú)</t>
        </is>
      </c>
      <c r="E34" s="9" t="inlineStr">
        <is>
          <t>Cây xăng</t>
        </is>
      </c>
      <c r="F34" s="9" t="inlineStr">
        <is>
          <t>OpenStreetMap</t>
        </is>
      </c>
      <c r="G34" s="10" t="inlineStr">
        <is>
          <t>Phường Hội Phú, Gia Lai</t>
        </is>
      </c>
      <c r="H34" s="9" t="inlineStr">
        <is>
          <t>Phường Hội Phú</t>
        </is>
      </c>
      <c r="I34" s="11" t="n">
        <v>13.940143</v>
      </c>
      <c r="J34" s="11" t="n">
        <v>108.010153</v>
      </c>
      <c r="K34" s="9" t="inlineStr">
        <is>
          <t>Đã đối chiếu</t>
        </is>
      </c>
      <c r="L34" s="10" t="n"/>
      <c r="M34" s="12" t="inlineStr">
        <is>
          <t>Bản đồ</t>
        </is>
      </c>
      <c r="N34" s="13" t="n"/>
      <c r="O34" s="14" t="n"/>
      <c r="P34" s="14" t="n"/>
      <c r="Q34" s="13" t="n"/>
      <c r="R34" s="15" t="n"/>
      <c r="S34" s="13" t="n"/>
      <c r="T34" s="13" t="n"/>
      <c r="U34" s="16">
        <f>IF(AND(ISNUMBER(O34),ISNUMBER(P34)),ROUND(SQRT(((P34-J34)*111320*COS(RADIANS(I34)))^2+((O34-I34)*110540)^2),0),"")</f>
        <v/>
      </c>
      <c r="V34" s="17">
        <f>IF(N34="","",IF(N34="Sửa vị trí",IF(OR(O34="",P34=""),"Thiếu vĩ độ / kinh độ mới",IF(OR(O34&lt;12.5,O34&gt;15,P34&lt;107,P34&gt;109.6),"Toạ độ ngoài Gia Lai (đảo vĩ/kinh độ?)",IF(Q34="","Chọn cách xác định",IF(U34&gt;20000,"Dời hơn 20 km – kiểm tra lại","OK")))),IF(AND(N34&lt;&gt;"Sửa vị trí",OR(O34&lt;&gt;"",P34&lt;&gt;"")),"Có toạ độ mới nhưng kết quả không phải Sửa vị trí","OK")))</f>
        <v/>
      </c>
    </row>
    <row r="35">
      <c r="A35" s="9" t="n">
        <v>31</v>
      </c>
      <c r="B35" s="9" t="inlineStr">
        <is>
          <t>eb04c228-5339-02ff-e211-dd33c3fc9895</t>
        </is>
      </c>
      <c r="C35" s="9" t="inlineStr">
        <is>
          <t>Trung bình</t>
        </is>
      </c>
      <c r="D35" s="10" t="inlineStr">
        <is>
          <t>Cây xăng (Phường Hội Phú)</t>
        </is>
      </c>
      <c r="E35" s="9" t="inlineStr">
        <is>
          <t>Cây xăng</t>
        </is>
      </c>
      <c r="F35" s="9" t="inlineStr">
        <is>
          <t>OpenStreetMap</t>
        </is>
      </c>
      <c r="G35" s="10" t="inlineStr">
        <is>
          <t>Phường Hội Phú, Gia Lai</t>
        </is>
      </c>
      <c r="H35" s="9" t="inlineStr">
        <is>
          <t>Phường Hội Phú</t>
        </is>
      </c>
      <c r="I35" s="11" t="n">
        <v>13.959062</v>
      </c>
      <c r="J35" s="11" t="n">
        <v>108.016094</v>
      </c>
      <c r="K35" s="9" t="inlineStr">
        <is>
          <t>Đã đối chiếu</t>
        </is>
      </c>
      <c r="L35" s="10" t="n"/>
      <c r="M35" s="12" t="inlineStr">
        <is>
          <t>Bản đồ</t>
        </is>
      </c>
      <c r="N35" s="13" t="n"/>
      <c r="O35" s="14" t="n"/>
      <c r="P35" s="14" t="n"/>
      <c r="Q35" s="13" t="n"/>
      <c r="R35" s="15" t="n"/>
      <c r="S35" s="13" t="n"/>
      <c r="T35" s="13" t="n"/>
      <c r="U35" s="16">
        <f>IF(AND(ISNUMBER(O35),ISNUMBER(P35)),ROUND(SQRT(((P35-J35)*111320*COS(RADIANS(I35)))^2+((O35-I35)*110540)^2),0),"")</f>
        <v/>
      </c>
      <c r="V35" s="17">
        <f>IF(N35="","",IF(N35="Sửa vị trí",IF(OR(O35="",P35=""),"Thiếu vĩ độ / kinh độ mới",IF(OR(O35&lt;12.5,O35&gt;15,P35&lt;107,P35&gt;109.6),"Toạ độ ngoài Gia Lai (đảo vĩ/kinh độ?)",IF(Q35="","Chọn cách xác định",IF(U35&gt;20000,"Dời hơn 20 km – kiểm tra lại","OK")))),IF(AND(N35&lt;&gt;"Sửa vị trí",OR(O35&lt;&gt;"",P35&lt;&gt;"")),"Có toạ độ mới nhưng kết quả không phải Sửa vị trí","OK")))</f>
        <v/>
      </c>
    </row>
    <row r="36">
      <c r="A36" s="9" t="n">
        <v>32</v>
      </c>
      <c r="B36" s="9" t="inlineStr">
        <is>
          <t>7469235e-1aa2-e378-21cf-f9f2009a8b83</t>
        </is>
      </c>
      <c r="C36" s="9" t="inlineStr">
        <is>
          <t>Trung bình</t>
        </is>
      </c>
      <c r="D36" s="10" t="inlineStr">
        <is>
          <t>PV Oil</t>
        </is>
      </c>
      <c r="E36" s="9" t="inlineStr">
        <is>
          <t>Cây xăng</t>
        </is>
      </c>
      <c r="F36" s="9" t="inlineStr">
        <is>
          <t>OpenStreetMap</t>
        </is>
      </c>
      <c r="G36" s="10" t="inlineStr">
        <is>
          <t>Phường Hội Phú, Gia Lai</t>
        </is>
      </c>
      <c r="H36" s="9" t="inlineStr">
        <is>
          <t>Phường Hội Phú</t>
        </is>
      </c>
      <c r="I36" s="11" t="n">
        <v>13.938404</v>
      </c>
      <c r="J36" s="11" t="n">
        <v>108.00928</v>
      </c>
      <c r="K36" s="9" t="inlineStr">
        <is>
          <t>Đã đối chiếu</t>
        </is>
      </c>
      <c r="L36" s="10" t="n"/>
      <c r="M36" s="12" t="inlineStr">
        <is>
          <t>Bản đồ</t>
        </is>
      </c>
      <c r="N36" s="13" t="n"/>
      <c r="O36" s="14" t="n"/>
      <c r="P36" s="14" t="n"/>
      <c r="Q36" s="13" t="n"/>
      <c r="R36" s="15" t="n"/>
      <c r="S36" s="13" t="n"/>
      <c r="T36" s="13" t="n"/>
      <c r="U36" s="16">
        <f>IF(AND(ISNUMBER(O36),ISNUMBER(P36)),ROUND(SQRT(((P36-J36)*111320*COS(RADIANS(I36)))^2+((O36-I36)*110540)^2),0),"")</f>
        <v/>
      </c>
      <c r="V36" s="17">
        <f>IF(N36="","",IF(N36="Sửa vị trí",IF(OR(O36="",P36=""),"Thiếu vĩ độ / kinh độ mới",IF(OR(O36&lt;12.5,O36&gt;15,P36&lt;107,P36&gt;109.6),"Toạ độ ngoài Gia Lai (đảo vĩ/kinh độ?)",IF(Q36="","Chọn cách xác định",IF(U36&gt;20000,"Dời hơn 20 km – kiểm tra lại","OK")))),IF(AND(N36&lt;&gt;"Sửa vị trí",OR(O36&lt;&gt;"",P36&lt;&gt;"")),"Có toạ độ mới nhưng kết quả không phải Sửa vị trí","OK")))</f>
        <v/>
      </c>
    </row>
    <row r="37">
      <c r="A37" s="9" t="n">
        <v>33</v>
      </c>
      <c r="B37" s="9" t="inlineStr">
        <is>
          <t>85631470-3634-ee65-9a23-3b8ec8d11f55</t>
        </is>
      </c>
      <c r="C37" s="9" t="inlineStr">
        <is>
          <t>Trung bình</t>
        </is>
      </c>
      <c r="D37" s="10" t="inlineStr">
        <is>
          <t>PV Oil</t>
        </is>
      </c>
      <c r="E37" s="9" t="inlineStr">
        <is>
          <t>Cây xăng</t>
        </is>
      </c>
      <c r="F37" s="9" t="inlineStr">
        <is>
          <t>OpenStreetMap</t>
        </is>
      </c>
      <c r="G37" s="10" t="inlineStr">
        <is>
          <t>Phường Hội Phú, Gia Lai</t>
        </is>
      </c>
      <c r="H37" s="9" t="inlineStr">
        <is>
          <t>Phường Hội Phú</t>
        </is>
      </c>
      <c r="I37" s="11" t="n">
        <v>13.90262</v>
      </c>
      <c r="J37" s="11" t="n">
        <v>108.017526</v>
      </c>
      <c r="K37" s="9" t="inlineStr">
        <is>
          <t>Đã đối chiếu</t>
        </is>
      </c>
      <c r="L37" s="10" t="n"/>
      <c r="M37" s="12" t="inlineStr">
        <is>
          <t>Bản đồ</t>
        </is>
      </c>
      <c r="N37" s="13" t="n"/>
      <c r="O37" s="14" t="n"/>
      <c r="P37" s="14" t="n"/>
      <c r="Q37" s="13" t="n"/>
      <c r="R37" s="15" t="n"/>
      <c r="S37" s="13" t="n"/>
      <c r="T37" s="13" t="n"/>
      <c r="U37" s="16">
        <f>IF(AND(ISNUMBER(O37),ISNUMBER(P37)),ROUND(SQRT(((P37-J37)*111320*COS(RADIANS(I37)))^2+((O37-I37)*110540)^2),0),"")</f>
        <v/>
      </c>
      <c r="V37" s="17">
        <f>IF(N37="","",IF(N37="Sửa vị trí",IF(OR(O37="",P37=""),"Thiếu vĩ độ / kinh độ mới",IF(OR(O37&lt;12.5,O37&gt;15,P37&lt;107,P37&gt;109.6),"Toạ độ ngoài Gia Lai (đảo vĩ/kinh độ?)",IF(Q37="","Chọn cách xác định",IF(U37&gt;20000,"Dời hơn 20 km – kiểm tra lại","OK")))),IF(AND(N37&lt;&gt;"Sửa vị trí",OR(O37&lt;&gt;"",P37&lt;&gt;"")),"Có toạ độ mới nhưng kết quả không phải Sửa vị trí","OK")))</f>
        <v/>
      </c>
    </row>
    <row r="38">
      <c r="A38" s="9" t="n">
        <v>34</v>
      </c>
      <c r="B38" s="9" t="inlineStr">
        <is>
          <t>97befa43-4044-d79e-e310-bc3536dbba64</t>
        </is>
      </c>
      <c r="C38" s="9" t="inlineStr">
        <is>
          <t>Trung bình</t>
        </is>
      </c>
      <c r="D38" s="10" t="inlineStr">
        <is>
          <t>PV Oil</t>
        </is>
      </c>
      <c r="E38" s="9" t="inlineStr">
        <is>
          <t>Cây xăng</t>
        </is>
      </c>
      <c r="F38" s="9" t="inlineStr">
        <is>
          <t>OpenStreetMap</t>
        </is>
      </c>
      <c r="G38" s="10" t="inlineStr">
        <is>
          <t>Phường Hội Phú, Gia Lai</t>
        </is>
      </c>
      <c r="H38" s="9" t="inlineStr">
        <is>
          <t>Phường Hội Phú</t>
        </is>
      </c>
      <c r="I38" s="11" t="n">
        <v>13.906643</v>
      </c>
      <c r="J38" s="11" t="n">
        <v>108.015942</v>
      </c>
      <c r="K38" s="9" t="inlineStr">
        <is>
          <t>Đã đối chiếu</t>
        </is>
      </c>
      <c r="L38" s="10" t="n"/>
      <c r="M38" s="12" t="inlineStr">
        <is>
          <t>Bản đồ</t>
        </is>
      </c>
      <c r="N38" s="13" t="n"/>
      <c r="O38" s="14" t="n"/>
      <c r="P38" s="14" t="n"/>
      <c r="Q38" s="13" t="n"/>
      <c r="R38" s="15" t="n"/>
      <c r="S38" s="13" t="n"/>
      <c r="T38" s="13" t="n"/>
      <c r="U38" s="16">
        <f>IF(AND(ISNUMBER(O38),ISNUMBER(P38)),ROUND(SQRT(((P38-J38)*111320*COS(RADIANS(I38)))^2+((O38-I38)*110540)^2),0),"")</f>
        <v/>
      </c>
      <c r="V38" s="17">
        <f>IF(N38="","",IF(N38="Sửa vị trí",IF(OR(O38="",P38=""),"Thiếu vĩ độ / kinh độ mới",IF(OR(O38&lt;12.5,O38&gt;15,P38&lt;107,P38&gt;109.6),"Toạ độ ngoài Gia Lai (đảo vĩ/kinh độ?)",IF(Q38="","Chọn cách xác định",IF(U38&gt;20000,"Dời hơn 20 km – kiểm tra lại","OK")))),IF(AND(N38&lt;&gt;"Sửa vị trí",OR(O38&lt;&gt;"",P38&lt;&gt;"")),"Có toạ độ mới nhưng kết quả không phải Sửa vị trí","OK")))</f>
        <v/>
      </c>
    </row>
    <row r="39">
      <c r="A39" s="9" t="n">
        <v>35</v>
      </c>
      <c r="B39" s="9" t="inlineStr">
        <is>
          <t>2790866d-7c76-3ce2-d3aa-63d78f7df0de</t>
        </is>
      </c>
      <c r="C39" s="9" t="inlineStr">
        <is>
          <t>Trung bình</t>
        </is>
      </c>
      <c r="D39" s="10" t="inlineStr">
        <is>
          <t>PV Oil</t>
        </is>
      </c>
      <c r="E39" s="9" t="inlineStr">
        <is>
          <t>Cây xăng</t>
        </is>
      </c>
      <c r="F39" s="9" t="inlineStr">
        <is>
          <t>OpenStreetMap</t>
        </is>
      </c>
      <c r="G39" s="10" t="inlineStr">
        <is>
          <t>Phường Hội Phú, Gia Lai</t>
        </is>
      </c>
      <c r="H39" s="9" t="inlineStr">
        <is>
          <t>Phường Hội Phú</t>
        </is>
      </c>
      <c r="I39" s="11" t="n">
        <v>13.924707</v>
      </c>
      <c r="J39" s="11" t="n">
        <v>108.006163</v>
      </c>
      <c r="K39" s="9" t="inlineStr">
        <is>
          <t>Đã đối chiếu</t>
        </is>
      </c>
      <c r="L39" s="10" t="n"/>
      <c r="M39" s="12" t="inlineStr">
        <is>
          <t>Bản đồ</t>
        </is>
      </c>
      <c r="N39" s="13" t="n"/>
      <c r="O39" s="14" t="n"/>
      <c r="P39" s="14" t="n"/>
      <c r="Q39" s="13" t="n"/>
      <c r="R39" s="15" t="n"/>
      <c r="S39" s="13" t="n"/>
      <c r="T39" s="13" t="n"/>
      <c r="U39" s="16">
        <f>IF(AND(ISNUMBER(O39),ISNUMBER(P39)),ROUND(SQRT(((P39-J39)*111320*COS(RADIANS(I39)))^2+((O39-I39)*110540)^2),0),"")</f>
        <v/>
      </c>
      <c r="V39" s="17">
        <f>IF(N39="","",IF(N39="Sửa vị trí",IF(OR(O39="",P39=""),"Thiếu vĩ độ / kinh độ mới",IF(OR(O39&lt;12.5,O39&gt;15,P39&lt;107,P39&gt;109.6),"Toạ độ ngoài Gia Lai (đảo vĩ/kinh độ?)",IF(Q39="","Chọn cách xác định",IF(U39&gt;20000,"Dời hơn 20 km – kiểm tra lại","OK")))),IF(AND(N39&lt;&gt;"Sửa vị trí",OR(O39&lt;&gt;"",P39&lt;&gt;"")),"Có toạ độ mới nhưng kết quả không phải Sửa vị trí","OK")))</f>
        <v/>
      </c>
    </row>
    <row r="40">
      <c r="A40" s="9" t="n">
        <v>36</v>
      </c>
      <c r="B40" s="9" t="inlineStr">
        <is>
          <t>f31252fe-e0a7-4f3f-dc2a-7c70352993e0</t>
        </is>
      </c>
      <c r="C40" s="9" t="inlineStr">
        <is>
          <t>Trung bình</t>
        </is>
      </c>
      <c r="D40" s="10" t="inlineStr">
        <is>
          <t>Petrolimex</t>
        </is>
      </c>
      <c r="E40" s="9" t="inlineStr">
        <is>
          <t>Cây xăng</t>
        </is>
      </c>
      <c r="F40" s="9" t="inlineStr">
        <is>
          <t>OpenStreetMap</t>
        </is>
      </c>
      <c r="G40" s="10" t="inlineStr">
        <is>
          <t>Phường Hội Phú, Gia Lai</t>
        </is>
      </c>
      <c r="H40" s="9" t="inlineStr">
        <is>
          <t>Phường Hội Phú</t>
        </is>
      </c>
      <c r="I40" s="11" t="n">
        <v>13.957503</v>
      </c>
      <c r="J40" s="11" t="n">
        <v>108.015526</v>
      </c>
      <c r="K40" s="9" t="inlineStr">
        <is>
          <t>Đã đối chiếu</t>
        </is>
      </c>
      <c r="L40" s="10" t="n"/>
      <c r="M40" s="12" t="inlineStr">
        <is>
          <t>Bản đồ</t>
        </is>
      </c>
      <c r="N40" s="13" t="n"/>
      <c r="O40" s="14" t="n"/>
      <c r="P40" s="14" t="n"/>
      <c r="Q40" s="13" t="n"/>
      <c r="R40" s="15" t="n"/>
      <c r="S40" s="13" t="n"/>
      <c r="T40" s="13" t="n"/>
      <c r="U40" s="16">
        <f>IF(AND(ISNUMBER(O40),ISNUMBER(P40)),ROUND(SQRT(((P40-J40)*111320*COS(RADIANS(I40)))^2+((O40-I40)*110540)^2),0),"")</f>
        <v/>
      </c>
      <c r="V40" s="17">
        <f>IF(N40="","",IF(N40="Sửa vị trí",IF(OR(O40="",P40=""),"Thiếu vĩ độ / kinh độ mới",IF(OR(O40&lt;12.5,O40&gt;15,P40&lt;107,P40&gt;109.6),"Toạ độ ngoài Gia Lai (đảo vĩ/kinh độ?)",IF(Q40="","Chọn cách xác định",IF(U40&gt;20000,"Dời hơn 20 km – kiểm tra lại","OK")))),IF(AND(N40&lt;&gt;"Sửa vị trí",OR(O40&lt;&gt;"",P40&lt;&gt;"")),"Có toạ độ mới nhưng kết quả không phải Sửa vị trí","OK")))</f>
        <v/>
      </c>
    </row>
    <row r="41">
      <c r="A41" s="9" t="n">
        <v>37</v>
      </c>
      <c r="B41" s="9" t="inlineStr">
        <is>
          <t>ff47f258-b256-ebc3-afb3-50fed1013e0c</t>
        </is>
      </c>
      <c r="C41" s="9" t="inlineStr">
        <is>
          <t>Trung bình</t>
        </is>
      </c>
      <c r="D41" s="10" t="inlineStr">
        <is>
          <t>Petrolimex</t>
        </is>
      </c>
      <c r="E41" s="9" t="inlineStr">
        <is>
          <t>Cây xăng</t>
        </is>
      </c>
      <c r="F41" s="9" t="inlineStr">
        <is>
          <t>OpenStreetMap</t>
        </is>
      </c>
      <c r="G41" s="10" t="inlineStr">
        <is>
          <t>Phường Hội Phú, Gia Lai</t>
        </is>
      </c>
      <c r="H41" s="9" t="inlineStr">
        <is>
          <t>Phường Hội Phú</t>
        </is>
      </c>
      <c r="I41" s="11" t="n">
        <v>13.914047</v>
      </c>
      <c r="J41" s="11" t="n">
        <v>108.005668</v>
      </c>
      <c r="K41" s="9" t="inlineStr">
        <is>
          <t>Đã đối chiếu</t>
        </is>
      </c>
      <c r="L41" s="10" t="n"/>
      <c r="M41" s="12" t="inlineStr">
        <is>
          <t>Bản đồ</t>
        </is>
      </c>
      <c r="N41" s="13" t="n"/>
      <c r="O41" s="14" t="n"/>
      <c r="P41" s="14" t="n"/>
      <c r="Q41" s="13" t="n"/>
      <c r="R41" s="15" t="n"/>
      <c r="S41" s="13" t="n"/>
      <c r="T41" s="13" t="n"/>
      <c r="U41" s="16">
        <f>IF(AND(ISNUMBER(O41),ISNUMBER(P41)),ROUND(SQRT(((P41-J41)*111320*COS(RADIANS(I41)))^2+((O41-I41)*110540)^2),0),"")</f>
        <v/>
      </c>
      <c r="V41" s="17">
        <f>IF(N41="","",IF(N41="Sửa vị trí",IF(OR(O41="",P41=""),"Thiếu vĩ độ / kinh độ mới",IF(OR(O41&lt;12.5,O41&gt;15,P41&lt;107,P41&gt;109.6),"Toạ độ ngoài Gia Lai (đảo vĩ/kinh độ?)",IF(Q41="","Chọn cách xác định",IF(U41&gt;20000,"Dời hơn 20 km – kiểm tra lại","OK")))),IF(AND(N41&lt;&gt;"Sửa vị trí",OR(O41&lt;&gt;"",P41&lt;&gt;"")),"Có toạ độ mới nhưng kết quả không phải Sửa vị trí","OK")))</f>
        <v/>
      </c>
    </row>
    <row r="42">
      <c r="A42" s="9" t="n">
        <v>38</v>
      </c>
      <c r="B42" s="9" t="inlineStr">
        <is>
          <t>1972658e-951c-1bb4-9c09-22bb6e834a98</t>
        </is>
      </c>
      <c r="C42" s="9" t="inlineStr">
        <is>
          <t>Trung bình</t>
        </is>
      </c>
      <c r="D42" s="10" t="inlineStr">
        <is>
          <t>Petrolimex</t>
        </is>
      </c>
      <c r="E42" s="9" t="inlineStr">
        <is>
          <t>Cây xăng</t>
        </is>
      </c>
      <c r="F42" s="9" t="inlineStr">
        <is>
          <t>OpenStreetMap</t>
        </is>
      </c>
      <c r="G42" s="10" t="inlineStr">
        <is>
          <t>Phường Hội Phú, Gia Lai</t>
        </is>
      </c>
      <c r="H42" s="9" t="inlineStr">
        <is>
          <t>Phường Hội Phú</t>
        </is>
      </c>
      <c r="I42" s="11" t="n">
        <v>13.929572</v>
      </c>
      <c r="J42" s="11" t="n">
        <v>108.007448</v>
      </c>
      <c r="K42" s="9" t="inlineStr">
        <is>
          <t>Đã đối chiếu</t>
        </is>
      </c>
      <c r="L42" s="10" t="n"/>
      <c r="M42" s="12" t="inlineStr">
        <is>
          <t>Bản đồ</t>
        </is>
      </c>
      <c r="N42" s="13" t="n"/>
      <c r="O42" s="14" t="n"/>
      <c r="P42" s="14" t="n"/>
      <c r="Q42" s="13" t="n"/>
      <c r="R42" s="15" t="n"/>
      <c r="S42" s="13" t="n"/>
      <c r="T42" s="13" t="n"/>
      <c r="U42" s="16">
        <f>IF(AND(ISNUMBER(O42),ISNUMBER(P42)),ROUND(SQRT(((P42-J42)*111320*COS(RADIANS(I42)))^2+((O42-I42)*110540)^2),0),"")</f>
        <v/>
      </c>
      <c r="V42" s="17">
        <f>IF(N42="","",IF(N42="Sửa vị trí",IF(OR(O42="",P42=""),"Thiếu vĩ độ / kinh độ mới",IF(OR(O42&lt;12.5,O42&gt;15,P42&lt;107,P42&gt;109.6),"Toạ độ ngoài Gia Lai (đảo vĩ/kinh độ?)",IF(Q42="","Chọn cách xác định",IF(U42&gt;20000,"Dời hơn 20 km – kiểm tra lại","OK")))),IF(AND(N42&lt;&gt;"Sửa vị trí",OR(O42&lt;&gt;"",P42&lt;&gt;"")),"Có toạ độ mới nhưng kết quả không phải Sửa vị trí","OK")))</f>
        <v/>
      </c>
    </row>
    <row r="43">
      <c r="A43" s="9" t="n">
        <v>39</v>
      </c>
      <c r="B43" s="9" t="inlineStr">
        <is>
          <t>56c0b8ce-6d3d-ea0c-de75-643c037a2096</t>
        </is>
      </c>
      <c r="C43" s="9" t="inlineStr">
        <is>
          <t>Trung bình</t>
        </is>
      </c>
      <c r="D43" s="10" t="inlineStr">
        <is>
          <t>Shell Station</t>
        </is>
      </c>
      <c r="E43" s="9" t="inlineStr">
        <is>
          <t>Cây xăng</t>
        </is>
      </c>
      <c r="F43" s="9" t="inlineStr">
        <is>
          <t>OpenStreetMap</t>
        </is>
      </c>
      <c r="G43" s="10" t="inlineStr">
        <is>
          <t>Phường Hội Phú, Gia Lai</t>
        </is>
      </c>
      <c r="H43" s="9" t="inlineStr">
        <is>
          <t>Phường Hội Phú</t>
        </is>
      </c>
      <c r="I43" s="11" t="n">
        <v>13.947055</v>
      </c>
      <c r="J43" s="11" t="n">
        <v>108.011929</v>
      </c>
      <c r="K43" s="9" t="inlineStr">
        <is>
          <t>Đã đối chiếu</t>
        </is>
      </c>
      <c r="L43" s="10" t="n"/>
      <c r="M43" s="12" t="inlineStr">
        <is>
          <t>Bản đồ</t>
        </is>
      </c>
      <c r="N43" s="13" t="n"/>
      <c r="O43" s="14" t="n"/>
      <c r="P43" s="14" t="n"/>
      <c r="Q43" s="13" t="n"/>
      <c r="R43" s="15" t="n"/>
      <c r="S43" s="13" t="n"/>
      <c r="T43" s="13" t="n"/>
      <c r="U43" s="16">
        <f>IF(AND(ISNUMBER(O43),ISNUMBER(P43)),ROUND(SQRT(((P43-J43)*111320*COS(RADIANS(I43)))^2+((O43-I43)*110540)^2),0),"")</f>
        <v/>
      </c>
      <c r="V43" s="17">
        <f>IF(N43="","",IF(N43="Sửa vị trí",IF(OR(O43="",P43=""),"Thiếu vĩ độ / kinh độ mới",IF(OR(O43&lt;12.5,O43&gt;15,P43&lt;107,P43&gt;109.6),"Toạ độ ngoài Gia Lai (đảo vĩ/kinh độ?)",IF(Q43="","Chọn cách xác định",IF(U43&gt;20000,"Dời hơn 20 km – kiểm tra lại","OK")))),IF(AND(N43&lt;&gt;"Sửa vị trí",OR(O43&lt;&gt;"",P43&lt;&gt;"")),"Có toạ độ mới nhưng kết quả không phải Sửa vị trí","OK")))</f>
        <v/>
      </c>
    </row>
    <row r="44">
      <c r="A44" s="9" t="n">
        <v>40</v>
      </c>
      <c r="B44" s="9" t="inlineStr">
        <is>
          <t>cfae2114-747d-428d-d2e5-5d27b8691131</t>
        </is>
      </c>
      <c r="C44" s="9" t="inlineStr">
        <is>
          <t>Trung bình</t>
        </is>
      </c>
      <c r="D44" s="10" t="inlineStr">
        <is>
          <t>Cây xăng (Phường Pleiku)</t>
        </is>
      </c>
      <c r="E44" s="9" t="inlineStr">
        <is>
          <t>Cây xăng</t>
        </is>
      </c>
      <c r="F44" s="9" t="inlineStr">
        <is>
          <t>OpenStreetMap</t>
        </is>
      </c>
      <c r="G44" s="10" t="inlineStr">
        <is>
          <t>Phường Pleiku, Gia Lai</t>
        </is>
      </c>
      <c r="H44" s="9" t="inlineStr">
        <is>
          <t>Phường Pleiku</t>
        </is>
      </c>
      <c r="I44" s="11" t="n">
        <v>13.978069</v>
      </c>
      <c r="J44" s="11" t="n">
        <v>108.025781</v>
      </c>
      <c r="K44" s="9" t="inlineStr">
        <is>
          <t>Đã đối chiếu</t>
        </is>
      </c>
      <c r="L44" s="10" t="n"/>
      <c r="M44" s="12" t="inlineStr">
        <is>
          <t>Bản đồ</t>
        </is>
      </c>
      <c r="N44" s="13" t="n"/>
      <c r="O44" s="14" t="n"/>
      <c r="P44" s="14" t="n"/>
      <c r="Q44" s="13" t="n"/>
      <c r="R44" s="15" t="n"/>
      <c r="S44" s="13" t="n"/>
      <c r="T44" s="13" t="n"/>
      <c r="U44" s="16">
        <f>IF(AND(ISNUMBER(O44),ISNUMBER(P44)),ROUND(SQRT(((P44-J44)*111320*COS(RADIANS(I44)))^2+((O44-I44)*110540)^2),0),"")</f>
        <v/>
      </c>
      <c r="V44" s="17">
        <f>IF(N44="","",IF(N44="Sửa vị trí",IF(OR(O44="",P44=""),"Thiếu vĩ độ / kinh độ mới",IF(OR(O44&lt;12.5,O44&gt;15,P44&lt;107,P44&gt;109.6),"Toạ độ ngoài Gia Lai (đảo vĩ/kinh độ?)",IF(Q44="","Chọn cách xác định",IF(U44&gt;20000,"Dời hơn 20 km – kiểm tra lại","OK")))),IF(AND(N44&lt;&gt;"Sửa vị trí",OR(O44&lt;&gt;"",P44&lt;&gt;"")),"Có toạ độ mới nhưng kết quả không phải Sửa vị trí","OK")))</f>
        <v/>
      </c>
    </row>
    <row r="45">
      <c r="A45" s="9" t="n">
        <v>41</v>
      </c>
      <c r="B45" s="9" t="inlineStr">
        <is>
          <t>179ade37-4d38-da21-fd98-1bcd8d24e5ee</t>
        </is>
      </c>
      <c r="C45" s="9" t="inlineStr">
        <is>
          <t>Trung bình</t>
        </is>
      </c>
      <c r="D45" s="10" t="inlineStr">
        <is>
          <t>Petrolimex</t>
        </is>
      </c>
      <c r="E45" s="9" t="inlineStr">
        <is>
          <t>Cây xăng</t>
        </is>
      </c>
      <c r="F45" s="9" t="inlineStr">
        <is>
          <t>OpenStreetMap</t>
        </is>
      </c>
      <c r="G45" s="10" t="inlineStr">
        <is>
          <t>Phạm Văn Đồng, Phường Pleiku, Gia Lai</t>
        </is>
      </c>
      <c r="H45" s="9" t="inlineStr">
        <is>
          <t>Phường Pleiku</t>
        </is>
      </c>
      <c r="I45" s="11" t="n">
        <v>13.991702</v>
      </c>
      <c r="J45" s="11" t="n">
        <v>108.002739</v>
      </c>
      <c r="K45" s="9" t="inlineStr">
        <is>
          <t>Đã đối chiếu</t>
        </is>
      </c>
      <c r="L45" s="10" t="n"/>
      <c r="M45" s="12" t="inlineStr">
        <is>
          <t>Bản đồ</t>
        </is>
      </c>
      <c r="N45" s="13" t="n"/>
      <c r="O45" s="14" t="n"/>
      <c r="P45" s="14" t="n"/>
      <c r="Q45" s="13" t="n"/>
      <c r="R45" s="15" t="n"/>
      <c r="S45" s="13" t="n"/>
      <c r="T45" s="13" t="n"/>
      <c r="U45" s="16">
        <f>IF(AND(ISNUMBER(O45),ISNUMBER(P45)),ROUND(SQRT(((P45-J45)*111320*COS(RADIANS(I45)))^2+((O45-I45)*110540)^2),0),"")</f>
        <v/>
      </c>
      <c r="V45" s="17">
        <f>IF(N45="","",IF(N45="Sửa vị trí",IF(OR(O45="",P45=""),"Thiếu vĩ độ / kinh độ mới",IF(OR(O45&lt;12.5,O45&gt;15,P45&lt;107,P45&gt;109.6),"Toạ độ ngoài Gia Lai (đảo vĩ/kinh độ?)",IF(Q45="","Chọn cách xác định",IF(U45&gt;20000,"Dời hơn 20 km – kiểm tra lại","OK")))),IF(AND(N45&lt;&gt;"Sửa vị trí",OR(O45&lt;&gt;"",P45&lt;&gt;"")),"Có toạ độ mới nhưng kết quả không phải Sửa vị trí","OK")))</f>
        <v/>
      </c>
    </row>
    <row r="46">
      <c r="A46" s="9" t="n">
        <v>42</v>
      </c>
      <c r="B46" s="9" t="inlineStr">
        <is>
          <t>5df18b73-99e9-b77f-ea21-3d637ae4493f</t>
        </is>
      </c>
      <c r="C46" s="9" t="inlineStr">
        <is>
          <t>Trung bình</t>
        </is>
      </c>
      <c r="D46" s="10" t="inlineStr">
        <is>
          <t>Cây xăng (Phường Thống Nhất)</t>
        </is>
      </c>
      <c r="E46" s="9" t="inlineStr">
        <is>
          <t>Cây xăng</t>
        </is>
      </c>
      <c r="F46" s="9" t="inlineStr">
        <is>
          <t>OpenStreetMap</t>
        </is>
      </c>
      <c r="G46" s="10" t="inlineStr">
        <is>
          <t>Phường Thống Nhất, Gia Lai</t>
        </is>
      </c>
      <c r="H46" s="9" t="inlineStr">
        <is>
          <t>Phường Thống Nhất</t>
        </is>
      </c>
      <c r="I46" s="11" t="n">
        <v>13.993392</v>
      </c>
      <c r="J46" s="11" t="n">
        <v>108.000955</v>
      </c>
      <c r="K46" s="9" t="inlineStr">
        <is>
          <t>Đã đối chiếu</t>
        </is>
      </c>
      <c r="L46" s="10" t="n"/>
      <c r="M46" s="12" t="inlineStr">
        <is>
          <t>Bản đồ</t>
        </is>
      </c>
      <c r="N46" s="13" t="n"/>
      <c r="O46" s="14" t="n"/>
      <c r="P46" s="14" t="n"/>
      <c r="Q46" s="13" t="n"/>
      <c r="R46" s="15" t="n"/>
      <c r="S46" s="13" t="n"/>
      <c r="T46" s="13" t="n"/>
      <c r="U46" s="16">
        <f>IF(AND(ISNUMBER(O46),ISNUMBER(P46)),ROUND(SQRT(((P46-J46)*111320*COS(RADIANS(I46)))^2+((O46-I46)*110540)^2),0),"")</f>
        <v/>
      </c>
      <c r="V46" s="17">
        <f>IF(N46="","",IF(N46="Sửa vị trí",IF(OR(O46="",P46=""),"Thiếu vĩ độ / kinh độ mới",IF(OR(O46&lt;12.5,O46&gt;15,P46&lt;107,P46&gt;109.6),"Toạ độ ngoài Gia Lai (đảo vĩ/kinh độ?)",IF(Q46="","Chọn cách xác định",IF(U46&gt;20000,"Dời hơn 20 km – kiểm tra lại","OK")))),IF(AND(N46&lt;&gt;"Sửa vị trí",OR(O46&lt;&gt;"",P46&lt;&gt;"")),"Có toạ độ mới nhưng kết quả không phải Sửa vị trí","OK")))</f>
        <v/>
      </c>
    </row>
    <row r="47">
      <c r="A47" s="9" t="n">
        <v>43</v>
      </c>
      <c r="B47" s="9" t="inlineStr">
        <is>
          <t>53ba0faf-dc5b-17df-75a3-337ac445b74c</t>
        </is>
      </c>
      <c r="C47" s="9" t="inlineStr">
        <is>
          <t>Trung bình</t>
        </is>
      </c>
      <c r="D47" s="10" t="inlineStr">
        <is>
          <t>Mipecorp</t>
        </is>
      </c>
      <c r="E47" s="9" t="inlineStr">
        <is>
          <t>Cây xăng</t>
        </is>
      </c>
      <c r="F47" s="9" t="inlineStr">
        <is>
          <t>OpenStreetMap</t>
        </is>
      </c>
      <c r="G47" s="10" t="inlineStr">
        <is>
          <t>Phường Thống Nhất, Gia Lai</t>
        </is>
      </c>
      <c r="H47" s="9" t="inlineStr">
        <is>
          <t>Phường Thống Nhất</t>
        </is>
      </c>
      <c r="I47" s="11" t="n">
        <v>14.015716</v>
      </c>
      <c r="J47" s="11" t="n">
        <v>107.991876</v>
      </c>
      <c r="K47" s="9" t="inlineStr">
        <is>
          <t>Đã đối chiếu</t>
        </is>
      </c>
      <c r="L47" s="10" t="n"/>
      <c r="M47" s="12" t="inlineStr">
        <is>
          <t>Bản đồ</t>
        </is>
      </c>
      <c r="N47" s="13" t="n"/>
      <c r="O47" s="14" t="n"/>
      <c r="P47" s="14" t="n"/>
      <c r="Q47" s="13" t="n"/>
      <c r="R47" s="15" t="n"/>
      <c r="S47" s="13" t="n"/>
      <c r="T47" s="13" t="n"/>
      <c r="U47" s="16">
        <f>IF(AND(ISNUMBER(O47),ISNUMBER(P47)),ROUND(SQRT(((P47-J47)*111320*COS(RADIANS(I47)))^2+((O47-I47)*110540)^2),0),"")</f>
        <v/>
      </c>
      <c r="V47" s="17">
        <f>IF(N47="","",IF(N47="Sửa vị trí",IF(OR(O47="",P47=""),"Thiếu vĩ độ / kinh độ mới",IF(OR(O47&lt;12.5,O47&gt;15,P47&lt;107,P47&gt;109.6),"Toạ độ ngoài Gia Lai (đảo vĩ/kinh độ?)",IF(Q47="","Chọn cách xác định",IF(U47&gt;20000,"Dời hơn 20 km – kiểm tra lại","OK")))),IF(AND(N47&lt;&gt;"Sửa vị trí",OR(O47&lt;&gt;"",P47&lt;&gt;"")),"Có toạ độ mới nhưng kết quả không phải Sửa vị trí","OK")))</f>
        <v/>
      </c>
    </row>
    <row r="48">
      <c r="A48" s="9" t="n">
        <v>44</v>
      </c>
      <c r="B48" s="9" t="inlineStr">
        <is>
          <t>f0bef03e-19d3-9525-78a1-ece75263ddda</t>
        </is>
      </c>
      <c r="C48" s="9" t="inlineStr">
        <is>
          <t>Trung bình</t>
        </is>
      </c>
      <c r="D48" s="10" t="inlineStr">
        <is>
          <t>PV Oil</t>
        </is>
      </c>
      <c r="E48" s="9" t="inlineStr">
        <is>
          <t>Cây xăng</t>
        </is>
      </c>
      <c r="F48" s="9" t="inlineStr">
        <is>
          <t>OpenStreetMap</t>
        </is>
      </c>
      <c r="G48" s="10" t="inlineStr">
        <is>
          <t>Phường Thống Nhất, Gia Lai</t>
        </is>
      </c>
      <c r="H48" s="9" t="inlineStr">
        <is>
          <t>Phường Thống Nhất</t>
        </is>
      </c>
      <c r="I48" s="11" t="n">
        <v>14.041971</v>
      </c>
      <c r="J48" s="11" t="n">
        <v>107.987605</v>
      </c>
      <c r="K48" s="9" t="inlineStr">
        <is>
          <t>Đã đối chiếu</t>
        </is>
      </c>
      <c r="L48" s="10" t="n"/>
      <c r="M48" s="12" t="inlineStr">
        <is>
          <t>Bản đồ</t>
        </is>
      </c>
      <c r="N48" s="13" t="n"/>
      <c r="O48" s="14" t="n"/>
      <c r="P48" s="14" t="n"/>
      <c r="Q48" s="13" t="n"/>
      <c r="R48" s="15" t="n"/>
      <c r="S48" s="13" t="n"/>
      <c r="T48" s="13" t="n"/>
      <c r="U48" s="16">
        <f>IF(AND(ISNUMBER(O48),ISNUMBER(P48)),ROUND(SQRT(((P48-J48)*111320*COS(RADIANS(I48)))^2+((O48-I48)*110540)^2),0),"")</f>
        <v/>
      </c>
      <c r="V48" s="17">
        <f>IF(N48="","",IF(N48="Sửa vị trí",IF(OR(O48="",P48=""),"Thiếu vĩ độ / kinh độ mới",IF(OR(O48&lt;12.5,O48&gt;15,P48&lt;107,P48&gt;109.6),"Toạ độ ngoài Gia Lai (đảo vĩ/kinh độ?)",IF(Q48="","Chọn cách xác định",IF(U48&gt;20000,"Dời hơn 20 km – kiểm tra lại","OK")))),IF(AND(N48&lt;&gt;"Sửa vị trí",OR(O48&lt;&gt;"",P48&lt;&gt;"")),"Có toạ độ mới nhưng kết quả không phải Sửa vị trí","OK")))</f>
        <v/>
      </c>
    </row>
    <row r="49">
      <c r="A49" s="9" t="n">
        <v>45</v>
      </c>
      <c r="B49" s="9" t="inlineStr">
        <is>
          <t>0988b35e-6344-8f23-83e3-6b28a88da322</t>
        </is>
      </c>
      <c r="C49" s="9" t="inlineStr">
        <is>
          <t>Trung bình</t>
        </is>
      </c>
      <c r="D49" s="10" t="inlineStr">
        <is>
          <t>PV Oil</t>
        </is>
      </c>
      <c r="E49" s="9" t="inlineStr">
        <is>
          <t>Cây xăng</t>
        </is>
      </c>
      <c r="F49" s="9" t="inlineStr">
        <is>
          <t>OpenStreetMap</t>
        </is>
      </c>
      <c r="G49" s="10" t="inlineStr">
        <is>
          <t>Phường Thống Nhất, Gia Lai</t>
        </is>
      </c>
      <c r="H49" s="9" t="inlineStr">
        <is>
          <t>Phường Thống Nhất</t>
        </is>
      </c>
      <c r="I49" s="11" t="n">
        <v>14.034438</v>
      </c>
      <c r="J49" s="11" t="n">
        <v>107.988002</v>
      </c>
      <c r="K49" s="9" t="inlineStr">
        <is>
          <t>Đã đối chiếu</t>
        </is>
      </c>
      <c r="L49" s="10" t="n"/>
      <c r="M49" s="12" t="inlineStr">
        <is>
          <t>Bản đồ</t>
        </is>
      </c>
      <c r="N49" s="13" t="n"/>
      <c r="O49" s="14" t="n"/>
      <c r="P49" s="14" t="n"/>
      <c r="Q49" s="13" t="n"/>
      <c r="R49" s="15" t="n"/>
      <c r="S49" s="13" t="n"/>
      <c r="T49" s="13" t="n"/>
      <c r="U49" s="16">
        <f>IF(AND(ISNUMBER(O49),ISNUMBER(P49)),ROUND(SQRT(((P49-J49)*111320*COS(RADIANS(I49)))^2+((O49-I49)*110540)^2),0),"")</f>
        <v/>
      </c>
      <c r="V49" s="17">
        <f>IF(N49="","",IF(N49="Sửa vị trí",IF(OR(O49="",P49=""),"Thiếu vĩ độ / kinh độ mới",IF(OR(O49&lt;12.5,O49&gt;15,P49&lt;107,P49&gt;109.6),"Toạ độ ngoài Gia Lai (đảo vĩ/kinh độ?)",IF(Q49="","Chọn cách xác định",IF(U49&gt;20000,"Dời hơn 20 km – kiểm tra lại","OK")))),IF(AND(N49&lt;&gt;"Sửa vị trí",OR(O49&lt;&gt;"",P49&lt;&gt;"")),"Có toạ độ mới nhưng kết quả không phải Sửa vị trí","OK")))</f>
        <v/>
      </c>
    </row>
    <row r="50">
      <c r="A50" s="9" t="n">
        <v>46</v>
      </c>
      <c r="B50" s="9" t="inlineStr">
        <is>
          <t>40d87443-3846-6ac8-3ac8-30675bc3e6de</t>
        </is>
      </c>
      <c r="C50" s="9" t="inlineStr">
        <is>
          <t>Trung bình</t>
        </is>
      </c>
      <c r="D50" s="10" t="inlineStr">
        <is>
          <t>Petrolimex</t>
        </is>
      </c>
      <c r="E50" s="9" t="inlineStr">
        <is>
          <t>Cây xăng</t>
        </is>
      </c>
      <c r="F50" s="9" t="inlineStr">
        <is>
          <t>OpenStreetMap</t>
        </is>
      </c>
      <c r="G50" s="10" t="inlineStr">
        <is>
          <t>Phường Thống Nhất, Gia Lai</t>
        </is>
      </c>
      <c r="H50" s="9" t="inlineStr">
        <is>
          <t>Phường Thống Nhất</t>
        </is>
      </c>
      <c r="I50" s="11" t="n">
        <v>14.02768</v>
      </c>
      <c r="J50" s="11" t="n">
        <v>107.989579</v>
      </c>
      <c r="K50" s="9" t="inlineStr">
        <is>
          <t>Đã đối chiếu</t>
        </is>
      </c>
      <c r="L50" s="10" t="n"/>
      <c r="M50" s="12" t="inlineStr">
        <is>
          <t>Bản đồ</t>
        </is>
      </c>
      <c r="N50" s="13" t="n"/>
      <c r="O50" s="14" t="n"/>
      <c r="P50" s="14" t="n"/>
      <c r="Q50" s="13" t="n"/>
      <c r="R50" s="15" t="n"/>
      <c r="S50" s="13" t="n"/>
      <c r="T50" s="13" t="n"/>
      <c r="U50" s="16">
        <f>IF(AND(ISNUMBER(O50),ISNUMBER(P50)),ROUND(SQRT(((P50-J50)*111320*COS(RADIANS(I50)))^2+((O50-I50)*110540)^2),0),"")</f>
        <v/>
      </c>
      <c r="V50" s="17">
        <f>IF(N50="","",IF(N50="Sửa vị trí",IF(OR(O50="",P50=""),"Thiếu vĩ độ / kinh độ mới",IF(OR(O50&lt;12.5,O50&gt;15,P50&lt;107,P50&gt;109.6),"Toạ độ ngoài Gia Lai (đảo vĩ/kinh độ?)",IF(Q50="","Chọn cách xác định",IF(U50&gt;20000,"Dời hơn 20 km – kiểm tra lại","OK")))),IF(AND(N50&lt;&gt;"Sửa vị trí",OR(O50&lt;&gt;"",P50&lt;&gt;"")),"Có toạ độ mới nhưng kết quả không phải Sửa vị trí","OK")))</f>
        <v/>
      </c>
    </row>
    <row r="51">
      <c r="A51" s="9" t="n">
        <v>47</v>
      </c>
      <c r="B51" s="9" t="inlineStr">
        <is>
          <t>e9d20e49-4671-a785-b5aa-610caa8bfde9</t>
        </is>
      </c>
      <c r="C51" s="9" t="inlineStr">
        <is>
          <t>Trung bình</t>
        </is>
      </c>
      <c r="D51" s="10" t="inlineStr">
        <is>
          <t>Cửa hàng Xăng dầu</t>
        </is>
      </c>
      <c r="E51" s="9" t="inlineStr">
        <is>
          <t>Cây xăng</t>
        </is>
      </c>
      <c r="F51" s="9" t="inlineStr">
        <is>
          <t>OpenStreetMap</t>
        </is>
      </c>
      <c r="G51" s="10" t="inlineStr">
        <is>
          <t>Xã Biển Hồ, Gia Lai</t>
        </is>
      </c>
      <c r="H51" s="9" t="inlineStr">
        <is>
          <t>Xã Biển Hồ</t>
        </is>
      </c>
      <c r="I51" s="11" t="n">
        <v>14.089625</v>
      </c>
      <c r="J51" s="11" t="n">
        <v>107.981072</v>
      </c>
      <c r="K51" s="9" t="inlineStr">
        <is>
          <t>Đã đối chiếu</t>
        </is>
      </c>
      <c r="L51" s="10" t="n"/>
      <c r="M51" s="12" t="inlineStr">
        <is>
          <t>Bản đồ</t>
        </is>
      </c>
      <c r="N51" s="13" t="n"/>
      <c r="O51" s="14" t="n"/>
      <c r="P51" s="14" t="n"/>
      <c r="Q51" s="13" t="n"/>
      <c r="R51" s="15" t="n"/>
      <c r="S51" s="13" t="n"/>
      <c r="T51" s="13" t="n"/>
      <c r="U51" s="16">
        <f>IF(AND(ISNUMBER(O51),ISNUMBER(P51)),ROUND(SQRT(((P51-J51)*111320*COS(RADIANS(I51)))^2+((O51-I51)*110540)^2),0),"")</f>
        <v/>
      </c>
      <c r="V51" s="17">
        <f>IF(N51="","",IF(N51="Sửa vị trí",IF(OR(O51="",P51=""),"Thiếu vĩ độ / kinh độ mới",IF(OR(O51&lt;12.5,O51&gt;15,P51&lt;107,P51&gt;109.6),"Toạ độ ngoài Gia Lai (đảo vĩ/kinh độ?)",IF(Q51="","Chọn cách xác định",IF(U51&gt;20000,"Dời hơn 20 km – kiểm tra lại","OK")))),IF(AND(N51&lt;&gt;"Sửa vị trí",OR(O51&lt;&gt;"",P51&lt;&gt;"")),"Có toạ độ mới nhưng kết quả không phải Sửa vị trí","OK")))</f>
        <v/>
      </c>
    </row>
    <row r="52">
      <c r="A52" s="9" t="n">
        <v>48</v>
      </c>
      <c r="B52" s="9" t="inlineStr">
        <is>
          <t>6834535f-0133-8223-daea-55508b31417b</t>
        </is>
      </c>
      <c r="C52" s="9" t="inlineStr">
        <is>
          <t>Trung bình</t>
        </is>
      </c>
      <c r="D52" s="10" t="inlineStr">
        <is>
          <t>PV Oil</t>
        </is>
      </c>
      <c r="E52" s="9" t="inlineStr">
        <is>
          <t>Cây xăng</t>
        </is>
      </c>
      <c r="F52" s="9" t="inlineStr">
        <is>
          <t>OpenStreetMap</t>
        </is>
      </c>
      <c r="G52" s="10" t="inlineStr">
        <is>
          <t>Xã Biển Hồ, Gia Lai</t>
        </is>
      </c>
      <c r="H52" s="9" t="inlineStr">
        <is>
          <t>Xã Biển Hồ</t>
        </is>
      </c>
      <c r="I52" s="11" t="n">
        <v>14.046784</v>
      </c>
      <c r="J52" s="11" t="n">
        <v>108.02573</v>
      </c>
      <c r="K52" s="9" t="inlineStr">
        <is>
          <t>Đã đối chiếu</t>
        </is>
      </c>
      <c r="L52" s="10" t="n"/>
      <c r="M52" s="12" t="inlineStr">
        <is>
          <t>Bản đồ</t>
        </is>
      </c>
      <c r="N52" s="13" t="n"/>
      <c r="O52" s="14" t="n"/>
      <c r="P52" s="14" t="n"/>
      <c r="Q52" s="13" t="n"/>
      <c r="R52" s="15" t="n"/>
      <c r="S52" s="13" t="n"/>
      <c r="T52" s="13" t="n"/>
      <c r="U52" s="16">
        <f>IF(AND(ISNUMBER(O52),ISNUMBER(P52)),ROUND(SQRT(((P52-J52)*111320*COS(RADIANS(I52)))^2+((O52-I52)*110540)^2),0),"")</f>
        <v/>
      </c>
      <c r="V52" s="17">
        <f>IF(N52="","",IF(N52="Sửa vị trí",IF(OR(O52="",P52=""),"Thiếu vĩ độ / kinh độ mới",IF(OR(O52&lt;12.5,O52&gt;15,P52&lt;107,P52&gt;109.6),"Toạ độ ngoài Gia Lai (đảo vĩ/kinh độ?)",IF(Q52="","Chọn cách xác định",IF(U52&gt;20000,"Dời hơn 20 km – kiểm tra lại","OK")))),IF(AND(N52&lt;&gt;"Sửa vị trí",OR(O52&lt;&gt;"",P52&lt;&gt;"")),"Có toạ độ mới nhưng kết quả không phải Sửa vị trí","OK")))</f>
        <v/>
      </c>
    </row>
    <row r="53">
      <c r="A53" s="9" t="n">
        <v>49</v>
      </c>
      <c r="B53" s="9" t="inlineStr">
        <is>
          <t>cadc4528-fa0c-d9d0-38c6-0b2237a3dfc4</t>
        </is>
      </c>
      <c r="C53" s="9" t="inlineStr">
        <is>
          <t>Trung bình</t>
        </is>
      </c>
      <c r="D53" s="10" t="inlineStr">
        <is>
          <t>Petrolimex</t>
        </is>
      </c>
      <c r="E53" s="9" t="inlineStr">
        <is>
          <t>Cây xăng</t>
        </is>
      </c>
      <c r="F53" s="9" t="inlineStr">
        <is>
          <t>OpenStreetMap</t>
        </is>
      </c>
      <c r="G53" s="10" t="inlineStr">
        <is>
          <t>Xã Biển Hồ, Gia Lai</t>
        </is>
      </c>
      <c r="H53" s="9" t="inlineStr">
        <is>
          <t>Xã Biển Hồ</t>
        </is>
      </c>
      <c r="I53" s="11" t="n">
        <v>14.09275</v>
      </c>
      <c r="J53" s="11" t="n">
        <v>107.978184</v>
      </c>
      <c r="K53" s="9" t="inlineStr">
        <is>
          <t>Đã đối chiếu</t>
        </is>
      </c>
      <c r="L53" s="10" t="n"/>
      <c r="M53" s="12" t="inlineStr">
        <is>
          <t>Bản đồ</t>
        </is>
      </c>
      <c r="N53" s="13" t="n"/>
      <c r="O53" s="14" t="n"/>
      <c r="P53" s="14" t="n"/>
      <c r="Q53" s="13" t="n"/>
      <c r="R53" s="15" t="n"/>
      <c r="S53" s="13" t="n"/>
      <c r="T53" s="13" t="n"/>
      <c r="U53" s="16">
        <f>IF(AND(ISNUMBER(O53),ISNUMBER(P53)),ROUND(SQRT(((P53-J53)*111320*COS(RADIANS(I53)))^2+((O53-I53)*110540)^2),0),"")</f>
        <v/>
      </c>
      <c r="V53" s="17">
        <f>IF(N53="","",IF(N53="Sửa vị trí",IF(OR(O53="",P53=""),"Thiếu vĩ độ / kinh độ mới",IF(OR(O53&lt;12.5,O53&gt;15,P53&lt;107,P53&gt;109.6),"Toạ độ ngoài Gia Lai (đảo vĩ/kinh độ?)",IF(Q53="","Chọn cách xác định",IF(U53&gt;20000,"Dời hơn 20 km – kiểm tra lại","OK")))),IF(AND(N53&lt;&gt;"Sửa vị trí",OR(O53&lt;&gt;"",P53&lt;&gt;"")),"Có toạ độ mới nhưng kết quả không phải Sửa vị trí","OK")))</f>
        <v/>
      </c>
    </row>
    <row r="54">
      <c r="A54" s="9" t="n">
        <v>50</v>
      </c>
      <c r="B54" s="9" t="inlineStr">
        <is>
          <t>58f5cd6f-92a4-8bd4-1c87-06f4ca1c14e8</t>
        </is>
      </c>
      <c r="C54" s="9" t="inlineStr">
        <is>
          <t>Trung bình</t>
        </is>
      </c>
      <c r="D54" s="10" t="inlineStr">
        <is>
          <t>Petrolimex</t>
        </is>
      </c>
      <c r="E54" s="9" t="inlineStr">
        <is>
          <t>Cây xăng</t>
        </is>
      </c>
      <c r="F54" s="9" t="inlineStr">
        <is>
          <t>OpenStreetMap</t>
        </is>
      </c>
      <c r="G54" s="10" t="inlineStr">
        <is>
          <t>Xã Biển Hồ, Gia Lai</t>
        </is>
      </c>
      <c r="H54" s="9" t="inlineStr">
        <is>
          <t>Xã Biển Hồ</t>
        </is>
      </c>
      <c r="I54" s="11" t="n">
        <v>14.080199</v>
      </c>
      <c r="J54" s="11" t="n">
        <v>107.988099</v>
      </c>
      <c r="K54" s="9" t="inlineStr">
        <is>
          <t>Đã đối chiếu</t>
        </is>
      </c>
      <c r="L54" s="10" t="n"/>
      <c r="M54" s="12" t="inlineStr">
        <is>
          <t>Bản đồ</t>
        </is>
      </c>
      <c r="N54" s="13" t="n"/>
      <c r="O54" s="14" t="n"/>
      <c r="P54" s="14" t="n"/>
      <c r="Q54" s="13" t="n"/>
      <c r="R54" s="15" t="n"/>
      <c r="S54" s="13" t="n"/>
      <c r="T54" s="13" t="n"/>
      <c r="U54" s="16">
        <f>IF(AND(ISNUMBER(O54),ISNUMBER(P54)),ROUND(SQRT(((P54-J54)*111320*COS(RADIANS(I54)))^2+((O54-I54)*110540)^2),0),"")</f>
        <v/>
      </c>
      <c r="V54" s="17">
        <f>IF(N54="","",IF(N54="Sửa vị trí",IF(OR(O54="",P54=""),"Thiếu vĩ độ / kinh độ mới",IF(OR(O54&lt;12.5,O54&gt;15,P54&lt;107,P54&gt;109.6),"Toạ độ ngoài Gia Lai (đảo vĩ/kinh độ?)",IF(Q54="","Chọn cách xác định",IF(U54&gt;20000,"Dời hơn 20 km – kiểm tra lại","OK")))),IF(AND(N54&lt;&gt;"Sửa vị trí",OR(O54&lt;&gt;"",P54&lt;&gt;"")),"Có toạ độ mới nhưng kết quả không phải Sửa vị trí","OK")))</f>
        <v/>
      </c>
    </row>
    <row r="55">
      <c r="A55" s="9" t="n">
        <v>51</v>
      </c>
      <c r="B55" s="9" t="inlineStr">
        <is>
          <t>4ded9492-b35d-162c-1247-3d2148237b52</t>
        </is>
      </c>
      <c r="C55" s="9" t="inlineStr">
        <is>
          <t>Trung bình</t>
        </is>
      </c>
      <c r="D55" s="10" t="inlineStr">
        <is>
          <t>Petrolimex</t>
        </is>
      </c>
      <c r="E55" s="9" t="inlineStr">
        <is>
          <t>Cây xăng</t>
        </is>
      </c>
      <c r="F55" s="9" t="inlineStr">
        <is>
          <t>OpenStreetMap</t>
        </is>
      </c>
      <c r="G55" s="10" t="inlineStr">
        <is>
          <t>Xã Gào, Gia Lai</t>
        </is>
      </c>
      <c r="H55" s="9" t="inlineStr">
        <is>
          <t>Xã Gào</t>
        </is>
      </c>
      <c r="I55" s="11" t="n">
        <v>13.919783</v>
      </c>
      <c r="J55" s="11" t="n">
        <v>108.004922</v>
      </c>
      <c r="K55" s="9" t="inlineStr">
        <is>
          <t>Đã đối chiếu</t>
        </is>
      </c>
      <c r="L55" s="10" t="n"/>
      <c r="M55" s="12" t="inlineStr">
        <is>
          <t>Bản đồ</t>
        </is>
      </c>
      <c r="N55" s="13" t="n"/>
      <c r="O55" s="14" t="n"/>
      <c r="P55" s="14" t="n"/>
      <c r="Q55" s="13" t="n"/>
      <c r="R55" s="15" t="n"/>
      <c r="S55" s="13" t="n"/>
      <c r="T55" s="13" t="n"/>
      <c r="U55" s="16">
        <f>IF(AND(ISNUMBER(O55),ISNUMBER(P55)),ROUND(SQRT(((P55-J55)*111320*COS(RADIANS(I55)))^2+((O55-I55)*110540)^2),0),"")</f>
        <v/>
      </c>
      <c r="V55" s="17">
        <f>IF(N55="","",IF(N55="Sửa vị trí",IF(OR(O55="",P55=""),"Thiếu vĩ độ / kinh độ mới",IF(OR(O55&lt;12.5,O55&gt;15,P55&lt;107,P55&gt;109.6),"Toạ độ ngoài Gia Lai (đảo vĩ/kinh độ?)",IF(Q55="","Chọn cách xác định",IF(U55&gt;20000,"Dời hơn 20 km – kiểm tra lại","OK")))),IF(AND(N55&lt;&gt;"Sửa vị trí",OR(O55&lt;&gt;"",P55&lt;&gt;"")),"Có toạ độ mới nhưng kết quả không phải Sửa vị trí","OK")))</f>
        <v/>
      </c>
    </row>
    <row r="56">
      <c r="A56" s="9" t="n">
        <v>52</v>
      </c>
      <c r="B56" s="9" t="inlineStr">
        <is>
          <t>8d1ff7de-5811-434d-ab2b-526e24a08f32</t>
        </is>
      </c>
      <c r="C56" s="9" t="inlineStr">
        <is>
          <t>Trung bình</t>
        </is>
      </c>
      <c r="D56" s="10" t="inlineStr">
        <is>
          <t>Biển Hồ Pleiku</t>
        </is>
      </c>
      <c r="E56" s="9" t="inlineStr">
        <is>
          <t>Danh lam thắng cảnh</t>
        </is>
      </c>
      <c r="F56" s="9" t="inlineStr">
        <is>
          <t>Dữ liệu gialai-travel</t>
        </is>
      </c>
      <c r="G56" s="10" t="inlineStr">
        <is>
          <t>Xã Biển Hồ, TP. Pleiku, Gia Lai (cách trung tâm thành phố ~5km)</t>
        </is>
      </c>
      <c r="H56" s="9" t="inlineStr">
        <is>
          <t>Xã Biển Hồ</t>
        </is>
      </c>
      <c r="I56" s="11" t="n">
        <v>14.046859</v>
      </c>
      <c r="J56" s="11" t="n">
        <v>107.996007</v>
      </c>
      <c r="K56" s="9" t="inlineStr">
        <is>
          <t>Đã hiệu chỉnh tự động</t>
        </is>
      </c>
      <c r="L56" s="10" t="inlineStr">
        <is>
          <t>Đã hiệu chỉnh theo OpenStreetMap (node/13105153109), dời 4766 m</t>
        </is>
      </c>
      <c r="M56" s="12" t="inlineStr">
        <is>
          <t>Bản đồ</t>
        </is>
      </c>
      <c r="N56" s="13" t="n"/>
      <c r="O56" s="14" t="n"/>
      <c r="P56" s="14" t="n"/>
      <c r="Q56" s="13" t="n"/>
      <c r="R56" s="15" t="n"/>
      <c r="S56" s="13" t="n"/>
      <c r="T56" s="13" t="n"/>
      <c r="U56" s="16">
        <f>IF(AND(ISNUMBER(O56),ISNUMBER(P56)),ROUND(SQRT(((P56-J56)*111320*COS(RADIANS(I56)))^2+((O56-I56)*110540)^2),0),"")</f>
        <v/>
      </c>
      <c r="V56" s="17">
        <f>IF(N56="","",IF(N56="Sửa vị trí",IF(OR(O56="",P56=""),"Thiếu vĩ độ / kinh độ mới",IF(OR(O56&lt;12.5,O56&gt;15,P56&lt;107,P56&gt;109.6),"Toạ độ ngoài Gia Lai (đảo vĩ/kinh độ?)",IF(Q56="","Chọn cách xác định",IF(U56&gt;20000,"Dời hơn 20 km – kiểm tra lại","OK")))),IF(AND(N56&lt;&gt;"Sửa vị trí",OR(O56&lt;&gt;"",P56&lt;&gt;"")),"Có toạ độ mới nhưng kết quả không phải Sửa vị trí","OK")))</f>
        <v/>
      </c>
    </row>
    <row r="57">
      <c r="A57" s="9" t="n">
        <v>53</v>
      </c>
      <c r="B57" s="9" t="inlineStr">
        <is>
          <t>7ac49226-9446-7eaf-1bf4-a089954efbfb</t>
        </is>
      </c>
      <c r="C57" s="9" t="inlineStr">
        <is>
          <t>Trung bình</t>
        </is>
      </c>
      <c r="D57" s="10" t="inlineStr">
        <is>
          <t>ABC HOTEL</t>
        </is>
      </c>
      <c r="E57" s="9" t="inlineStr">
        <is>
          <t>Khách sạn</t>
        </is>
      </c>
      <c r="F57" s="9" t="inlineStr">
        <is>
          <t>OpenStreetMap</t>
        </is>
      </c>
      <c r="G57" s="10" t="inlineStr">
        <is>
          <t>Phường Diên Hồng, Gia Lai</t>
        </is>
      </c>
      <c r="H57" s="9" t="inlineStr">
        <is>
          <t>Phường Diên Hồng</t>
        </is>
      </c>
      <c r="I57" s="11" t="n">
        <v>13.969184</v>
      </c>
      <c r="J57" s="11" t="n">
        <v>107.988988</v>
      </c>
      <c r="K57" s="9" t="inlineStr">
        <is>
          <t>Đã đối chiếu</t>
        </is>
      </c>
      <c r="L57" s="10" t="n"/>
      <c r="M57" s="12" t="inlineStr">
        <is>
          <t>Bản đồ</t>
        </is>
      </c>
      <c r="N57" s="13" t="n"/>
      <c r="O57" s="14" t="n"/>
      <c r="P57" s="14" t="n"/>
      <c r="Q57" s="13" t="n"/>
      <c r="R57" s="15" t="n"/>
      <c r="S57" s="13" t="n"/>
      <c r="T57" s="13" t="n"/>
      <c r="U57" s="16">
        <f>IF(AND(ISNUMBER(O57),ISNUMBER(P57)),ROUND(SQRT(((P57-J57)*111320*COS(RADIANS(I57)))^2+((O57-I57)*110540)^2),0),"")</f>
        <v/>
      </c>
      <c r="V57" s="17">
        <f>IF(N57="","",IF(N57="Sửa vị trí",IF(OR(O57="",P57=""),"Thiếu vĩ độ / kinh độ mới",IF(OR(O57&lt;12.5,O57&gt;15,P57&lt;107,P57&gt;109.6),"Toạ độ ngoài Gia Lai (đảo vĩ/kinh độ?)",IF(Q57="","Chọn cách xác định",IF(U57&gt;20000,"Dời hơn 20 km – kiểm tra lại","OK")))),IF(AND(N57&lt;&gt;"Sửa vị trí",OR(O57&lt;&gt;"",P57&lt;&gt;"")),"Có toạ độ mới nhưng kết quả không phải Sửa vị trí","OK")))</f>
        <v/>
      </c>
    </row>
    <row r="58">
      <c r="A58" s="9" t="n">
        <v>54</v>
      </c>
      <c r="B58" s="9" t="inlineStr">
        <is>
          <t>bc7eff7a-bdf0-ee14-30ed-34d4a7d55a9d</t>
        </is>
      </c>
      <c r="C58" s="9" t="inlineStr">
        <is>
          <t>Trung bình</t>
        </is>
      </c>
      <c r="D58" s="10" t="inlineStr">
        <is>
          <t>Diora Hotel &amp; Apartment</t>
        </is>
      </c>
      <c r="E58" s="9" t="inlineStr">
        <is>
          <t>Khách sạn</t>
        </is>
      </c>
      <c r="F58" s="9" t="inlineStr">
        <is>
          <t>OpenStreetMap</t>
        </is>
      </c>
      <c r="G58" s="10" t="inlineStr">
        <is>
          <t>Phường Diên Hồng, Gia Lai</t>
        </is>
      </c>
      <c r="H58" s="9" t="inlineStr">
        <is>
          <t>Phường Diên Hồng</t>
        </is>
      </c>
      <c r="I58" s="11" t="n">
        <v>13.972615</v>
      </c>
      <c r="J58" s="11" t="n">
        <v>107.988967</v>
      </c>
      <c r="K58" s="9" t="inlineStr">
        <is>
          <t>Đã đối chiếu</t>
        </is>
      </c>
      <c r="L58" s="10" t="n"/>
      <c r="M58" s="12" t="inlineStr">
        <is>
          <t>Bản đồ</t>
        </is>
      </c>
      <c r="N58" s="13" t="n"/>
      <c r="O58" s="14" t="n"/>
      <c r="P58" s="14" t="n"/>
      <c r="Q58" s="13" t="n"/>
      <c r="R58" s="15" t="n"/>
      <c r="S58" s="13" t="n"/>
      <c r="T58" s="13" t="n"/>
      <c r="U58" s="16">
        <f>IF(AND(ISNUMBER(O58),ISNUMBER(P58)),ROUND(SQRT(((P58-J58)*111320*COS(RADIANS(I58)))^2+((O58-I58)*110540)^2),0),"")</f>
        <v/>
      </c>
      <c r="V58" s="17">
        <f>IF(N58="","",IF(N58="Sửa vị trí",IF(OR(O58="",P58=""),"Thiếu vĩ độ / kinh độ mới",IF(OR(O58&lt;12.5,O58&gt;15,P58&lt;107,P58&gt;109.6),"Toạ độ ngoài Gia Lai (đảo vĩ/kinh độ?)",IF(Q58="","Chọn cách xác định",IF(U58&gt;20000,"Dời hơn 20 km – kiểm tra lại","OK")))),IF(AND(N58&lt;&gt;"Sửa vị trí",OR(O58&lt;&gt;"",P58&lt;&gt;"")),"Có toạ độ mới nhưng kết quả không phải Sửa vị trí","OK")))</f>
        <v/>
      </c>
    </row>
    <row r="59">
      <c r="A59" s="9" t="n">
        <v>55</v>
      </c>
      <c r="B59" s="9" t="inlineStr">
        <is>
          <t>bf65e84a-1d13-f560-1026-76d4dd776701</t>
        </is>
      </c>
      <c r="C59" s="9" t="inlineStr">
        <is>
          <t>Trung bình</t>
        </is>
      </c>
      <c r="D59" s="10" t="inlineStr">
        <is>
          <t>Duc Long Hotel 1</t>
        </is>
      </c>
      <c r="E59" s="9" t="inlineStr">
        <is>
          <t>Khách sạn</t>
        </is>
      </c>
      <c r="F59" s="9" t="inlineStr">
        <is>
          <t>OpenStreetMap</t>
        </is>
      </c>
      <c r="G59" s="10" t="inlineStr">
        <is>
          <t>Phường Diên Hồng, Gia Lai</t>
        </is>
      </c>
      <c r="H59" s="9" t="inlineStr">
        <is>
          <t>Phường Diên Hồng</t>
        </is>
      </c>
      <c r="I59" s="11" t="n">
        <v>13.98012</v>
      </c>
      <c r="J59" s="11" t="n">
        <v>107.996299</v>
      </c>
      <c r="K59" s="9" t="inlineStr">
        <is>
          <t>Đã đối chiếu</t>
        </is>
      </c>
      <c r="L59" s="10" t="n"/>
      <c r="M59" s="12" t="inlineStr">
        <is>
          <t>Bản đồ</t>
        </is>
      </c>
      <c r="N59" s="13" t="n"/>
      <c r="O59" s="14" t="n"/>
      <c r="P59" s="14" t="n"/>
      <c r="Q59" s="13" t="n"/>
      <c r="R59" s="15" t="n"/>
      <c r="S59" s="13" t="n"/>
      <c r="T59" s="13" t="n"/>
      <c r="U59" s="16">
        <f>IF(AND(ISNUMBER(O59),ISNUMBER(P59)),ROUND(SQRT(((P59-J59)*111320*COS(RADIANS(I59)))^2+((O59-I59)*110540)^2),0),"")</f>
        <v/>
      </c>
      <c r="V59" s="17">
        <f>IF(N59="","",IF(N59="Sửa vị trí",IF(OR(O59="",P59=""),"Thiếu vĩ độ / kinh độ mới",IF(OR(O59&lt;12.5,O59&gt;15,P59&lt;107,P59&gt;109.6),"Toạ độ ngoài Gia Lai (đảo vĩ/kinh độ?)",IF(Q59="","Chọn cách xác định",IF(U59&gt;20000,"Dời hơn 20 km – kiểm tra lại","OK")))),IF(AND(N59&lt;&gt;"Sửa vị trí",OR(O59&lt;&gt;"",P59&lt;&gt;"")),"Có toạ độ mới nhưng kết quả không phải Sửa vị trí","OK")))</f>
        <v/>
      </c>
    </row>
    <row r="60">
      <c r="A60" s="9" t="n">
        <v>56</v>
      </c>
      <c r="B60" s="9" t="inlineStr">
        <is>
          <t>cf8a57a7-1403-b029-42b9-22a1a71fc658</t>
        </is>
      </c>
      <c r="C60" s="9" t="inlineStr">
        <is>
          <t>Trung bình</t>
        </is>
      </c>
      <c r="D60" s="10" t="inlineStr">
        <is>
          <t>Gia Bảo</t>
        </is>
      </c>
      <c r="E60" s="9" t="inlineStr">
        <is>
          <t>Khách sạn</t>
        </is>
      </c>
      <c r="F60" s="9" t="inlineStr">
        <is>
          <t>OpenStreetMap</t>
        </is>
      </c>
      <c r="G60" s="10" t="inlineStr">
        <is>
          <t>Phường Diên Hồng, Gia Lai</t>
        </is>
      </c>
      <c r="H60" s="9" t="inlineStr">
        <is>
          <t>Phường Diên Hồng</t>
        </is>
      </c>
      <c r="I60" s="11" t="n">
        <v>13.983239</v>
      </c>
      <c r="J60" s="11" t="n">
        <v>107.991046</v>
      </c>
      <c r="K60" s="9" t="inlineStr">
        <is>
          <t>Đã đối chiếu</t>
        </is>
      </c>
      <c r="L60" s="10" t="n"/>
      <c r="M60" s="12" t="inlineStr">
        <is>
          <t>Bản đồ</t>
        </is>
      </c>
      <c r="N60" s="13" t="n"/>
      <c r="O60" s="14" t="n"/>
      <c r="P60" s="14" t="n"/>
      <c r="Q60" s="13" t="n"/>
      <c r="R60" s="15" t="n"/>
      <c r="S60" s="13" t="n"/>
      <c r="T60" s="13" t="n"/>
      <c r="U60" s="16">
        <f>IF(AND(ISNUMBER(O60),ISNUMBER(P60)),ROUND(SQRT(((P60-J60)*111320*COS(RADIANS(I60)))^2+((O60-I60)*110540)^2),0),"")</f>
        <v/>
      </c>
      <c r="V60" s="17">
        <f>IF(N60="","",IF(N60="Sửa vị trí",IF(OR(O60="",P60=""),"Thiếu vĩ độ / kinh độ mới",IF(OR(O60&lt;12.5,O60&gt;15,P60&lt;107,P60&gt;109.6),"Toạ độ ngoài Gia Lai (đảo vĩ/kinh độ?)",IF(Q60="","Chọn cách xác định",IF(U60&gt;20000,"Dời hơn 20 km – kiểm tra lại","OK")))),IF(AND(N60&lt;&gt;"Sửa vị trí",OR(O60&lt;&gt;"",P60&lt;&gt;"")),"Có toạ độ mới nhưng kết quả không phải Sửa vị trí","OK")))</f>
        <v/>
      </c>
    </row>
    <row r="61">
      <c r="A61" s="9" t="n">
        <v>57</v>
      </c>
      <c r="B61" s="9" t="inlineStr">
        <is>
          <t>b29dd809-a06d-eaaf-707d-c40e66d1f069</t>
        </is>
      </c>
      <c r="C61" s="9" t="inlineStr">
        <is>
          <t>Trung bình</t>
        </is>
      </c>
      <c r="D61" s="10" t="inlineStr">
        <is>
          <t>KS Thanh Bình</t>
        </is>
      </c>
      <c r="E61" s="9" t="inlineStr">
        <is>
          <t>Khách sạn</t>
        </is>
      </c>
      <c r="F61" s="9" t="inlineStr">
        <is>
          <t>OpenStreetMap</t>
        </is>
      </c>
      <c r="G61" s="10" t="inlineStr">
        <is>
          <t>Phường Diên Hồng, Gia Lai</t>
        </is>
      </c>
      <c r="H61" s="9" t="inlineStr">
        <is>
          <t>Phường Diên Hồng</t>
        </is>
      </c>
      <c r="I61" s="11" t="n">
        <v>13.978302</v>
      </c>
      <c r="J61" s="11" t="n">
        <v>107.986994</v>
      </c>
      <c r="K61" s="9" t="inlineStr">
        <is>
          <t>Đã đối chiếu</t>
        </is>
      </c>
      <c r="L61" s="10" t="n"/>
      <c r="M61" s="12" t="inlineStr">
        <is>
          <t>Bản đồ</t>
        </is>
      </c>
      <c r="N61" s="13" t="n"/>
      <c r="O61" s="14" t="n"/>
      <c r="P61" s="14" t="n"/>
      <c r="Q61" s="13" t="n"/>
      <c r="R61" s="15" t="n"/>
      <c r="S61" s="13" t="n"/>
      <c r="T61" s="13" t="n"/>
      <c r="U61" s="16">
        <f>IF(AND(ISNUMBER(O61),ISNUMBER(P61)),ROUND(SQRT(((P61-J61)*111320*COS(RADIANS(I61)))^2+((O61-I61)*110540)^2),0),"")</f>
        <v/>
      </c>
      <c r="V61" s="17">
        <f>IF(N61="","",IF(N61="Sửa vị trí",IF(OR(O61="",P61=""),"Thiếu vĩ độ / kinh độ mới",IF(OR(O61&lt;12.5,O61&gt;15,P61&lt;107,P61&gt;109.6),"Toạ độ ngoài Gia Lai (đảo vĩ/kinh độ?)",IF(Q61="","Chọn cách xác định",IF(U61&gt;20000,"Dời hơn 20 km – kiểm tra lại","OK")))),IF(AND(N61&lt;&gt;"Sửa vị trí",OR(O61&lt;&gt;"",P61&lt;&gt;"")),"Có toạ độ mới nhưng kết quả không phải Sửa vị trí","OK")))</f>
        <v/>
      </c>
    </row>
    <row r="62">
      <c r="A62" s="9" t="n">
        <v>58</v>
      </c>
      <c r="B62" s="9" t="inlineStr">
        <is>
          <t>5a5ae272-5fe9-c47c-fa20-a23bdcd59098</t>
        </is>
      </c>
      <c r="C62" s="9" t="inlineStr">
        <is>
          <t>Trung bình</t>
        </is>
      </c>
      <c r="D62" s="10" t="inlineStr">
        <is>
          <t>Khách sạn Relax</t>
        </is>
      </c>
      <c r="E62" s="9" t="inlineStr">
        <is>
          <t>Khách sạn</t>
        </is>
      </c>
      <c r="F62" s="9" t="inlineStr">
        <is>
          <t>OpenStreetMap</t>
        </is>
      </c>
      <c r="G62" s="10" t="inlineStr">
        <is>
          <t>Phường Diên Hồng, Gia Lai</t>
        </is>
      </c>
      <c r="H62" s="9" t="inlineStr">
        <is>
          <t>Phường Diên Hồng</t>
        </is>
      </c>
      <c r="I62" s="11" t="n">
        <v>13.980267</v>
      </c>
      <c r="J62" s="11" t="n">
        <v>107.989479</v>
      </c>
      <c r="K62" s="9" t="inlineStr">
        <is>
          <t>Đã đối chiếu</t>
        </is>
      </c>
      <c r="L62" s="10" t="n"/>
      <c r="M62" s="12" t="inlineStr">
        <is>
          <t>Bản đồ</t>
        </is>
      </c>
      <c r="N62" s="13" t="n"/>
      <c r="O62" s="14" t="n"/>
      <c r="P62" s="14" t="n"/>
      <c r="Q62" s="13" t="n"/>
      <c r="R62" s="15" t="n"/>
      <c r="S62" s="13" t="n"/>
      <c r="T62" s="13" t="n"/>
      <c r="U62" s="16">
        <f>IF(AND(ISNUMBER(O62),ISNUMBER(P62)),ROUND(SQRT(((P62-J62)*111320*COS(RADIANS(I62)))^2+((O62-I62)*110540)^2),0),"")</f>
        <v/>
      </c>
      <c r="V62" s="17">
        <f>IF(N62="","",IF(N62="Sửa vị trí",IF(OR(O62="",P62=""),"Thiếu vĩ độ / kinh độ mới",IF(OR(O62&lt;12.5,O62&gt;15,P62&lt;107,P62&gt;109.6),"Toạ độ ngoài Gia Lai (đảo vĩ/kinh độ?)",IF(Q62="","Chọn cách xác định",IF(U62&gt;20000,"Dời hơn 20 km – kiểm tra lại","OK")))),IF(AND(N62&lt;&gt;"Sửa vị trí",OR(O62&lt;&gt;"",P62&lt;&gt;"")),"Có toạ độ mới nhưng kết quả không phải Sửa vị trí","OK")))</f>
        <v/>
      </c>
    </row>
    <row r="63">
      <c r="A63" s="9" t="n">
        <v>59</v>
      </c>
      <c r="B63" s="9" t="inlineStr">
        <is>
          <t>506a9ebd-920d-b377-03fe-b99505438399</t>
        </is>
      </c>
      <c r="C63" s="9" t="inlineStr">
        <is>
          <t>Trung bình</t>
        </is>
      </c>
      <c r="D63" s="10" t="inlineStr">
        <is>
          <t>Nhà khách CA tỉnh Gia Lai</t>
        </is>
      </c>
      <c r="E63" s="9" t="inlineStr">
        <is>
          <t>Khách sạn</t>
        </is>
      </c>
      <c r="F63" s="9" t="inlineStr">
        <is>
          <t>OpenStreetMap</t>
        </is>
      </c>
      <c r="G63" s="10" t="inlineStr">
        <is>
          <t>Phường Diên Hồng, Gia Lai</t>
        </is>
      </c>
      <c r="H63" s="9" t="inlineStr">
        <is>
          <t>Phường Diên Hồng</t>
        </is>
      </c>
      <c r="I63" s="11" t="n">
        <v>13.976554</v>
      </c>
      <c r="J63" s="11" t="n">
        <v>108.000868</v>
      </c>
      <c r="K63" s="9" t="inlineStr">
        <is>
          <t>Đã đối chiếu</t>
        </is>
      </c>
      <c r="L63" s="10" t="n"/>
      <c r="M63" s="12" t="inlineStr">
        <is>
          <t>Bản đồ</t>
        </is>
      </c>
      <c r="N63" s="13" t="n"/>
      <c r="O63" s="14" t="n"/>
      <c r="P63" s="14" t="n"/>
      <c r="Q63" s="13" t="n"/>
      <c r="R63" s="15" t="n"/>
      <c r="S63" s="13" t="n"/>
      <c r="T63" s="13" t="n"/>
      <c r="U63" s="16">
        <f>IF(AND(ISNUMBER(O63),ISNUMBER(P63)),ROUND(SQRT(((P63-J63)*111320*COS(RADIANS(I63)))^2+((O63-I63)*110540)^2),0),"")</f>
        <v/>
      </c>
      <c r="V63" s="17">
        <f>IF(N63="","",IF(N63="Sửa vị trí",IF(OR(O63="",P63=""),"Thiếu vĩ độ / kinh độ mới",IF(OR(O63&lt;12.5,O63&gt;15,P63&lt;107,P63&gt;109.6),"Toạ độ ngoài Gia Lai (đảo vĩ/kinh độ?)",IF(Q63="","Chọn cách xác định",IF(U63&gt;20000,"Dời hơn 20 km – kiểm tra lại","OK")))),IF(AND(N63&lt;&gt;"Sửa vị trí",OR(O63&lt;&gt;"",P63&lt;&gt;"")),"Có toạ độ mới nhưng kết quả không phải Sửa vị trí","OK")))</f>
        <v/>
      </c>
    </row>
    <row r="64">
      <c r="A64" s="9" t="n">
        <v>60</v>
      </c>
      <c r="B64" s="9" t="inlineStr">
        <is>
          <t>afd9ace6-73cd-b861-d589-e9b224a774ba</t>
        </is>
      </c>
      <c r="C64" s="9" t="inlineStr">
        <is>
          <t>Trung bình</t>
        </is>
      </c>
      <c r="D64" s="10" t="inlineStr">
        <is>
          <t>Pleiku Highlands Boutique Hotel</t>
        </is>
      </c>
      <c r="E64" s="9" t="inlineStr">
        <is>
          <t>Khách sạn</t>
        </is>
      </c>
      <c r="F64" s="9" t="inlineStr">
        <is>
          <t>OpenStreetMap</t>
        </is>
      </c>
      <c r="G64" s="10" t="inlineStr">
        <is>
          <t>Phường Diên Hồng, Gia Lai</t>
        </is>
      </c>
      <c r="H64" s="9" t="inlineStr">
        <is>
          <t>Phường Diên Hồng</t>
        </is>
      </c>
      <c r="I64" s="11" t="n">
        <v>13.970364</v>
      </c>
      <c r="J64" s="11" t="n">
        <v>107.999584</v>
      </c>
      <c r="K64" s="9" t="inlineStr">
        <is>
          <t>Đã đối chiếu</t>
        </is>
      </c>
      <c r="L64" s="10" t="n"/>
      <c r="M64" s="12" t="inlineStr">
        <is>
          <t>Bản đồ</t>
        </is>
      </c>
      <c r="N64" s="13" t="n"/>
      <c r="O64" s="14" t="n"/>
      <c r="P64" s="14" t="n"/>
      <c r="Q64" s="13" t="n"/>
      <c r="R64" s="15" t="n"/>
      <c r="S64" s="13" t="n"/>
      <c r="T64" s="13" t="n"/>
      <c r="U64" s="16">
        <f>IF(AND(ISNUMBER(O64),ISNUMBER(P64)),ROUND(SQRT(((P64-J64)*111320*COS(RADIANS(I64)))^2+((O64-I64)*110540)^2),0),"")</f>
        <v/>
      </c>
      <c r="V64" s="17">
        <f>IF(N64="","",IF(N64="Sửa vị trí",IF(OR(O64="",P64=""),"Thiếu vĩ độ / kinh độ mới",IF(OR(O64&lt;12.5,O64&gt;15,P64&lt;107,P64&gt;109.6),"Toạ độ ngoài Gia Lai (đảo vĩ/kinh độ?)",IF(Q64="","Chọn cách xác định",IF(U64&gt;20000,"Dời hơn 20 km – kiểm tra lại","OK")))),IF(AND(N64&lt;&gt;"Sửa vị trí",OR(O64&lt;&gt;"",P64&lt;&gt;"")),"Có toạ độ mới nhưng kết quả không phải Sửa vị trí","OK")))</f>
        <v/>
      </c>
    </row>
    <row r="65">
      <c r="A65" s="9" t="n">
        <v>61</v>
      </c>
      <c r="B65" s="9" t="inlineStr">
        <is>
          <t>6c5840c4-1de3-a30a-494d-8530bd929e56</t>
        </is>
      </c>
      <c r="C65" s="9" t="inlineStr">
        <is>
          <t>Trung bình</t>
        </is>
      </c>
      <c r="D65" s="10" t="inlineStr">
        <is>
          <t>Tre Xanh Hotel</t>
        </is>
      </c>
      <c r="E65" s="9" t="inlineStr">
        <is>
          <t>Khách sạn</t>
        </is>
      </c>
      <c r="F65" s="9" t="inlineStr">
        <is>
          <t>OpenStreetMap</t>
        </is>
      </c>
      <c r="G65" s="10" t="inlineStr">
        <is>
          <t>9 Hai Bà Trưng, Phường Diên Hồng, Gia Lai</t>
        </is>
      </c>
      <c r="H65" s="9" t="inlineStr">
        <is>
          <t>Phường Diên Hồng</t>
        </is>
      </c>
      <c r="I65" s="11" t="n">
        <v>13.979965</v>
      </c>
      <c r="J65" s="11" t="n">
        <v>107.998626</v>
      </c>
      <c r="K65" s="9" t="inlineStr">
        <is>
          <t>Đã đối chiếu</t>
        </is>
      </c>
      <c r="L65" s="10" t="n"/>
      <c r="M65" s="12" t="inlineStr">
        <is>
          <t>Bản đồ</t>
        </is>
      </c>
      <c r="N65" s="13" t="n"/>
      <c r="O65" s="14" t="n"/>
      <c r="P65" s="14" t="n"/>
      <c r="Q65" s="13" t="n"/>
      <c r="R65" s="15" t="n"/>
      <c r="S65" s="13" t="n"/>
      <c r="T65" s="13" t="n"/>
      <c r="U65" s="16">
        <f>IF(AND(ISNUMBER(O65),ISNUMBER(P65)),ROUND(SQRT(((P65-J65)*111320*COS(RADIANS(I65)))^2+((O65-I65)*110540)^2),0),"")</f>
        <v/>
      </c>
      <c r="V65" s="17">
        <f>IF(N65="","",IF(N65="Sửa vị trí",IF(OR(O65="",P65=""),"Thiếu vĩ độ / kinh độ mới",IF(OR(O65&lt;12.5,O65&gt;15,P65&lt;107,P65&gt;109.6),"Toạ độ ngoài Gia Lai (đảo vĩ/kinh độ?)",IF(Q65="","Chọn cách xác định",IF(U65&gt;20000,"Dời hơn 20 km – kiểm tra lại","OK")))),IF(AND(N65&lt;&gt;"Sửa vị trí",OR(O65&lt;&gt;"",P65&lt;&gt;"")),"Có toạ độ mới nhưng kết quả không phải Sửa vị trí","OK")))</f>
        <v/>
      </c>
    </row>
    <row r="66">
      <c r="A66" s="9" t="n">
        <v>62</v>
      </c>
      <c r="B66" s="9" t="inlineStr">
        <is>
          <t>694141ba-3545-ff24-2b20-42b57bc28313</t>
        </is>
      </c>
      <c r="C66" s="9" t="inlineStr">
        <is>
          <t>Trung bình</t>
        </is>
      </c>
      <c r="D66" s="10" t="inlineStr">
        <is>
          <t>Tre Xanh Hotel</t>
        </is>
      </c>
      <c r="E66" s="9" t="inlineStr">
        <is>
          <t>Khách sạn</t>
        </is>
      </c>
      <c r="F66" s="9" t="inlineStr">
        <is>
          <t>OpenStreetMap</t>
        </is>
      </c>
      <c r="G66" s="10" t="inlineStr">
        <is>
          <t>9 Hai Bà Trưng, Phường Diên Hồng, Gia Lai</t>
        </is>
      </c>
      <c r="H66" s="9" t="inlineStr">
        <is>
          <t>Phường Diên Hồng</t>
        </is>
      </c>
      <c r="I66" s="11" t="n">
        <v>13.97996</v>
      </c>
      <c r="J66" s="11" t="n">
        <v>107.998649</v>
      </c>
      <c r="K66" s="9" t="inlineStr">
        <is>
          <t>Đã đối chiếu</t>
        </is>
      </c>
      <c r="L66" s="10" t="n"/>
      <c r="M66" s="12" t="inlineStr">
        <is>
          <t>Bản đồ</t>
        </is>
      </c>
      <c r="N66" s="13" t="n"/>
      <c r="O66" s="14" t="n"/>
      <c r="P66" s="14" t="n"/>
      <c r="Q66" s="13" t="n"/>
      <c r="R66" s="15" t="n"/>
      <c r="S66" s="13" t="n"/>
      <c r="T66" s="13" t="n"/>
      <c r="U66" s="16">
        <f>IF(AND(ISNUMBER(O66),ISNUMBER(P66)),ROUND(SQRT(((P66-J66)*111320*COS(RADIANS(I66)))^2+((O66-I66)*110540)^2),0),"")</f>
        <v/>
      </c>
      <c r="V66" s="17">
        <f>IF(N66="","",IF(N66="Sửa vị trí",IF(OR(O66="",P66=""),"Thiếu vĩ độ / kinh độ mới",IF(OR(O66&lt;12.5,O66&gt;15,P66&lt;107,P66&gt;109.6),"Toạ độ ngoài Gia Lai (đảo vĩ/kinh độ?)",IF(Q66="","Chọn cách xác định",IF(U66&gt;20000,"Dời hơn 20 km – kiểm tra lại","OK")))),IF(AND(N66&lt;&gt;"Sửa vị trí",OR(O66&lt;&gt;"",P66&lt;&gt;"")),"Có toạ độ mới nhưng kết quả không phải Sửa vị trí","OK")))</f>
        <v/>
      </c>
    </row>
    <row r="67">
      <c r="A67" s="9" t="n">
        <v>63</v>
      </c>
      <c r="B67" s="9" t="inlineStr">
        <is>
          <t>29c87873-ddef-1fb3-3e1c-05f62d5d0eee</t>
        </is>
      </c>
      <c r="C67" s="9" t="inlineStr">
        <is>
          <t>Trung bình</t>
        </is>
      </c>
      <c r="D67" s="10" t="inlineStr">
        <is>
          <t>Hoài Thương Hotel</t>
        </is>
      </c>
      <c r="E67" s="9" t="inlineStr">
        <is>
          <t>Khách sạn</t>
        </is>
      </c>
      <c r="F67" s="9" t="inlineStr">
        <is>
          <t>OpenStreetMap</t>
        </is>
      </c>
      <c r="G67" s="10" t="inlineStr">
        <is>
          <t>Phường Hội Phú, Gia Lai</t>
        </is>
      </c>
      <c r="H67" s="9" t="inlineStr">
        <is>
          <t>Phường Hội Phú</t>
        </is>
      </c>
      <c r="I67" s="11" t="n">
        <v>13.964694</v>
      </c>
      <c r="J67" s="11" t="n">
        <v>108.017303</v>
      </c>
      <c r="K67" s="9" t="inlineStr">
        <is>
          <t>Đã đối chiếu</t>
        </is>
      </c>
      <c r="L67" s="10" t="n"/>
      <c r="M67" s="12" t="inlineStr">
        <is>
          <t>Bản đồ</t>
        </is>
      </c>
      <c r="N67" s="13" t="n"/>
      <c r="O67" s="14" t="n"/>
      <c r="P67" s="14" t="n"/>
      <c r="Q67" s="13" t="n"/>
      <c r="R67" s="15" t="n"/>
      <c r="S67" s="13" t="n"/>
      <c r="T67" s="13" t="n"/>
      <c r="U67" s="16">
        <f>IF(AND(ISNUMBER(O67),ISNUMBER(P67)),ROUND(SQRT(((P67-J67)*111320*COS(RADIANS(I67)))^2+((O67-I67)*110540)^2),0),"")</f>
        <v/>
      </c>
      <c r="V67" s="17">
        <f>IF(N67="","",IF(N67="Sửa vị trí",IF(OR(O67="",P67=""),"Thiếu vĩ độ / kinh độ mới",IF(OR(O67&lt;12.5,O67&gt;15,P67&lt;107,P67&gt;109.6),"Toạ độ ngoài Gia Lai (đảo vĩ/kinh độ?)",IF(Q67="","Chọn cách xác định",IF(U67&gt;20000,"Dời hơn 20 km – kiểm tra lại","OK")))),IF(AND(N67&lt;&gt;"Sửa vị trí",OR(O67&lt;&gt;"",P67&lt;&gt;"")),"Có toạ độ mới nhưng kết quả không phải Sửa vị trí","OK")))</f>
        <v/>
      </c>
    </row>
    <row r="68">
      <c r="A68" s="9" t="n">
        <v>64</v>
      </c>
      <c r="B68" s="9" t="inlineStr">
        <is>
          <t>2e83abe8-662d-41aa-965f-fd5f0027f508</t>
        </is>
      </c>
      <c r="C68" s="9" t="inlineStr">
        <is>
          <t>Trung bình</t>
        </is>
      </c>
      <c r="D68" s="10" t="inlineStr">
        <is>
          <t>Khách Sạn Minh Mạnh</t>
        </is>
      </c>
      <c r="E68" s="9" t="inlineStr">
        <is>
          <t>Khách sạn</t>
        </is>
      </c>
      <c r="F68" s="9" t="inlineStr">
        <is>
          <t>OpenStreetMap</t>
        </is>
      </c>
      <c r="G68" s="10" t="inlineStr">
        <is>
          <t>Phường Hội Phú, Gia Lai</t>
        </is>
      </c>
      <c r="H68" s="9" t="inlineStr">
        <is>
          <t>Phường Hội Phú</t>
        </is>
      </c>
      <c r="I68" s="11" t="n">
        <v>13.963553</v>
      </c>
      <c r="J68" s="11" t="n">
        <v>108.020496</v>
      </c>
      <c r="K68" s="9" t="inlineStr">
        <is>
          <t>Đã đối chiếu</t>
        </is>
      </c>
      <c r="L68" s="10" t="n"/>
      <c r="M68" s="12" t="inlineStr">
        <is>
          <t>Bản đồ</t>
        </is>
      </c>
      <c r="N68" s="13" t="n"/>
      <c r="O68" s="14" t="n"/>
      <c r="P68" s="14" t="n"/>
      <c r="Q68" s="13" t="n"/>
      <c r="R68" s="15" t="n"/>
      <c r="S68" s="13" t="n"/>
      <c r="T68" s="13" t="n"/>
      <c r="U68" s="16">
        <f>IF(AND(ISNUMBER(O68),ISNUMBER(P68)),ROUND(SQRT(((P68-J68)*111320*COS(RADIANS(I68)))^2+((O68-I68)*110540)^2),0),"")</f>
        <v/>
      </c>
      <c r="V68" s="17">
        <f>IF(N68="","",IF(N68="Sửa vị trí",IF(OR(O68="",P68=""),"Thiếu vĩ độ / kinh độ mới",IF(OR(O68&lt;12.5,O68&gt;15,P68&lt;107,P68&gt;109.6),"Toạ độ ngoài Gia Lai (đảo vĩ/kinh độ?)",IF(Q68="","Chọn cách xác định",IF(U68&gt;20000,"Dời hơn 20 km – kiểm tra lại","OK")))),IF(AND(N68&lt;&gt;"Sửa vị trí",OR(O68&lt;&gt;"",P68&lt;&gt;"")),"Có toạ độ mới nhưng kết quả không phải Sửa vị trí","OK")))</f>
        <v/>
      </c>
    </row>
    <row r="69">
      <c r="A69" s="9" t="n">
        <v>65</v>
      </c>
      <c r="B69" s="9" t="inlineStr">
        <is>
          <t>5808bced-3a84-0746-294c-47cec088837e</t>
        </is>
      </c>
      <c r="C69" s="9" t="inlineStr">
        <is>
          <t>Trung bình</t>
        </is>
      </c>
      <c r="D69" s="10" t="inlineStr">
        <is>
          <t>Thảo Ngân Pleiku Hotel</t>
        </is>
      </c>
      <c r="E69" s="9" t="inlineStr">
        <is>
          <t>Khách sạn</t>
        </is>
      </c>
      <c r="F69" s="9" t="inlineStr">
        <is>
          <t>OpenStreetMap</t>
        </is>
      </c>
      <c r="G69" s="10" t="inlineStr">
        <is>
          <t>Phường Hội Phú, Gia Lai</t>
        </is>
      </c>
      <c r="H69" s="9" t="inlineStr">
        <is>
          <t>Phường Hội Phú</t>
        </is>
      </c>
      <c r="I69" s="11" t="n">
        <v>13.970603</v>
      </c>
      <c r="J69" s="11" t="n">
        <v>108.026391</v>
      </c>
      <c r="K69" s="9" t="inlineStr">
        <is>
          <t>Đã đối chiếu</t>
        </is>
      </c>
      <c r="L69" s="10" t="n"/>
      <c r="M69" s="12" t="inlineStr">
        <is>
          <t>Bản đồ</t>
        </is>
      </c>
      <c r="N69" s="13" t="n"/>
      <c r="O69" s="14" t="n"/>
      <c r="P69" s="14" t="n"/>
      <c r="Q69" s="13" t="n"/>
      <c r="R69" s="15" t="n"/>
      <c r="S69" s="13" t="n"/>
      <c r="T69" s="13" t="n"/>
      <c r="U69" s="16">
        <f>IF(AND(ISNUMBER(O69),ISNUMBER(P69)),ROUND(SQRT(((P69-J69)*111320*COS(RADIANS(I69)))^2+((O69-I69)*110540)^2),0),"")</f>
        <v/>
      </c>
      <c r="V69" s="17">
        <f>IF(N69="","",IF(N69="Sửa vị trí",IF(OR(O69="",P69=""),"Thiếu vĩ độ / kinh độ mới",IF(OR(O69&lt;12.5,O69&gt;15,P69&lt;107,P69&gt;109.6),"Toạ độ ngoài Gia Lai (đảo vĩ/kinh độ?)",IF(Q69="","Chọn cách xác định",IF(U69&gt;20000,"Dời hơn 20 km – kiểm tra lại","OK")))),IF(AND(N69&lt;&gt;"Sửa vị trí",OR(O69&lt;&gt;"",P69&lt;&gt;"")),"Có toạ độ mới nhưng kết quả không phải Sửa vị trí","OK")))</f>
        <v/>
      </c>
    </row>
    <row r="70">
      <c r="A70" s="9" t="n">
        <v>66</v>
      </c>
      <c r="B70" s="9" t="inlineStr">
        <is>
          <t>e8a36ac8-8832-70aa-0e49-f6c3eb732606</t>
        </is>
      </c>
      <c r="C70" s="9" t="inlineStr">
        <is>
          <t>Trung bình</t>
        </is>
      </c>
      <c r="D70" s="10" t="inlineStr">
        <is>
          <t>Dang xua hotel</t>
        </is>
      </c>
      <c r="E70" s="9" t="inlineStr">
        <is>
          <t>Khách sạn</t>
        </is>
      </c>
      <c r="F70" s="9" t="inlineStr">
        <is>
          <t>OpenStreetMap</t>
        </is>
      </c>
      <c r="G70" s="10" t="inlineStr">
        <is>
          <t>84 Hùng Vương, Phường Pleiku, Gia Lai</t>
        </is>
      </c>
      <c r="H70" s="9" t="inlineStr">
        <is>
          <t>Phường Pleiku</t>
        </is>
      </c>
      <c r="I70" s="11" t="n">
        <v>13.976794</v>
      </c>
      <c r="J70" s="11" t="n">
        <v>108.002227</v>
      </c>
      <c r="K70" s="9" t="inlineStr">
        <is>
          <t>Đã đối chiếu</t>
        </is>
      </c>
      <c r="L70" s="10" t="n"/>
      <c r="M70" s="12" t="inlineStr">
        <is>
          <t>Bản đồ</t>
        </is>
      </c>
      <c r="N70" s="13" t="n"/>
      <c r="O70" s="14" t="n"/>
      <c r="P70" s="14" t="n"/>
      <c r="Q70" s="13" t="n"/>
      <c r="R70" s="15" t="n"/>
      <c r="S70" s="13" t="n"/>
      <c r="T70" s="13" t="n"/>
      <c r="U70" s="16">
        <f>IF(AND(ISNUMBER(O70),ISNUMBER(P70)),ROUND(SQRT(((P70-J70)*111320*COS(RADIANS(I70)))^2+((O70-I70)*110540)^2),0),"")</f>
        <v/>
      </c>
      <c r="V70" s="17">
        <f>IF(N70="","",IF(N70="Sửa vị trí",IF(OR(O70="",P70=""),"Thiếu vĩ độ / kinh độ mới",IF(OR(O70&lt;12.5,O70&gt;15,P70&lt;107,P70&gt;109.6),"Toạ độ ngoài Gia Lai (đảo vĩ/kinh độ?)",IF(Q70="","Chọn cách xác định",IF(U70&gt;20000,"Dời hơn 20 km – kiểm tra lại","OK")))),IF(AND(N70&lt;&gt;"Sửa vị trí",OR(O70&lt;&gt;"",P70&lt;&gt;"")),"Có toạ độ mới nhưng kết quả không phải Sửa vị trí","OK")))</f>
        <v/>
      </c>
    </row>
    <row r="71">
      <c r="A71" s="9" t="n">
        <v>67</v>
      </c>
      <c r="B71" s="9" t="inlineStr">
        <is>
          <t>99a96e7b-8436-dbe3-5b45-9e783093c27f</t>
        </is>
      </c>
      <c r="C71" s="9" t="inlineStr">
        <is>
          <t>Trung bình</t>
        </is>
      </c>
      <c r="D71" s="10" t="inlineStr">
        <is>
          <t>Green Bamboo - Tre Xanh Plaza Hotel</t>
        </is>
      </c>
      <c r="E71" s="9" t="inlineStr">
        <is>
          <t>Khách sạn</t>
        </is>
      </c>
      <c r="F71" s="9" t="inlineStr">
        <is>
          <t>OpenStreetMap</t>
        </is>
      </c>
      <c r="G71" s="10" t="inlineStr">
        <is>
          <t>Phường Pleiku, Gia Lai</t>
        </is>
      </c>
      <c r="H71" s="9" t="inlineStr">
        <is>
          <t>Phường Pleiku</t>
        </is>
      </c>
      <c r="I71" s="11" t="n">
        <v>13.979496</v>
      </c>
      <c r="J71" s="11" t="n">
        <v>107.999217</v>
      </c>
      <c r="K71" s="9" t="inlineStr">
        <is>
          <t>Đã đối chiếu</t>
        </is>
      </c>
      <c r="L71" s="10" t="n"/>
      <c r="M71" s="12" t="inlineStr">
        <is>
          <t>Bản đồ</t>
        </is>
      </c>
      <c r="N71" s="13" t="n"/>
      <c r="O71" s="14" t="n"/>
      <c r="P71" s="14" t="n"/>
      <c r="Q71" s="13" t="n"/>
      <c r="R71" s="15" t="n"/>
      <c r="S71" s="13" t="n"/>
      <c r="T71" s="13" t="n"/>
      <c r="U71" s="16">
        <f>IF(AND(ISNUMBER(O71),ISNUMBER(P71)),ROUND(SQRT(((P71-J71)*111320*COS(RADIANS(I71)))^2+((O71-I71)*110540)^2),0),"")</f>
        <v/>
      </c>
      <c r="V71" s="17">
        <f>IF(N71="","",IF(N71="Sửa vị trí",IF(OR(O71="",P71=""),"Thiếu vĩ độ / kinh độ mới",IF(OR(O71&lt;12.5,O71&gt;15,P71&lt;107,P71&gt;109.6),"Toạ độ ngoài Gia Lai (đảo vĩ/kinh độ?)",IF(Q71="","Chọn cách xác định",IF(U71&gt;20000,"Dời hơn 20 km – kiểm tra lại","OK")))),IF(AND(N71&lt;&gt;"Sửa vị trí",OR(O71&lt;&gt;"",P71&lt;&gt;"")),"Có toạ độ mới nhưng kết quả không phải Sửa vị trí","OK")))</f>
        <v/>
      </c>
    </row>
    <row r="72">
      <c r="A72" s="9" t="n">
        <v>68</v>
      </c>
      <c r="B72" s="9" t="inlineStr">
        <is>
          <t>81914ac7-3fff-172e-55a9-d4c745c1ca9b</t>
        </is>
      </c>
      <c r="C72" s="9" t="inlineStr">
        <is>
          <t>Trung bình</t>
        </is>
      </c>
      <c r="D72" s="10" t="inlineStr">
        <is>
          <t>HAGL Hotel</t>
        </is>
      </c>
      <c r="E72" s="9" t="inlineStr">
        <is>
          <t>Khách sạn</t>
        </is>
      </c>
      <c r="F72" s="9" t="inlineStr">
        <is>
          <t>OpenStreetMap</t>
        </is>
      </c>
      <c r="G72" s="10" t="inlineStr">
        <is>
          <t>01 Phù Đổng, Phường Pleiku, Gia Lai</t>
        </is>
      </c>
      <c r="H72" s="9" t="inlineStr">
        <is>
          <t>Phường Pleiku</t>
        </is>
      </c>
      <c r="I72" s="11" t="n">
        <v>13.97241</v>
      </c>
      <c r="J72" s="11" t="n">
        <v>108.014668</v>
      </c>
      <c r="K72" s="9" t="inlineStr">
        <is>
          <t>Đã đối chiếu</t>
        </is>
      </c>
      <c r="L72" s="10" t="n"/>
      <c r="M72" s="12" t="inlineStr">
        <is>
          <t>Bản đồ</t>
        </is>
      </c>
      <c r="N72" s="13" t="n"/>
      <c r="O72" s="14" t="n"/>
      <c r="P72" s="14" t="n"/>
      <c r="Q72" s="13" t="n"/>
      <c r="R72" s="15" t="n"/>
      <c r="S72" s="13" t="n"/>
      <c r="T72" s="13" t="n"/>
      <c r="U72" s="16">
        <f>IF(AND(ISNUMBER(O72),ISNUMBER(P72)),ROUND(SQRT(((P72-J72)*111320*COS(RADIANS(I72)))^2+((O72-I72)*110540)^2),0),"")</f>
        <v/>
      </c>
      <c r="V72" s="17">
        <f>IF(N72="","",IF(N72="Sửa vị trí",IF(OR(O72="",P72=""),"Thiếu vĩ độ / kinh độ mới",IF(OR(O72&lt;12.5,O72&gt;15,P72&lt;107,P72&gt;109.6),"Toạ độ ngoài Gia Lai (đảo vĩ/kinh độ?)",IF(Q72="","Chọn cách xác định",IF(U72&gt;20000,"Dời hơn 20 km – kiểm tra lại","OK")))),IF(AND(N72&lt;&gt;"Sửa vị trí",OR(O72&lt;&gt;"",P72&lt;&gt;"")),"Có toạ độ mới nhưng kết quả không phải Sửa vị trí","OK")))</f>
        <v/>
      </c>
    </row>
    <row r="73">
      <c r="A73" s="9" t="n">
        <v>69</v>
      </c>
      <c r="B73" s="9" t="inlineStr">
        <is>
          <t>785ddda2-7eae-9049-ffae-4829e6e31fc1</t>
        </is>
      </c>
      <c r="C73" s="9" t="inlineStr">
        <is>
          <t>Trung bình</t>
        </is>
      </c>
      <c r="D73" s="10" t="inlineStr">
        <is>
          <t>Hani House. Nice for bicycle</t>
        </is>
      </c>
      <c r="E73" s="9" t="inlineStr">
        <is>
          <t>Khách sạn</t>
        </is>
      </c>
      <c r="F73" s="9" t="inlineStr">
        <is>
          <t>OpenStreetMap</t>
        </is>
      </c>
      <c r="G73" s="10" t="inlineStr">
        <is>
          <t>Phường Pleiku, Gia Lai</t>
        </is>
      </c>
      <c r="H73" s="9" t="inlineStr">
        <is>
          <t>Phường Pleiku</t>
        </is>
      </c>
      <c r="I73" s="11" t="n">
        <v>13.978379</v>
      </c>
      <c r="J73" s="11" t="n">
        <v>108.014446</v>
      </c>
      <c r="K73" s="9" t="inlineStr">
        <is>
          <t>Đã đối chiếu</t>
        </is>
      </c>
      <c r="L73" s="10" t="n"/>
      <c r="M73" s="12" t="inlineStr">
        <is>
          <t>Bản đồ</t>
        </is>
      </c>
      <c r="N73" s="13" t="n"/>
      <c r="O73" s="14" t="n"/>
      <c r="P73" s="14" t="n"/>
      <c r="Q73" s="13" t="n"/>
      <c r="R73" s="15" t="n"/>
      <c r="S73" s="13" t="n"/>
      <c r="T73" s="13" t="n"/>
      <c r="U73" s="16">
        <f>IF(AND(ISNUMBER(O73),ISNUMBER(P73)),ROUND(SQRT(((P73-J73)*111320*COS(RADIANS(I73)))^2+((O73-I73)*110540)^2),0),"")</f>
        <v/>
      </c>
      <c r="V73" s="17">
        <f>IF(N73="","",IF(N73="Sửa vị trí",IF(OR(O73="",P73=""),"Thiếu vĩ độ / kinh độ mới",IF(OR(O73&lt;12.5,O73&gt;15,P73&lt;107,P73&gt;109.6),"Toạ độ ngoài Gia Lai (đảo vĩ/kinh độ?)",IF(Q73="","Chọn cách xác định",IF(U73&gt;20000,"Dời hơn 20 km – kiểm tra lại","OK")))),IF(AND(N73&lt;&gt;"Sửa vị trí",OR(O73&lt;&gt;"",P73&lt;&gt;"")),"Có toạ độ mới nhưng kết quả không phải Sửa vị trí","OK")))</f>
        <v/>
      </c>
    </row>
    <row r="74">
      <c r="A74" s="9" t="n">
        <v>70</v>
      </c>
      <c r="B74" s="9" t="inlineStr">
        <is>
          <t>97b25054-3a10-1dc9-71aa-ae1812677321</t>
        </is>
      </c>
      <c r="C74" s="9" t="inlineStr">
        <is>
          <t>Trung bình</t>
        </is>
      </c>
      <c r="D74" s="10" t="inlineStr">
        <is>
          <t>Highlight House Hotel &amp; Coffee</t>
        </is>
      </c>
      <c r="E74" s="9" t="inlineStr">
        <is>
          <t>Khách sạn</t>
        </is>
      </c>
      <c r="F74" s="9" t="inlineStr">
        <is>
          <t>OpenStreetMap</t>
        </is>
      </c>
      <c r="G74" s="10" t="inlineStr">
        <is>
          <t>Phường Pleiku, Gia Lai</t>
        </is>
      </c>
      <c r="H74" s="9" t="inlineStr">
        <is>
          <t>Phường Pleiku</t>
        </is>
      </c>
      <c r="I74" s="11" t="n">
        <v>13.979419</v>
      </c>
      <c r="J74" s="11" t="n">
        <v>108.010636</v>
      </c>
      <c r="K74" s="9" t="inlineStr">
        <is>
          <t>Đã đối chiếu</t>
        </is>
      </c>
      <c r="L74" s="10" t="n"/>
      <c r="M74" s="12" t="inlineStr">
        <is>
          <t>Bản đồ</t>
        </is>
      </c>
      <c r="N74" s="13" t="n"/>
      <c r="O74" s="14" t="n"/>
      <c r="P74" s="14" t="n"/>
      <c r="Q74" s="13" t="n"/>
      <c r="R74" s="15" t="n"/>
      <c r="S74" s="13" t="n"/>
      <c r="T74" s="13" t="n"/>
      <c r="U74" s="16">
        <f>IF(AND(ISNUMBER(O74),ISNUMBER(P74)),ROUND(SQRT(((P74-J74)*111320*COS(RADIANS(I74)))^2+((O74-I74)*110540)^2),0),"")</f>
        <v/>
      </c>
      <c r="V74" s="17">
        <f>IF(N74="","",IF(N74="Sửa vị trí",IF(OR(O74="",P74=""),"Thiếu vĩ độ / kinh độ mới",IF(OR(O74&lt;12.5,O74&gt;15,P74&lt;107,P74&gt;109.6),"Toạ độ ngoài Gia Lai (đảo vĩ/kinh độ?)",IF(Q74="","Chọn cách xác định",IF(U74&gt;20000,"Dời hơn 20 km – kiểm tra lại","OK")))),IF(AND(N74&lt;&gt;"Sửa vị trí",OR(O74&lt;&gt;"",P74&lt;&gt;"")),"Có toạ độ mới nhưng kết quả không phải Sửa vị trí","OK")))</f>
        <v/>
      </c>
    </row>
    <row r="75">
      <c r="A75" s="9" t="n">
        <v>71</v>
      </c>
      <c r="B75" s="9" t="inlineStr">
        <is>
          <t>1cf2c337-7dab-acca-2c8b-2997767562f1</t>
        </is>
      </c>
      <c r="C75" s="9" t="inlineStr">
        <is>
          <t>Trung bình</t>
        </is>
      </c>
      <c r="D75" s="10" t="inlineStr">
        <is>
          <t>Hung Vuong</t>
        </is>
      </c>
      <c r="E75" s="9" t="inlineStr">
        <is>
          <t>Khách sạn</t>
        </is>
      </c>
      <c r="F75" s="9" t="inlineStr">
        <is>
          <t>OpenStreetMap</t>
        </is>
      </c>
      <c r="G75" s="10" t="inlineStr">
        <is>
          <t>Phường Pleiku, Gia Lai</t>
        </is>
      </c>
      <c r="H75" s="9" t="inlineStr">
        <is>
          <t>Phường Pleiku</t>
        </is>
      </c>
      <c r="I75" s="11" t="n">
        <v>13.976822</v>
      </c>
      <c r="J75" s="11" t="n">
        <v>108.006305</v>
      </c>
      <c r="K75" s="9" t="inlineStr">
        <is>
          <t>Đã đối chiếu</t>
        </is>
      </c>
      <c r="L75" s="10" t="n"/>
      <c r="M75" s="12" t="inlineStr">
        <is>
          <t>Bản đồ</t>
        </is>
      </c>
      <c r="N75" s="13" t="n"/>
      <c r="O75" s="14" t="n"/>
      <c r="P75" s="14" t="n"/>
      <c r="Q75" s="13" t="n"/>
      <c r="R75" s="15" t="n"/>
      <c r="S75" s="13" t="n"/>
      <c r="T75" s="13" t="n"/>
      <c r="U75" s="16">
        <f>IF(AND(ISNUMBER(O75),ISNUMBER(P75)),ROUND(SQRT(((P75-J75)*111320*COS(RADIANS(I75)))^2+((O75-I75)*110540)^2),0),"")</f>
        <v/>
      </c>
      <c r="V75" s="17">
        <f>IF(N75="","",IF(N75="Sửa vị trí",IF(OR(O75="",P75=""),"Thiếu vĩ độ / kinh độ mới",IF(OR(O75&lt;12.5,O75&gt;15,P75&lt;107,P75&gt;109.6),"Toạ độ ngoài Gia Lai (đảo vĩ/kinh độ?)",IF(Q75="","Chọn cách xác định",IF(U75&gt;20000,"Dời hơn 20 km – kiểm tra lại","OK")))),IF(AND(N75&lt;&gt;"Sửa vị trí",OR(O75&lt;&gt;"",P75&lt;&gt;"")),"Có toạ độ mới nhưng kết quả không phải Sửa vị trí","OK")))</f>
        <v/>
      </c>
    </row>
    <row r="76">
      <c r="A76" s="9" t="n">
        <v>72</v>
      </c>
      <c r="B76" s="9" t="inlineStr">
        <is>
          <t>ffe840a7-238d-a517-e896-0ae83830c53c</t>
        </is>
      </c>
      <c r="C76" s="9" t="inlineStr">
        <is>
          <t>Trung bình</t>
        </is>
      </c>
      <c r="D76" s="10" t="inlineStr">
        <is>
          <t>Khách Sạn Elisa</t>
        </is>
      </c>
      <c r="E76" s="9" t="inlineStr">
        <is>
          <t>Khách sạn</t>
        </is>
      </c>
      <c r="F76" s="9" t="inlineStr">
        <is>
          <t>OpenStreetMap</t>
        </is>
      </c>
      <c r="G76" s="10" t="inlineStr">
        <is>
          <t>Phường Pleiku, Gia Lai</t>
        </is>
      </c>
      <c r="H76" s="9" t="inlineStr">
        <is>
          <t>Phường Pleiku</t>
        </is>
      </c>
      <c r="I76" s="11" t="n">
        <v>13.981437</v>
      </c>
      <c r="J76" s="11" t="n">
        <v>108.000195</v>
      </c>
      <c r="K76" s="9" t="inlineStr">
        <is>
          <t>Đã đối chiếu</t>
        </is>
      </c>
      <c r="L76" s="10" t="n"/>
      <c r="M76" s="12" t="inlineStr">
        <is>
          <t>Bản đồ</t>
        </is>
      </c>
      <c r="N76" s="13" t="n"/>
      <c r="O76" s="14" t="n"/>
      <c r="P76" s="14" t="n"/>
      <c r="Q76" s="13" t="n"/>
      <c r="R76" s="15" t="n"/>
      <c r="S76" s="13" t="n"/>
      <c r="T76" s="13" t="n"/>
      <c r="U76" s="16">
        <f>IF(AND(ISNUMBER(O76),ISNUMBER(P76)),ROUND(SQRT(((P76-J76)*111320*COS(RADIANS(I76)))^2+((O76-I76)*110540)^2),0),"")</f>
        <v/>
      </c>
      <c r="V76" s="17">
        <f>IF(N76="","",IF(N76="Sửa vị trí",IF(OR(O76="",P76=""),"Thiếu vĩ độ / kinh độ mới",IF(OR(O76&lt;12.5,O76&gt;15,P76&lt;107,P76&gt;109.6),"Toạ độ ngoài Gia Lai (đảo vĩ/kinh độ?)",IF(Q76="","Chọn cách xác định",IF(U76&gt;20000,"Dời hơn 20 km – kiểm tra lại","OK")))),IF(AND(N76&lt;&gt;"Sửa vị trí",OR(O76&lt;&gt;"",P76&lt;&gt;"")),"Có toạ độ mới nhưng kết quả không phải Sửa vị trí","OK")))</f>
        <v/>
      </c>
    </row>
    <row r="77">
      <c r="A77" s="9" t="n">
        <v>73</v>
      </c>
      <c r="B77" s="9" t="inlineStr">
        <is>
          <t>e54b8b2f-6059-59fc-7c46-d42f35df3295</t>
        </is>
      </c>
      <c r="C77" s="9" t="inlineStr">
        <is>
          <t>Trung bình</t>
        </is>
      </c>
      <c r="D77" s="10" t="inlineStr">
        <is>
          <t>Khách sạn Le Centre</t>
        </is>
      </c>
      <c r="E77" s="9" t="inlineStr">
        <is>
          <t>Khách sạn</t>
        </is>
      </c>
      <c r="F77" s="9" t="inlineStr">
        <is>
          <t>OpenStreetMap</t>
        </is>
      </c>
      <c r="G77" s="10" t="inlineStr">
        <is>
          <t>Phường Pleiku, Gia Lai</t>
        </is>
      </c>
      <c r="H77" s="9" t="inlineStr">
        <is>
          <t>Phường Pleiku</t>
        </is>
      </c>
      <c r="I77" s="11" t="n">
        <v>13.979938</v>
      </c>
      <c r="J77" s="11" t="n">
        <v>107.999221</v>
      </c>
      <c r="K77" s="9" t="inlineStr">
        <is>
          <t>Đã đối chiếu</t>
        </is>
      </c>
      <c r="L77" s="10" t="n"/>
      <c r="M77" s="12" t="inlineStr">
        <is>
          <t>Bản đồ</t>
        </is>
      </c>
      <c r="N77" s="13" t="n"/>
      <c r="O77" s="14" t="n"/>
      <c r="P77" s="14" t="n"/>
      <c r="Q77" s="13" t="n"/>
      <c r="R77" s="15" t="n"/>
      <c r="S77" s="13" t="n"/>
      <c r="T77" s="13" t="n"/>
      <c r="U77" s="16">
        <f>IF(AND(ISNUMBER(O77),ISNUMBER(P77)),ROUND(SQRT(((P77-J77)*111320*COS(RADIANS(I77)))^2+((O77-I77)*110540)^2),0),"")</f>
        <v/>
      </c>
      <c r="V77" s="17">
        <f>IF(N77="","",IF(N77="Sửa vị trí",IF(OR(O77="",P77=""),"Thiếu vĩ độ / kinh độ mới",IF(OR(O77&lt;12.5,O77&gt;15,P77&lt;107,P77&gt;109.6),"Toạ độ ngoài Gia Lai (đảo vĩ/kinh độ?)",IF(Q77="","Chọn cách xác định",IF(U77&gt;20000,"Dời hơn 20 km – kiểm tra lại","OK")))),IF(AND(N77&lt;&gt;"Sửa vị trí",OR(O77&lt;&gt;"",P77&lt;&gt;"")),"Có toạ độ mới nhưng kết quả không phải Sửa vị trí","OK")))</f>
        <v/>
      </c>
    </row>
    <row r="78">
      <c r="A78" s="9" t="n">
        <v>74</v>
      </c>
      <c r="B78" s="9" t="inlineStr">
        <is>
          <t>42fff897-5924-de0d-645c-cbf38fbfab40</t>
        </is>
      </c>
      <c r="C78" s="9" t="inlineStr">
        <is>
          <t>Trung bình</t>
        </is>
      </c>
      <c r="D78" s="10" t="inlineStr">
        <is>
          <t>Khách sạn Luxstay &amp; Coffee</t>
        </is>
      </c>
      <c r="E78" s="9" t="inlineStr">
        <is>
          <t>Khách sạn</t>
        </is>
      </c>
      <c r="F78" s="9" t="inlineStr">
        <is>
          <t>OpenStreetMap</t>
        </is>
      </c>
      <c r="G78" s="10" t="inlineStr">
        <is>
          <t>Phường Pleiku, Gia Lai</t>
        </is>
      </c>
      <c r="H78" s="9" t="inlineStr">
        <is>
          <t>Phường Pleiku</t>
        </is>
      </c>
      <c r="I78" s="11" t="n">
        <v>13.978644</v>
      </c>
      <c r="J78" s="11" t="n">
        <v>108.011233</v>
      </c>
      <c r="K78" s="9" t="inlineStr">
        <is>
          <t>Đã đối chiếu</t>
        </is>
      </c>
      <c r="L78" s="10" t="n"/>
      <c r="M78" s="12" t="inlineStr">
        <is>
          <t>Bản đồ</t>
        </is>
      </c>
      <c r="N78" s="13" t="n"/>
      <c r="O78" s="14" t="n"/>
      <c r="P78" s="14" t="n"/>
      <c r="Q78" s="13" t="n"/>
      <c r="R78" s="15" t="n"/>
      <c r="S78" s="13" t="n"/>
      <c r="T78" s="13" t="n"/>
      <c r="U78" s="16">
        <f>IF(AND(ISNUMBER(O78),ISNUMBER(P78)),ROUND(SQRT(((P78-J78)*111320*COS(RADIANS(I78)))^2+((O78-I78)*110540)^2),0),"")</f>
        <v/>
      </c>
      <c r="V78" s="17">
        <f>IF(N78="","",IF(N78="Sửa vị trí",IF(OR(O78="",P78=""),"Thiếu vĩ độ / kinh độ mới",IF(OR(O78&lt;12.5,O78&gt;15,P78&lt;107,P78&gt;109.6),"Toạ độ ngoài Gia Lai (đảo vĩ/kinh độ?)",IF(Q78="","Chọn cách xác định",IF(U78&gt;20000,"Dời hơn 20 km – kiểm tra lại","OK")))),IF(AND(N78&lt;&gt;"Sửa vị trí",OR(O78&lt;&gt;"",P78&lt;&gt;"")),"Có toạ độ mới nhưng kết quả không phải Sửa vị trí","OK")))</f>
        <v/>
      </c>
    </row>
    <row r="79">
      <c r="A79" s="9" t="n">
        <v>75</v>
      </c>
      <c r="B79" s="9" t="inlineStr">
        <is>
          <t>f1980220-e78e-421a-60e1-9aef06d1c5f7</t>
        </is>
      </c>
      <c r="C79" s="9" t="inlineStr">
        <is>
          <t>Trung bình</t>
        </is>
      </c>
      <c r="D79" s="10" t="inlineStr">
        <is>
          <t>Khách sạn MeKong Gia Lai</t>
        </is>
      </c>
      <c r="E79" s="9" t="inlineStr">
        <is>
          <t>Khách sạn</t>
        </is>
      </c>
      <c r="F79" s="9" t="inlineStr">
        <is>
          <t>OpenStreetMap</t>
        </is>
      </c>
      <c r="G79" s="10" t="inlineStr">
        <is>
          <t>Phường Pleiku, Gia Lai</t>
        </is>
      </c>
      <c r="H79" s="9" t="inlineStr">
        <is>
          <t>Phường Pleiku</t>
        </is>
      </c>
      <c r="I79" s="11" t="n">
        <v>13.969831</v>
      </c>
      <c r="J79" s="11" t="n">
        <v>108.018447</v>
      </c>
      <c r="K79" s="9" t="inlineStr">
        <is>
          <t>Đã đối chiếu</t>
        </is>
      </c>
      <c r="L79" s="10" t="n"/>
      <c r="M79" s="12" t="inlineStr">
        <is>
          <t>Bản đồ</t>
        </is>
      </c>
      <c r="N79" s="13" t="n"/>
      <c r="O79" s="14" t="n"/>
      <c r="P79" s="14" t="n"/>
      <c r="Q79" s="13" t="n"/>
      <c r="R79" s="15" t="n"/>
      <c r="S79" s="13" t="n"/>
      <c r="T79" s="13" t="n"/>
      <c r="U79" s="16">
        <f>IF(AND(ISNUMBER(O79),ISNUMBER(P79)),ROUND(SQRT(((P79-J79)*111320*COS(RADIANS(I79)))^2+((O79-I79)*110540)^2),0),"")</f>
        <v/>
      </c>
      <c r="V79" s="17">
        <f>IF(N79="","",IF(N79="Sửa vị trí",IF(OR(O79="",P79=""),"Thiếu vĩ độ / kinh độ mới",IF(OR(O79&lt;12.5,O79&gt;15,P79&lt;107,P79&gt;109.6),"Toạ độ ngoài Gia Lai (đảo vĩ/kinh độ?)",IF(Q79="","Chọn cách xác định",IF(U79&gt;20000,"Dời hơn 20 km – kiểm tra lại","OK")))),IF(AND(N79&lt;&gt;"Sửa vị trí",OR(O79&lt;&gt;"",P79&lt;&gt;"")),"Có toạ độ mới nhưng kết quả không phải Sửa vị trí","OK")))</f>
        <v/>
      </c>
    </row>
    <row r="80">
      <c r="A80" s="9" t="n">
        <v>76</v>
      </c>
      <c r="B80" s="9" t="inlineStr">
        <is>
          <t>c91817ea-5009-1c93-1e6c-c6c1650fd526</t>
        </is>
      </c>
      <c r="C80" s="9" t="inlineStr">
        <is>
          <t>Trung bình</t>
        </is>
      </c>
      <c r="D80" s="10" t="inlineStr">
        <is>
          <t>Mường Thanh Gia Lai</t>
        </is>
      </c>
      <c r="E80" s="9" t="inlineStr">
        <is>
          <t>Khách sạn</t>
        </is>
      </c>
      <c r="F80" s="9" t="inlineStr">
        <is>
          <t>OpenStreetMap</t>
        </is>
      </c>
      <c r="G80" s="10" t="inlineStr">
        <is>
          <t>Phường Pleiku, Gia Lai</t>
        </is>
      </c>
      <c r="H80" s="9" t="inlineStr">
        <is>
          <t>Phường Pleiku</t>
        </is>
      </c>
      <c r="I80" s="11" t="n">
        <v>13.970573</v>
      </c>
      <c r="J80" s="11" t="n">
        <v>108.015729</v>
      </c>
      <c r="K80" s="9" t="inlineStr">
        <is>
          <t>Đã đối chiếu</t>
        </is>
      </c>
      <c r="L80" s="10" t="n"/>
      <c r="M80" s="12" t="inlineStr">
        <is>
          <t>Bản đồ</t>
        </is>
      </c>
      <c r="N80" s="13" t="n"/>
      <c r="O80" s="14" t="n"/>
      <c r="P80" s="14" t="n"/>
      <c r="Q80" s="13" t="n"/>
      <c r="R80" s="15" t="n"/>
      <c r="S80" s="13" t="n"/>
      <c r="T80" s="13" t="n"/>
      <c r="U80" s="16">
        <f>IF(AND(ISNUMBER(O80),ISNUMBER(P80)),ROUND(SQRT(((P80-J80)*111320*COS(RADIANS(I80)))^2+((O80-I80)*110540)^2),0),"")</f>
        <v/>
      </c>
      <c r="V80" s="17">
        <f>IF(N80="","",IF(N80="Sửa vị trí",IF(OR(O80="",P80=""),"Thiếu vĩ độ / kinh độ mới",IF(OR(O80&lt;12.5,O80&gt;15,P80&lt;107,P80&gt;109.6),"Toạ độ ngoài Gia Lai (đảo vĩ/kinh độ?)",IF(Q80="","Chọn cách xác định",IF(U80&gt;20000,"Dời hơn 20 km – kiểm tra lại","OK")))),IF(AND(N80&lt;&gt;"Sửa vị trí",OR(O80&lt;&gt;"",P80&lt;&gt;"")),"Có toạ độ mới nhưng kết quả không phải Sửa vị trí","OK")))</f>
        <v/>
      </c>
    </row>
    <row r="81">
      <c r="A81" s="9" t="n">
        <v>77</v>
      </c>
      <c r="B81" s="9" t="inlineStr">
        <is>
          <t>9f81d3f7-b77f-56e9-e015-607131dcfa9e</t>
        </is>
      </c>
      <c r="C81" s="9" t="inlineStr">
        <is>
          <t>Trung bình</t>
        </is>
      </c>
      <c r="D81" s="10" t="inlineStr">
        <is>
          <t>Ngọc Sê Hotel</t>
        </is>
      </c>
      <c r="E81" s="9" t="inlineStr">
        <is>
          <t>Khách sạn</t>
        </is>
      </c>
      <c r="F81" s="9" t="inlineStr">
        <is>
          <t>OpenStreetMap</t>
        </is>
      </c>
      <c r="G81" s="10" t="inlineStr">
        <is>
          <t>Phường Pleiku, Gia Lai</t>
        </is>
      </c>
      <c r="H81" s="9" t="inlineStr">
        <is>
          <t>Phường Pleiku</t>
        </is>
      </c>
      <c r="I81" s="11" t="n">
        <v>13.978444</v>
      </c>
      <c r="J81" s="11" t="n">
        <v>108.012831</v>
      </c>
      <c r="K81" s="9" t="inlineStr">
        <is>
          <t>Đã đối chiếu</t>
        </is>
      </c>
      <c r="L81" s="10" t="n"/>
      <c r="M81" s="12" t="inlineStr">
        <is>
          <t>Bản đồ</t>
        </is>
      </c>
      <c r="N81" s="13" t="n"/>
      <c r="O81" s="14" t="n"/>
      <c r="P81" s="14" t="n"/>
      <c r="Q81" s="13" t="n"/>
      <c r="R81" s="15" t="n"/>
      <c r="S81" s="13" t="n"/>
      <c r="T81" s="13" t="n"/>
      <c r="U81" s="16">
        <f>IF(AND(ISNUMBER(O81),ISNUMBER(P81)),ROUND(SQRT(((P81-J81)*111320*COS(RADIANS(I81)))^2+((O81-I81)*110540)^2),0),"")</f>
        <v/>
      </c>
      <c r="V81" s="17">
        <f>IF(N81="","",IF(N81="Sửa vị trí",IF(OR(O81="",P81=""),"Thiếu vĩ độ / kinh độ mới",IF(OR(O81&lt;12.5,O81&gt;15,P81&lt;107,P81&gt;109.6),"Toạ độ ngoài Gia Lai (đảo vĩ/kinh độ?)",IF(Q81="","Chọn cách xác định",IF(U81&gt;20000,"Dời hơn 20 km – kiểm tra lại","OK")))),IF(AND(N81&lt;&gt;"Sửa vị trí",OR(O81&lt;&gt;"",P81&lt;&gt;"")),"Có toạ độ mới nhưng kết quả không phải Sửa vị trí","OK")))</f>
        <v/>
      </c>
    </row>
    <row r="82">
      <c r="A82" s="9" t="n">
        <v>78</v>
      </c>
      <c r="B82" s="9" t="inlineStr">
        <is>
          <t>71774ef9-9424-4458-a6c7-72912c02cd20</t>
        </is>
      </c>
      <c r="C82" s="9" t="inlineStr">
        <is>
          <t>Trung bình</t>
        </is>
      </c>
      <c r="D82" s="10" t="inlineStr">
        <is>
          <t>Pho Nui hotel</t>
        </is>
      </c>
      <c r="E82" s="9" t="inlineStr">
        <is>
          <t>Khách sạn</t>
        </is>
      </c>
      <c r="F82" s="9" t="inlineStr">
        <is>
          <t>OpenStreetMap</t>
        </is>
      </c>
      <c r="G82" s="10" t="inlineStr">
        <is>
          <t>Phường Pleiku, Gia Lai</t>
        </is>
      </c>
      <c r="H82" s="9" t="inlineStr">
        <is>
          <t>Phường Pleiku</t>
        </is>
      </c>
      <c r="I82" s="11" t="n">
        <v>13.975266</v>
      </c>
      <c r="J82" s="11" t="n">
        <v>108.015095</v>
      </c>
      <c r="K82" s="9" t="inlineStr">
        <is>
          <t>Đã đối chiếu</t>
        </is>
      </c>
      <c r="L82" s="10" t="n"/>
      <c r="M82" s="12" t="inlineStr">
        <is>
          <t>Bản đồ</t>
        </is>
      </c>
      <c r="N82" s="13" t="n"/>
      <c r="O82" s="14" t="n"/>
      <c r="P82" s="14" t="n"/>
      <c r="Q82" s="13" t="n"/>
      <c r="R82" s="15" t="n"/>
      <c r="S82" s="13" t="n"/>
      <c r="T82" s="13" t="n"/>
      <c r="U82" s="16">
        <f>IF(AND(ISNUMBER(O82),ISNUMBER(P82)),ROUND(SQRT(((P82-J82)*111320*COS(RADIANS(I82)))^2+((O82-I82)*110540)^2),0),"")</f>
        <v/>
      </c>
      <c r="V82" s="17">
        <f>IF(N82="","",IF(N82="Sửa vị trí",IF(OR(O82="",P82=""),"Thiếu vĩ độ / kinh độ mới",IF(OR(O82&lt;12.5,O82&gt;15,P82&lt;107,P82&gt;109.6),"Toạ độ ngoài Gia Lai (đảo vĩ/kinh độ?)",IF(Q82="","Chọn cách xác định",IF(U82&gt;20000,"Dời hơn 20 km – kiểm tra lại","OK")))),IF(AND(N82&lt;&gt;"Sửa vị trí",OR(O82&lt;&gt;"",P82&lt;&gt;"")),"Có toạ độ mới nhưng kết quả không phải Sửa vị trí","OK")))</f>
        <v/>
      </c>
    </row>
    <row r="83">
      <c r="A83" s="9" t="n">
        <v>79</v>
      </c>
      <c r="B83" s="9" t="inlineStr">
        <is>
          <t>60c412da-04ad-c2ae-bdf5-cfc6dd156e50</t>
        </is>
      </c>
      <c r="C83" s="9" t="inlineStr">
        <is>
          <t>Trung bình</t>
        </is>
      </c>
      <c r="D83" s="10" t="inlineStr">
        <is>
          <t>Pleiku Hotel</t>
        </is>
      </c>
      <c r="E83" s="9" t="inlineStr">
        <is>
          <t>Khách sạn</t>
        </is>
      </c>
      <c r="F83" s="9" t="inlineStr">
        <is>
          <t>OpenStreetMap</t>
        </is>
      </c>
      <c r="G83" s="10" t="inlineStr">
        <is>
          <t>Phường Pleiku, Gia Lai</t>
        </is>
      </c>
      <c r="H83" s="9" t="inlineStr">
        <is>
          <t>Phường Pleiku</t>
        </is>
      </c>
      <c r="I83" s="11" t="n">
        <v>13.98168</v>
      </c>
      <c r="J83" s="11" t="n">
        <v>108.008389</v>
      </c>
      <c r="K83" s="9" t="inlineStr">
        <is>
          <t>Đã đối chiếu</t>
        </is>
      </c>
      <c r="L83" s="10" t="n"/>
      <c r="M83" s="12" t="inlineStr">
        <is>
          <t>Bản đồ</t>
        </is>
      </c>
      <c r="N83" s="13" t="n"/>
      <c r="O83" s="14" t="n"/>
      <c r="P83" s="14" t="n"/>
      <c r="Q83" s="13" t="n"/>
      <c r="R83" s="15" t="n"/>
      <c r="S83" s="13" t="n"/>
      <c r="T83" s="13" t="n"/>
      <c r="U83" s="16">
        <f>IF(AND(ISNUMBER(O83),ISNUMBER(P83)),ROUND(SQRT(((P83-J83)*111320*COS(RADIANS(I83)))^2+((O83-I83)*110540)^2),0),"")</f>
        <v/>
      </c>
      <c r="V83" s="17">
        <f>IF(N83="","",IF(N83="Sửa vị trí",IF(OR(O83="",P83=""),"Thiếu vĩ độ / kinh độ mới",IF(OR(O83&lt;12.5,O83&gt;15,P83&lt;107,P83&gt;109.6),"Toạ độ ngoài Gia Lai (đảo vĩ/kinh độ?)",IF(Q83="","Chọn cách xác định",IF(U83&gt;20000,"Dời hơn 20 km – kiểm tra lại","OK")))),IF(AND(N83&lt;&gt;"Sửa vị trí",OR(O83&lt;&gt;"",P83&lt;&gt;"")),"Có toạ độ mới nhưng kết quả không phải Sửa vị trí","OK")))</f>
        <v/>
      </c>
    </row>
    <row r="84">
      <c r="A84" s="9" t="n">
        <v>80</v>
      </c>
      <c r="B84" s="9" t="inlineStr">
        <is>
          <t>c6b765bf-7272-bc7a-e7ca-52889153bf2f</t>
        </is>
      </c>
      <c r="C84" s="9" t="inlineStr">
        <is>
          <t>Trung bình</t>
        </is>
      </c>
      <c r="D84" s="10" t="inlineStr">
        <is>
          <t>Thu Hong</t>
        </is>
      </c>
      <c r="E84" s="9" t="inlineStr">
        <is>
          <t>Khách sạn</t>
        </is>
      </c>
      <c r="F84" s="9" t="inlineStr">
        <is>
          <t>OpenStreetMap</t>
        </is>
      </c>
      <c r="G84" s="10" t="inlineStr">
        <is>
          <t>Trường Chinh, Phường Pleiku, Gia Lai</t>
        </is>
      </c>
      <c r="H84" s="9" t="inlineStr">
        <is>
          <t>Phường Pleiku</t>
        </is>
      </c>
      <c r="I84" s="11" t="n">
        <v>13.970082</v>
      </c>
      <c r="J84" s="11" t="n">
        <v>108.014993</v>
      </c>
      <c r="K84" s="9" t="inlineStr">
        <is>
          <t>Đã đối chiếu</t>
        </is>
      </c>
      <c r="L84" s="10" t="n"/>
      <c r="M84" s="12" t="inlineStr">
        <is>
          <t>Bản đồ</t>
        </is>
      </c>
      <c r="N84" s="13" t="n"/>
      <c r="O84" s="14" t="n"/>
      <c r="P84" s="14" t="n"/>
      <c r="Q84" s="13" t="n"/>
      <c r="R84" s="15" t="n"/>
      <c r="S84" s="13" t="n"/>
      <c r="T84" s="13" t="n"/>
      <c r="U84" s="16">
        <f>IF(AND(ISNUMBER(O84),ISNUMBER(P84)),ROUND(SQRT(((P84-J84)*111320*COS(RADIANS(I84)))^2+((O84-I84)*110540)^2),0),"")</f>
        <v/>
      </c>
      <c r="V84" s="17">
        <f>IF(N84="","",IF(N84="Sửa vị trí",IF(OR(O84="",P84=""),"Thiếu vĩ độ / kinh độ mới",IF(OR(O84&lt;12.5,O84&gt;15,P84&lt;107,P84&gt;109.6),"Toạ độ ngoài Gia Lai (đảo vĩ/kinh độ?)",IF(Q84="","Chọn cách xác định",IF(U84&gt;20000,"Dời hơn 20 km – kiểm tra lại","OK")))),IF(AND(N84&lt;&gt;"Sửa vị trí",OR(O84&lt;&gt;"",P84&lt;&gt;"")),"Có toạ độ mới nhưng kết quả không phải Sửa vị trí","OK")))</f>
        <v/>
      </c>
    </row>
    <row r="85">
      <c r="A85" s="9" t="n">
        <v>81</v>
      </c>
      <c r="B85" s="9" t="inlineStr">
        <is>
          <t>3ec7f140-204a-c6e6-f3d9-71549b2483f3</t>
        </is>
      </c>
      <c r="C85" s="9" t="inlineStr">
        <is>
          <t>Trung bình</t>
        </is>
      </c>
      <c r="D85" s="10" t="inlineStr">
        <is>
          <t>Khách Sạn Duy Long</t>
        </is>
      </c>
      <c r="E85" s="9" t="inlineStr">
        <is>
          <t>Khách sạn</t>
        </is>
      </c>
      <c r="F85" s="9" t="inlineStr">
        <is>
          <t>OpenStreetMap</t>
        </is>
      </c>
      <c r="G85" s="10" t="inlineStr">
        <is>
          <t>441 Phạm Văn Đồng, Phường Thống Nhất, Gia Lai</t>
        </is>
      </c>
      <c r="H85" s="9" t="inlineStr">
        <is>
          <t>Phường Thống Nhất</t>
        </is>
      </c>
      <c r="I85" s="11" t="n">
        <v>14.009646</v>
      </c>
      <c r="J85" s="11" t="n">
        <v>107.993393</v>
      </c>
      <c r="K85" s="9" t="inlineStr">
        <is>
          <t>Đã đối chiếu</t>
        </is>
      </c>
      <c r="L85" s="10" t="n"/>
      <c r="M85" s="12" t="inlineStr">
        <is>
          <t>Bản đồ</t>
        </is>
      </c>
      <c r="N85" s="13" t="n"/>
      <c r="O85" s="14" t="n"/>
      <c r="P85" s="14" t="n"/>
      <c r="Q85" s="13" t="n"/>
      <c r="R85" s="15" t="n"/>
      <c r="S85" s="13" t="n"/>
      <c r="T85" s="13" t="n"/>
      <c r="U85" s="16">
        <f>IF(AND(ISNUMBER(O85),ISNUMBER(P85)),ROUND(SQRT(((P85-J85)*111320*COS(RADIANS(I85)))^2+((O85-I85)*110540)^2),0),"")</f>
        <v/>
      </c>
      <c r="V85" s="17">
        <f>IF(N85="","",IF(N85="Sửa vị trí",IF(OR(O85="",P85=""),"Thiếu vĩ độ / kinh độ mới",IF(OR(O85&lt;12.5,O85&gt;15,P85&lt;107,P85&gt;109.6),"Toạ độ ngoài Gia Lai (đảo vĩ/kinh độ?)",IF(Q85="","Chọn cách xác định",IF(U85&gt;20000,"Dời hơn 20 km – kiểm tra lại","OK")))),IF(AND(N85&lt;&gt;"Sửa vị trí",OR(O85&lt;&gt;"",P85&lt;&gt;"")),"Có toạ độ mới nhưng kết quả không phải Sửa vị trí","OK")))</f>
        <v/>
      </c>
    </row>
    <row r="86">
      <c r="A86" s="9" t="n">
        <v>82</v>
      </c>
      <c r="B86" s="9" t="inlineStr">
        <is>
          <t>fc6518ac-a125-04d4-0cad-2c4ca958da3b</t>
        </is>
      </c>
      <c r="C86" s="9" t="inlineStr">
        <is>
          <t>Trung bình</t>
        </is>
      </c>
      <c r="D86" s="10" t="inlineStr">
        <is>
          <t>Khách Sạn Hoa Nam</t>
        </is>
      </c>
      <c r="E86" s="9" t="inlineStr">
        <is>
          <t>Khách sạn</t>
        </is>
      </c>
      <c r="F86" s="9" t="inlineStr">
        <is>
          <t>OpenStreetMap</t>
        </is>
      </c>
      <c r="G86" s="10" t="inlineStr">
        <is>
          <t>Phường Thống Nhất, Gia Lai</t>
        </is>
      </c>
      <c r="H86" s="9" t="inlineStr">
        <is>
          <t>Phường Thống Nhất</t>
        </is>
      </c>
      <c r="I86" s="11" t="n">
        <v>14.000926</v>
      </c>
      <c r="J86" s="11" t="n">
        <v>107.991416</v>
      </c>
      <c r="K86" s="9" t="inlineStr">
        <is>
          <t>Đã đối chiếu</t>
        </is>
      </c>
      <c r="L86" s="10" t="n"/>
      <c r="M86" s="12" t="inlineStr">
        <is>
          <t>Bản đồ</t>
        </is>
      </c>
      <c r="N86" s="13" t="n"/>
      <c r="O86" s="14" t="n"/>
      <c r="P86" s="14" t="n"/>
      <c r="Q86" s="13" t="n"/>
      <c r="R86" s="15" t="n"/>
      <c r="S86" s="13" t="n"/>
      <c r="T86" s="13" t="n"/>
      <c r="U86" s="16">
        <f>IF(AND(ISNUMBER(O86),ISNUMBER(P86)),ROUND(SQRT(((P86-J86)*111320*COS(RADIANS(I86)))^2+((O86-I86)*110540)^2),0),"")</f>
        <v/>
      </c>
      <c r="V86" s="17">
        <f>IF(N86="","",IF(N86="Sửa vị trí",IF(OR(O86="",P86=""),"Thiếu vĩ độ / kinh độ mới",IF(OR(O86&lt;12.5,O86&gt;15,P86&lt;107,P86&gt;109.6),"Toạ độ ngoài Gia Lai (đảo vĩ/kinh độ?)",IF(Q86="","Chọn cách xác định",IF(U86&gt;20000,"Dời hơn 20 km – kiểm tra lại","OK")))),IF(AND(N86&lt;&gt;"Sửa vị trí",OR(O86&lt;&gt;"",P86&lt;&gt;"")),"Có toạ độ mới nhưng kết quả không phải Sửa vị trí","OK")))</f>
        <v/>
      </c>
    </row>
    <row r="87">
      <c r="A87" s="9" t="n">
        <v>83</v>
      </c>
      <c r="B87" s="9" t="inlineStr">
        <is>
          <t>2bb1db05-a7b5-9a80-2c36-d5e535bf7d57</t>
        </is>
      </c>
      <c r="C87" s="9" t="inlineStr">
        <is>
          <t>Trung bình</t>
        </is>
      </c>
      <c r="D87" s="10" t="inlineStr">
        <is>
          <t>Khách Sạn Tây Đô</t>
        </is>
      </c>
      <c r="E87" s="9" t="inlineStr">
        <is>
          <t>Khách sạn</t>
        </is>
      </c>
      <c r="F87" s="9" t="inlineStr">
        <is>
          <t>OpenStreetMap</t>
        </is>
      </c>
      <c r="G87" s="10" t="inlineStr">
        <is>
          <t>Phường Thống Nhất, Gia Lai</t>
        </is>
      </c>
      <c r="H87" s="9" t="inlineStr">
        <is>
          <t>Phường Thống Nhất</t>
        </is>
      </c>
      <c r="I87" s="11" t="n">
        <v>14.004752</v>
      </c>
      <c r="J87" s="11" t="n">
        <v>107.994981</v>
      </c>
      <c r="K87" s="9" t="inlineStr">
        <is>
          <t>Đã đối chiếu</t>
        </is>
      </c>
      <c r="L87" s="10" t="n"/>
      <c r="M87" s="12" t="inlineStr">
        <is>
          <t>Bản đồ</t>
        </is>
      </c>
      <c r="N87" s="13" t="n"/>
      <c r="O87" s="14" t="n"/>
      <c r="P87" s="14" t="n"/>
      <c r="Q87" s="13" t="n"/>
      <c r="R87" s="15" t="n"/>
      <c r="S87" s="13" t="n"/>
      <c r="T87" s="13" t="n"/>
      <c r="U87" s="16">
        <f>IF(AND(ISNUMBER(O87),ISNUMBER(P87)),ROUND(SQRT(((P87-J87)*111320*COS(RADIANS(I87)))^2+((O87-I87)*110540)^2),0),"")</f>
        <v/>
      </c>
      <c r="V87" s="17">
        <f>IF(N87="","",IF(N87="Sửa vị trí",IF(OR(O87="",P87=""),"Thiếu vĩ độ / kinh độ mới",IF(OR(O87&lt;12.5,O87&gt;15,P87&lt;107,P87&gt;109.6),"Toạ độ ngoài Gia Lai (đảo vĩ/kinh độ?)",IF(Q87="","Chọn cách xác định",IF(U87&gt;20000,"Dời hơn 20 km – kiểm tra lại","OK")))),IF(AND(N87&lt;&gt;"Sửa vị trí",OR(O87&lt;&gt;"",P87&lt;&gt;"")),"Có toạ độ mới nhưng kết quả không phải Sửa vị trí","OK")))</f>
        <v/>
      </c>
    </row>
    <row r="88">
      <c r="A88" s="9" t="n">
        <v>84</v>
      </c>
      <c r="B88" s="9" t="inlineStr">
        <is>
          <t>e437519b-9126-dbac-0a3c-b661fd626770</t>
        </is>
      </c>
      <c r="C88" s="9" t="inlineStr">
        <is>
          <t>Trung bình</t>
        </is>
      </c>
      <c r="D88" s="10" t="inlineStr">
        <is>
          <t>Ngân Hàng Nông Nghiệp Và Phát Triển Nông Thôn @ Chi Nhánh Diên Hồng</t>
        </is>
      </c>
      <c r="E88" s="9" t="inlineStr">
        <is>
          <t>Ngân hàng</t>
        </is>
      </c>
      <c r="F88" s="9" t="inlineStr">
        <is>
          <t>OpenStreetMap</t>
        </is>
      </c>
      <c r="G88" s="10" t="inlineStr">
        <is>
          <t>Phường Diên Hồng, Gia Lai</t>
        </is>
      </c>
      <c r="H88" s="9" t="inlineStr">
        <is>
          <t>Phường Diên Hồng</t>
        </is>
      </c>
      <c r="I88" s="11" t="n">
        <v>13.97687</v>
      </c>
      <c r="J88" s="11" t="n">
        <v>107.990679</v>
      </c>
      <c r="K88" s="9" t="inlineStr">
        <is>
          <t>Đã đối chiếu</t>
        </is>
      </c>
      <c r="L88" s="10" t="n"/>
      <c r="M88" s="12" t="inlineStr">
        <is>
          <t>Bản đồ</t>
        </is>
      </c>
      <c r="N88" s="13" t="n"/>
      <c r="O88" s="14" t="n"/>
      <c r="P88" s="14" t="n"/>
      <c r="Q88" s="13" t="n"/>
      <c r="R88" s="15" t="n"/>
      <c r="S88" s="13" t="n"/>
      <c r="T88" s="13" t="n"/>
      <c r="U88" s="16">
        <f>IF(AND(ISNUMBER(O88),ISNUMBER(P88)),ROUND(SQRT(((P88-J88)*111320*COS(RADIANS(I88)))^2+((O88-I88)*110540)^2),0),"")</f>
        <v/>
      </c>
      <c r="V88" s="17">
        <f>IF(N88="","",IF(N88="Sửa vị trí",IF(OR(O88="",P88=""),"Thiếu vĩ độ / kinh độ mới",IF(OR(O88&lt;12.5,O88&gt;15,P88&lt;107,P88&gt;109.6),"Toạ độ ngoài Gia Lai (đảo vĩ/kinh độ?)",IF(Q88="","Chọn cách xác định",IF(U88&gt;20000,"Dời hơn 20 km – kiểm tra lại","OK")))),IF(AND(N88&lt;&gt;"Sửa vị trí",OR(O88&lt;&gt;"",P88&lt;&gt;"")),"Có toạ độ mới nhưng kết quả không phải Sửa vị trí","OK")))</f>
        <v/>
      </c>
    </row>
    <row r="89">
      <c r="A89" s="9" t="n">
        <v>85</v>
      </c>
      <c r="B89" s="9" t="inlineStr">
        <is>
          <t>0e4e12e3-8661-9dc4-dd6b-33ffe476f4d9</t>
        </is>
      </c>
      <c r="C89" s="9" t="inlineStr">
        <is>
          <t>Trung bình</t>
        </is>
      </c>
      <c r="D89" s="10" t="inlineStr">
        <is>
          <t>BIDV</t>
        </is>
      </c>
      <c r="E89" s="9" t="inlineStr">
        <is>
          <t>Ngân hàng</t>
        </is>
      </c>
      <c r="F89" s="9" t="inlineStr">
        <is>
          <t>OpenStreetMap</t>
        </is>
      </c>
      <c r="G89" s="10" t="inlineStr">
        <is>
          <t>Nguyễn Tất Thành, Phường Pleiku, Gia Lai</t>
        </is>
      </c>
      <c r="H89" s="9" t="inlineStr">
        <is>
          <t>Phường Pleiku</t>
        </is>
      </c>
      <c r="I89" s="11" t="n">
        <v>13.985977</v>
      </c>
      <c r="J89" s="11" t="n">
        <v>108.00737</v>
      </c>
      <c r="K89" s="9" t="inlineStr">
        <is>
          <t>Đã đối chiếu</t>
        </is>
      </c>
      <c r="L89" s="10" t="n"/>
      <c r="M89" s="12" t="inlineStr">
        <is>
          <t>Bản đồ</t>
        </is>
      </c>
      <c r="N89" s="13" t="n"/>
      <c r="O89" s="14" t="n"/>
      <c r="P89" s="14" t="n"/>
      <c r="Q89" s="13" t="n"/>
      <c r="R89" s="15" t="n"/>
      <c r="S89" s="13" t="n"/>
      <c r="T89" s="13" t="n"/>
      <c r="U89" s="16">
        <f>IF(AND(ISNUMBER(O89),ISNUMBER(P89)),ROUND(SQRT(((P89-J89)*111320*COS(RADIANS(I89)))^2+((O89-I89)*110540)^2),0),"")</f>
        <v/>
      </c>
      <c r="V89" s="17">
        <f>IF(N89="","",IF(N89="Sửa vị trí",IF(OR(O89="",P89=""),"Thiếu vĩ độ / kinh độ mới",IF(OR(O89&lt;12.5,O89&gt;15,P89&lt;107,P89&gt;109.6),"Toạ độ ngoài Gia Lai (đảo vĩ/kinh độ?)",IF(Q89="","Chọn cách xác định",IF(U89&gt;20000,"Dời hơn 20 km – kiểm tra lại","OK")))),IF(AND(N89&lt;&gt;"Sửa vị trí",OR(O89&lt;&gt;"",P89&lt;&gt;"")),"Có toạ độ mới nhưng kết quả không phải Sửa vị trí","OK")))</f>
        <v/>
      </c>
    </row>
    <row r="90">
      <c r="A90" s="9" t="n">
        <v>86</v>
      </c>
      <c r="B90" s="9" t="inlineStr">
        <is>
          <t>78969abf-f797-82c1-9955-125f0c87a771</t>
        </is>
      </c>
      <c r="C90" s="9" t="inlineStr">
        <is>
          <t>Trung bình</t>
        </is>
      </c>
      <c r="D90" s="10" t="inlineStr">
        <is>
          <t>Ngân Hàng Nông Nghiệp &amp; Phát Triển Nông Thôn Việt Nam Agribank</t>
        </is>
      </c>
      <c r="E90" s="9" t="inlineStr">
        <is>
          <t>Ngân hàng</t>
        </is>
      </c>
      <c r="F90" s="9" t="inlineStr">
        <is>
          <t>OpenStreetMap</t>
        </is>
      </c>
      <c r="G90" s="10" t="inlineStr">
        <is>
          <t>99 Phạm Văn Đồng, Phường Thống Nhất, Gia Lai</t>
        </is>
      </c>
      <c r="H90" s="9" t="inlineStr">
        <is>
          <t>Phường Thống Nhất</t>
        </is>
      </c>
      <c r="I90" s="11" t="n">
        <v>13.995564</v>
      </c>
      <c r="J90" s="11" t="n">
        <v>107.998273</v>
      </c>
      <c r="K90" s="9" t="inlineStr">
        <is>
          <t>Đã đối chiếu</t>
        </is>
      </c>
      <c r="L90" s="10" t="n"/>
      <c r="M90" s="12" t="inlineStr">
        <is>
          <t>Bản đồ</t>
        </is>
      </c>
      <c r="N90" s="13" t="n"/>
      <c r="O90" s="14" t="n"/>
      <c r="P90" s="14" t="n"/>
      <c r="Q90" s="13" t="n"/>
      <c r="R90" s="15" t="n"/>
      <c r="S90" s="13" t="n"/>
      <c r="T90" s="13" t="n"/>
      <c r="U90" s="16">
        <f>IF(AND(ISNUMBER(O90),ISNUMBER(P90)),ROUND(SQRT(((P90-J90)*111320*COS(RADIANS(I90)))^2+((O90-I90)*110540)^2),0),"")</f>
        <v/>
      </c>
      <c r="V90" s="17">
        <f>IF(N90="","",IF(N90="Sửa vị trí",IF(OR(O90="",P90=""),"Thiếu vĩ độ / kinh độ mới",IF(OR(O90&lt;12.5,O90&gt;15,P90&lt;107,P90&gt;109.6),"Toạ độ ngoài Gia Lai (đảo vĩ/kinh độ?)",IF(Q90="","Chọn cách xác định",IF(U90&gt;20000,"Dời hơn 20 km – kiểm tra lại","OK")))),IF(AND(N90&lt;&gt;"Sửa vị trí",OR(O90&lt;&gt;"",P90&lt;&gt;"")),"Có toạ độ mới nhưng kết quả không phải Sửa vị trí","OK")))</f>
        <v/>
      </c>
    </row>
    <row r="91">
      <c r="A91" s="9" t="n">
        <v>87</v>
      </c>
      <c r="B91" s="9" t="inlineStr">
        <is>
          <t>e00ca4be-937a-0ddc-f248-adbaf5b4da33</t>
        </is>
      </c>
      <c r="C91" s="9" t="inlineStr">
        <is>
          <t>Trung bình</t>
        </is>
      </c>
      <c r="D91" s="10" t="inlineStr">
        <is>
          <t>Nha Nghi Soe Ham</t>
        </is>
      </c>
      <c r="E91" s="9" t="inlineStr">
        <is>
          <t>Nhà nghỉ</t>
        </is>
      </c>
      <c r="F91" s="9" t="inlineStr">
        <is>
          <t>OpenStreetMap</t>
        </is>
      </c>
      <c r="G91" s="10" t="inlineStr">
        <is>
          <t>Phường Diên Hồng, Gia Lai</t>
        </is>
      </c>
      <c r="H91" s="9" t="inlineStr">
        <is>
          <t>Phường Diên Hồng</t>
        </is>
      </c>
      <c r="I91" s="11" t="n">
        <v>13.96986</v>
      </c>
      <c r="J91" s="11" t="n">
        <v>107.994462</v>
      </c>
      <c r="K91" s="9" t="inlineStr">
        <is>
          <t>Đã đối chiếu</t>
        </is>
      </c>
      <c r="L91" s="10" t="n"/>
      <c r="M91" s="12" t="inlineStr">
        <is>
          <t>Bản đồ</t>
        </is>
      </c>
      <c r="N91" s="13" t="n"/>
      <c r="O91" s="14" t="n"/>
      <c r="P91" s="14" t="n"/>
      <c r="Q91" s="13" t="n"/>
      <c r="R91" s="15" t="n"/>
      <c r="S91" s="13" t="n"/>
      <c r="T91" s="13" t="n"/>
      <c r="U91" s="16">
        <f>IF(AND(ISNUMBER(O91),ISNUMBER(P91)),ROUND(SQRT(((P91-J91)*111320*COS(RADIANS(I91)))^2+((O91-I91)*110540)^2),0),"")</f>
        <v/>
      </c>
      <c r="V91" s="17">
        <f>IF(N91="","",IF(N91="Sửa vị trí",IF(OR(O91="",P91=""),"Thiếu vĩ độ / kinh độ mới",IF(OR(O91&lt;12.5,O91&gt;15,P91&lt;107,P91&gt;109.6),"Toạ độ ngoài Gia Lai (đảo vĩ/kinh độ?)",IF(Q91="","Chọn cách xác định",IF(U91&gt;20000,"Dời hơn 20 km – kiểm tra lại","OK")))),IF(AND(N91&lt;&gt;"Sửa vị trí",OR(O91&lt;&gt;"",P91&lt;&gt;"")),"Có toạ độ mới nhưng kết quả không phải Sửa vị trí","OK")))</f>
        <v/>
      </c>
    </row>
    <row r="92">
      <c r="A92" s="9" t="n">
        <v>88</v>
      </c>
      <c r="B92" s="9" t="inlineStr">
        <is>
          <t>743ee0ab-0bd5-8df8-0b80-ada998fae353</t>
        </is>
      </c>
      <c r="C92" s="9" t="inlineStr">
        <is>
          <t>Trung bình</t>
        </is>
      </c>
      <c r="D92" s="10" t="inlineStr">
        <is>
          <t>Nhà Nghỉ Bình 133</t>
        </is>
      </c>
      <c r="E92" s="9" t="inlineStr">
        <is>
          <t>Nhà nghỉ</t>
        </is>
      </c>
      <c r="F92" s="9" t="inlineStr">
        <is>
          <t>OpenStreetMap</t>
        </is>
      </c>
      <c r="G92" s="10" t="inlineStr">
        <is>
          <t>Phường Diên Hồng, Gia Lai</t>
        </is>
      </c>
      <c r="H92" s="9" t="inlineStr">
        <is>
          <t>Phường Diên Hồng</t>
        </is>
      </c>
      <c r="I92" s="11" t="n">
        <v>13.965428</v>
      </c>
      <c r="J92" s="11" t="n">
        <v>107.991962</v>
      </c>
      <c r="K92" s="9" t="inlineStr">
        <is>
          <t>Đã đối chiếu</t>
        </is>
      </c>
      <c r="L92" s="10" t="n"/>
      <c r="M92" s="12" t="inlineStr">
        <is>
          <t>Bản đồ</t>
        </is>
      </c>
      <c r="N92" s="13" t="n"/>
      <c r="O92" s="14" t="n"/>
      <c r="P92" s="14" t="n"/>
      <c r="Q92" s="13" t="n"/>
      <c r="R92" s="15" t="n"/>
      <c r="S92" s="13" t="n"/>
      <c r="T92" s="13" t="n"/>
      <c r="U92" s="16">
        <f>IF(AND(ISNUMBER(O92),ISNUMBER(P92)),ROUND(SQRT(((P92-J92)*111320*COS(RADIANS(I92)))^2+((O92-I92)*110540)^2),0),"")</f>
        <v/>
      </c>
      <c r="V92" s="17">
        <f>IF(N92="","",IF(N92="Sửa vị trí",IF(OR(O92="",P92=""),"Thiếu vĩ độ / kinh độ mới",IF(OR(O92&lt;12.5,O92&gt;15,P92&lt;107,P92&gt;109.6),"Toạ độ ngoài Gia Lai (đảo vĩ/kinh độ?)",IF(Q92="","Chọn cách xác định",IF(U92&gt;20000,"Dời hơn 20 km – kiểm tra lại","OK")))),IF(AND(N92&lt;&gt;"Sửa vị trí",OR(O92&lt;&gt;"",P92&lt;&gt;"")),"Có toạ độ mới nhưng kết quả không phải Sửa vị trí","OK")))</f>
        <v/>
      </c>
    </row>
    <row r="93">
      <c r="A93" s="9" t="n">
        <v>89</v>
      </c>
      <c r="B93" s="9" t="inlineStr">
        <is>
          <t>848db1a5-73c9-428e-1377-5087ec70ac42</t>
        </is>
      </c>
      <c r="C93" s="9" t="inlineStr">
        <is>
          <t>Trung bình</t>
        </is>
      </c>
      <c r="D93" s="10" t="inlineStr">
        <is>
          <t>Nhà Nghỉ Bình Minh</t>
        </is>
      </c>
      <c r="E93" s="9" t="inlineStr">
        <is>
          <t>Nhà nghỉ</t>
        </is>
      </c>
      <c r="F93" s="9" t="inlineStr">
        <is>
          <t>OpenStreetMap</t>
        </is>
      </c>
      <c r="G93" s="10" t="inlineStr">
        <is>
          <t>Phường Diên Hồng, Gia Lai</t>
        </is>
      </c>
      <c r="H93" s="9" t="inlineStr">
        <is>
          <t>Phường Diên Hồng</t>
        </is>
      </c>
      <c r="I93" s="11" t="n">
        <v>13.968487</v>
      </c>
      <c r="J93" s="11" t="n">
        <v>107.992127</v>
      </c>
      <c r="K93" s="9" t="inlineStr">
        <is>
          <t>Đã đối chiếu</t>
        </is>
      </c>
      <c r="L93" s="10" t="n"/>
      <c r="M93" s="12" t="inlineStr">
        <is>
          <t>Bản đồ</t>
        </is>
      </c>
      <c r="N93" s="13" t="n"/>
      <c r="O93" s="14" t="n"/>
      <c r="P93" s="14" t="n"/>
      <c r="Q93" s="13" t="n"/>
      <c r="R93" s="15" t="n"/>
      <c r="S93" s="13" t="n"/>
      <c r="T93" s="13" t="n"/>
      <c r="U93" s="16">
        <f>IF(AND(ISNUMBER(O93),ISNUMBER(P93)),ROUND(SQRT(((P93-J93)*111320*COS(RADIANS(I93)))^2+((O93-I93)*110540)^2),0),"")</f>
        <v/>
      </c>
      <c r="V93" s="17">
        <f>IF(N93="","",IF(N93="Sửa vị trí",IF(OR(O93="",P93=""),"Thiếu vĩ độ / kinh độ mới",IF(OR(O93&lt;12.5,O93&gt;15,P93&lt;107,P93&gt;109.6),"Toạ độ ngoài Gia Lai (đảo vĩ/kinh độ?)",IF(Q93="","Chọn cách xác định",IF(U93&gt;20000,"Dời hơn 20 km – kiểm tra lại","OK")))),IF(AND(N93&lt;&gt;"Sửa vị trí",OR(O93&lt;&gt;"",P93&lt;&gt;"")),"Có toạ độ mới nhưng kết quả không phải Sửa vị trí","OK")))</f>
        <v/>
      </c>
    </row>
    <row r="94">
      <c r="A94" s="9" t="n">
        <v>90</v>
      </c>
      <c r="B94" s="9" t="inlineStr">
        <is>
          <t>950cfcd9-3bf3-01dd-67e6-5b369e8f27c8</t>
        </is>
      </c>
      <c r="C94" s="9" t="inlineStr">
        <is>
          <t>Trung bình</t>
        </is>
      </c>
      <c r="D94" s="10" t="inlineStr">
        <is>
          <t>Nhà Nghỉ Vân Anh</t>
        </is>
      </c>
      <c r="E94" s="9" t="inlineStr">
        <is>
          <t>Nhà nghỉ</t>
        </is>
      </c>
      <c r="F94" s="9" t="inlineStr">
        <is>
          <t>OpenStreetMap</t>
        </is>
      </c>
      <c r="G94" s="10" t="inlineStr">
        <is>
          <t>Phường Diên Hồng, Gia Lai</t>
        </is>
      </c>
      <c r="H94" s="9" t="inlineStr">
        <is>
          <t>Phường Diên Hồng</t>
        </is>
      </c>
      <c r="I94" s="11" t="n">
        <v>13.978683</v>
      </c>
      <c r="J94" s="11" t="n">
        <v>107.984689</v>
      </c>
      <c r="K94" s="9" t="inlineStr">
        <is>
          <t>Đã đối chiếu</t>
        </is>
      </c>
      <c r="L94" s="10" t="n"/>
      <c r="M94" s="12" t="inlineStr">
        <is>
          <t>Bản đồ</t>
        </is>
      </c>
      <c r="N94" s="13" t="n"/>
      <c r="O94" s="14" t="n"/>
      <c r="P94" s="14" t="n"/>
      <c r="Q94" s="13" t="n"/>
      <c r="R94" s="15" t="n"/>
      <c r="S94" s="13" t="n"/>
      <c r="T94" s="13" t="n"/>
      <c r="U94" s="16">
        <f>IF(AND(ISNUMBER(O94),ISNUMBER(P94)),ROUND(SQRT(((P94-J94)*111320*COS(RADIANS(I94)))^2+((O94-I94)*110540)^2),0),"")</f>
        <v/>
      </c>
      <c r="V94" s="17">
        <f>IF(N94="","",IF(N94="Sửa vị trí",IF(OR(O94="",P94=""),"Thiếu vĩ độ / kinh độ mới",IF(OR(O94&lt;12.5,O94&gt;15,P94&lt;107,P94&gt;109.6),"Toạ độ ngoài Gia Lai (đảo vĩ/kinh độ?)",IF(Q94="","Chọn cách xác định",IF(U94&gt;20000,"Dời hơn 20 km – kiểm tra lại","OK")))),IF(AND(N94&lt;&gt;"Sửa vị trí",OR(O94&lt;&gt;"",P94&lt;&gt;"")),"Có toạ độ mới nhưng kết quả không phải Sửa vị trí","OK")))</f>
        <v/>
      </c>
    </row>
    <row r="95">
      <c r="A95" s="9" t="n">
        <v>91</v>
      </c>
      <c r="B95" s="9" t="inlineStr">
        <is>
          <t>e373e97c-1ce0-4098-b458-2ae9cd648917</t>
        </is>
      </c>
      <c r="C95" s="9" t="inlineStr">
        <is>
          <t>Trung bình</t>
        </is>
      </c>
      <c r="D95" s="10" t="inlineStr">
        <is>
          <t>Dang xua Hotel</t>
        </is>
      </c>
      <c r="E95" s="9" t="inlineStr">
        <is>
          <t>Nhà nghỉ</t>
        </is>
      </c>
      <c r="F95" s="9" t="inlineStr">
        <is>
          <t>OpenStreetMap</t>
        </is>
      </c>
      <c r="G95" s="10" t="inlineStr">
        <is>
          <t>84 Hùng Vương, Phường Pleiku, Gia Lai</t>
        </is>
      </c>
      <c r="H95" s="9" t="inlineStr">
        <is>
          <t>Phường Pleiku</t>
        </is>
      </c>
      <c r="I95" s="11" t="n">
        <v>13.976186</v>
      </c>
      <c r="J95" s="11" t="n">
        <v>108.007167</v>
      </c>
      <c r="K95" s="9" t="inlineStr">
        <is>
          <t>Đã đối chiếu</t>
        </is>
      </c>
      <c r="L95" s="10" t="n"/>
      <c r="M95" s="12" t="inlineStr">
        <is>
          <t>Bản đồ</t>
        </is>
      </c>
      <c r="N95" s="13" t="n"/>
      <c r="O95" s="14" t="n"/>
      <c r="P95" s="14" t="n"/>
      <c r="Q95" s="13" t="n"/>
      <c r="R95" s="15" t="n"/>
      <c r="S95" s="13" t="n"/>
      <c r="T95" s="13" t="n"/>
      <c r="U95" s="16">
        <f>IF(AND(ISNUMBER(O95),ISNUMBER(P95)),ROUND(SQRT(((P95-J95)*111320*COS(RADIANS(I95)))^2+((O95-I95)*110540)^2),0),"")</f>
        <v/>
      </c>
      <c r="V95" s="17">
        <f>IF(N95="","",IF(N95="Sửa vị trí",IF(OR(O95="",P95=""),"Thiếu vĩ độ / kinh độ mới",IF(OR(O95&lt;12.5,O95&gt;15,P95&lt;107,P95&gt;109.6),"Toạ độ ngoài Gia Lai (đảo vĩ/kinh độ?)",IF(Q95="","Chọn cách xác định",IF(U95&gt;20000,"Dời hơn 20 km – kiểm tra lại","OK")))),IF(AND(N95&lt;&gt;"Sửa vị trí",OR(O95&lt;&gt;"",P95&lt;&gt;"")),"Có toạ độ mới nhưng kết quả không phải Sửa vị trí","OK")))</f>
        <v/>
      </c>
    </row>
    <row r="96">
      <c r="A96" s="9" t="n">
        <v>92</v>
      </c>
      <c r="B96" s="9" t="inlineStr">
        <is>
          <t>b0ce7b7b-5c86-9583-20aa-e8fad196decf</t>
        </is>
      </c>
      <c r="C96" s="9" t="inlineStr">
        <is>
          <t>Trung bình</t>
        </is>
      </c>
      <c r="D96" s="10" t="inlineStr">
        <is>
          <t>Nhà Nghỉ Thuỳ Dương</t>
        </is>
      </c>
      <c r="E96" s="9" t="inlineStr">
        <is>
          <t>Nhà nghỉ</t>
        </is>
      </c>
      <c r="F96" s="9" t="inlineStr">
        <is>
          <t>OpenStreetMap</t>
        </is>
      </c>
      <c r="G96" s="10" t="inlineStr">
        <is>
          <t>Trường Chinh, Phường Pleiku, Gia Lai</t>
        </is>
      </c>
      <c r="H96" s="9" t="inlineStr">
        <is>
          <t>Phường Pleiku</t>
        </is>
      </c>
      <c r="I96" s="11" t="n">
        <v>13.97002</v>
      </c>
      <c r="J96" s="11" t="n">
        <v>108.015597</v>
      </c>
      <c r="K96" s="9" t="inlineStr">
        <is>
          <t>Đã đối chiếu</t>
        </is>
      </c>
      <c r="L96" s="10" t="n"/>
      <c r="M96" s="12" t="inlineStr">
        <is>
          <t>Bản đồ</t>
        </is>
      </c>
      <c r="N96" s="13" t="n"/>
      <c r="O96" s="14" t="n"/>
      <c r="P96" s="14" t="n"/>
      <c r="Q96" s="13" t="n"/>
      <c r="R96" s="15" t="n"/>
      <c r="S96" s="13" t="n"/>
      <c r="T96" s="13" t="n"/>
      <c r="U96" s="16">
        <f>IF(AND(ISNUMBER(O96),ISNUMBER(P96)),ROUND(SQRT(((P96-J96)*111320*COS(RADIANS(I96)))^2+((O96-I96)*110540)^2),0),"")</f>
        <v/>
      </c>
      <c r="V96" s="17">
        <f>IF(N96="","",IF(N96="Sửa vị trí",IF(OR(O96="",P96=""),"Thiếu vĩ độ / kinh độ mới",IF(OR(O96&lt;12.5,O96&gt;15,P96&lt;107,P96&gt;109.6),"Toạ độ ngoài Gia Lai (đảo vĩ/kinh độ?)",IF(Q96="","Chọn cách xác định",IF(U96&gt;20000,"Dời hơn 20 km – kiểm tra lại","OK")))),IF(AND(N96&lt;&gt;"Sửa vị trí",OR(O96&lt;&gt;"",P96&lt;&gt;"")),"Có toạ độ mới nhưng kết quả không phải Sửa vị trí","OK")))</f>
        <v/>
      </c>
    </row>
    <row r="97">
      <c r="A97" s="9" t="n">
        <v>93</v>
      </c>
      <c r="B97" s="9" t="inlineStr">
        <is>
          <t>b4429cf4-27c4-dc88-d7b8-2ba75ac19be5</t>
        </is>
      </c>
      <c r="C97" s="9" t="inlineStr">
        <is>
          <t>Trung bình</t>
        </is>
      </c>
      <c r="D97" s="10" t="inlineStr">
        <is>
          <t>Vinh Hoa</t>
        </is>
      </c>
      <c r="E97" s="9" t="inlineStr">
        <is>
          <t>Nhà nghỉ</t>
        </is>
      </c>
      <c r="F97" s="9" t="inlineStr">
        <is>
          <t>OpenStreetMap</t>
        </is>
      </c>
      <c r="G97" s="10" t="inlineStr">
        <is>
          <t>Phường Pleiku, Gia Lai</t>
        </is>
      </c>
      <c r="H97" s="9" t="inlineStr">
        <is>
          <t>Phường Pleiku</t>
        </is>
      </c>
      <c r="I97" s="11" t="n">
        <v>13.973896</v>
      </c>
      <c r="J97" s="11" t="n">
        <v>108.015126</v>
      </c>
      <c r="K97" s="9" t="inlineStr">
        <is>
          <t>Đã đối chiếu</t>
        </is>
      </c>
      <c r="L97" s="10" t="n"/>
      <c r="M97" s="12" t="inlineStr">
        <is>
          <t>Bản đồ</t>
        </is>
      </c>
      <c r="N97" s="13" t="n"/>
      <c r="O97" s="14" t="n"/>
      <c r="P97" s="14" t="n"/>
      <c r="Q97" s="13" t="n"/>
      <c r="R97" s="15" t="n"/>
      <c r="S97" s="13" t="n"/>
      <c r="T97" s="13" t="n"/>
      <c r="U97" s="16">
        <f>IF(AND(ISNUMBER(O97),ISNUMBER(P97)),ROUND(SQRT(((P97-J97)*111320*COS(RADIANS(I97)))^2+((O97-I97)*110540)^2),0),"")</f>
        <v/>
      </c>
      <c r="V97" s="17">
        <f>IF(N97="","",IF(N97="Sửa vị trí",IF(OR(O97="",P97=""),"Thiếu vĩ độ / kinh độ mới",IF(OR(O97&lt;12.5,O97&gt;15,P97&lt;107,P97&gt;109.6),"Toạ độ ngoài Gia Lai (đảo vĩ/kinh độ?)",IF(Q97="","Chọn cách xác định",IF(U97&gt;20000,"Dời hơn 20 km – kiểm tra lại","OK")))),IF(AND(N97&lt;&gt;"Sửa vị trí",OR(O97&lt;&gt;"",P97&lt;&gt;"")),"Có toạ độ mới nhưng kết quả không phải Sửa vị trí","OK")))</f>
        <v/>
      </c>
    </row>
    <row r="98">
      <c r="A98" s="9" t="n">
        <v>94</v>
      </c>
      <c r="B98" s="9" t="inlineStr">
        <is>
          <t>cb63b744-72ef-ede1-c7c1-ddcf5b6e85ad</t>
        </is>
      </c>
      <c r="C98" s="9" t="inlineStr">
        <is>
          <t>Trung bình</t>
        </is>
      </c>
      <c r="D98" s="10" t="inlineStr">
        <is>
          <t>Dong Que Guest House</t>
        </is>
      </c>
      <c r="E98" s="9" t="inlineStr">
        <is>
          <t>Nhà nghỉ</t>
        </is>
      </c>
      <c r="F98" s="9" t="inlineStr">
        <is>
          <t>OpenStreetMap</t>
        </is>
      </c>
      <c r="G98" s="10" t="inlineStr">
        <is>
          <t>Phường Thống Nhất, Gia Lai</t>
        </is>
      </c>
      <c r="H98" s="9" t="inlineStr">
        <is>
          <t>Phường Thống Nhất</t>
        </is>
      </c>
      <c r="I98" s="11" t="n">
        <v>14.015489</v>
      </c>
      <c r="J98" s="11" t="n">
        <v>107.985773</v>
      </c>
      <c r="K98" s="9" t="inlineStr">
        <is>
          <t>Đã đối chiếu</t>
        </is>
      </c>
      <c r="L98" s="10" t="n"/>
      <c r="M98" s="12" t="inlineStr">
        <is>
          <t>Bản đồ</t>
        </is>
      </c>
      <c r="N98" s="13" t="n"/>
      <c r="O98" s="14" t="n"/>
      <c r="P98" s="14" t="n"/>
      <c r="Q98" s="13" t="n"/>
      <c r="R98" s="15" t="n"/>
      <c r="S98" s="13" t="n"/>
      <c r="T98" s="13" t="n"/>
      <c r="U98" s="16">
        <f>IF(AND(ISNUMBER(O98),ISNUMBER(P98)),ROUND(SQRT(((P98-J98)*111320*COS(RADIANS(I98)))^2+((O98-I98)*110540)^2),0),"")</f>
        <v/>
      </c>
      <c r="V98" s="17">
        <f>IF(N98="","",IF(N98="Sửa vị trí",IF(OR(O98="",P98=""),"Thiếu vĩ độ / kinh độ mới",IF(OR(O98&lt;12.5,O98&gt;15,P98&lt;107,P98&gt;109.6),"Toạ độ ngoài Gia Lai (đảo vĩ/kinh độ?)",IF(Q98="","Chọn cách xác định",IF(U98&gt;20000,"Dời hơn 20 km – kiểm tra lại","OK")))),IF(AND(N98&lt;&gt;"Sửa vị trí",OR(O98&lt;&gt;"",P98&lt;&gt;"")),"Có toạ độ mới nhưng kết quả không phải Sửa vị trí","OK")))</f>
        <v/>
      </c>
    </row>
    <row r="99">
      <c r="A99" s="9" t="n">
        <v>95</v>
      </c>
      <c r="B99" s="9" t="inlineStr">
        <is>
          <t>eab23b7b-38f1-544f-44c1-0e13cb1faa64</t>
        </is>
      </c>
      <c r="C99" s="9" t="inlineStr">
        <is>
          <t>Trung bình</t>
        </is>
      </c>
      <c r="D99" s="10" t="inlineStr">
        <is>
          <t>Trạm sạc Vinfast</t>
        </is>
      </c>
      <c r="E99" s="9" t="inlineStr">
        <is>
          <t>Trạm sạc</t>
        </is>
      </c>
      <c r="F99" s="9" t="inlineStr">
        <is>
          <t>OpenStreetMap</t>
        </is>
      </c>
      <c r="G99" s="10" t="inlineStr">
        <is>
          <t>Phường Pleiku, Gia Lai</t>
        </is>
      </c>
      <c r="H99" s="9" t="inlineStr">
        <is>
          <t>Phường Pleiku</t>
        </is>
      </c>
      <c r="I99" s="11" t="n">
        <v>13.978438</v>
      </c>
      <c r="J99" s="11" t="n">
        <v>108.012272</v>
      </c>
      <c r="K99" s="9" t="inlineStr">
        <is>
          <t>Đã đối chiếu</t>
        </is>
      </c>
      <c r="L99" s="10" t="n"/>
      <c r="M99" s="12" t="inlineStr">
        <is>
          <t>Bản đồ</t>
        </is>
      </c>
      <c r="N99" s="13" t="n"/>
      <c r="O99" s="14" t="n"/>
      <c r="P99" s="14" t="n"/>
      <c r="Q99" s="13" t="n"/>
      <c r="R99" s="15" t="n"/>
      <c r="S99" s="13" t="n"/>
      <c r="T99" s="13" t="n"/>
      <c r="U99" s="16">
        <f>IF(AND(ISNUMBER(O99),ISNUMBER(P99)),ROUND(SQRT(((P99-J99)*111320*COS(RADIANS(I99)))^2+((O99-I99)*110540)^2),0),"")</f>
        <v/>
      </c>
      <c r="V99" s="17">
        <f>IF(N99="","",IF(N99="Sửa vị trí",IF(OR(O99="",P99=""),"Thiếu vĩ độ / kinh độ mới",IF(OR(O99&lt;12.5,O99&gt;15,P99&lt;107,P99&gt;109.6),"Toạ độ ngoài Gia Lai (đảo vĩ/kinh độ?)",IF(Q99="","Chọn cách xác định",IF(U99&gt;20000,"Dời hơn 20 km – kiểm tra lại","OK")))),IF(AND(N99&lt;&gt;"Sửa vị trí",OR(O99&lt;&gt;"",P99&lt;&gt;"")),"Có toạ độ mới nhưng kết quả không phải Sửa vị trí","OK")))</f>
        <v/>
      </c>
    </row>
    <row r="100">
      <c r="A100" s="9" t="n">
        <v>96</v>
      </c>
      <c r="B100" s="9" t="inlineStr">
        <is>
          <t>0651565e-8665-4292-91e2-27d822dc1c22</t>
        </is>
      </c>
      <c r="C100" s="9" t="inlineStr">
        <is>
          <t>Trung bình</t>
        </is>
      </c>
      <c r="D100" s="10" t="inlineStr">
        <is>
          <t>Quảng trường Đại Đoàn Kết</t>
        </is>
      </c>
      <c r="E100" s="9" t="inlineStr">
        <is>
          <t>Địa danh văn hóa</t>
        </is>
      </c>
      <c r="F100" s="9" t="inlineStr">
        <is>
          <t>Dữ liệu gialai-travel</t>
        </is>
      </c>
      <c r="G100" s="10" t="inlineStr">
        <is>
          <t>Đường Trần Hưng Đạo, phường Tây Sơn, TP. Pleiku, Gia Lai</t>
        </is>
      </c>
      <c r="H100" s="9" t="inlineStr">
        <is>
          <t>Phường Pleiku</t>
        </is>
      </c>
      <c r="I100" s="11" t="n">
        <v>13.982935</v>
      </c>
      <c r="J100" s="11" t="n">
        <v>108.005989</v>
      </c>
      <c r="K100" s="9" t="inlineStr">
        <is>
          <t>Đã hiệu chỉnh tự động</t>
        </is>
      </c>
      <c r="L100" s="10" t="inlineStr">
        <is>
          <t>Đã hiệu chỉnh theo OpenStreetMap (node/5997147685), dời 675 m</t>
        </is>
      </c>
      <c r="M100" s="12" t="inlineStr">
        <is>
          <t>Bản đồ</t>
        </is>
      </c>
      <c r="N100" s="13" t="n"/>
      <c r="O100" s="14" t="n"/>
      <c r="P100" s="14" t="n"/>
      <c r="Q100" s="13" t="n"/>
      <c r="R100" s="15" t="n"/>
      <c r="S100" s="13" t="n"/>
      <c r="T100" s="13" t="n"/>
      <c r="U100" s="16">
        <f>IF(AND(ISNUMBER(O100),ISNUMBER(P100)),ROUND(SQRT(((P100-J100)*111320*COS(RADIANS(I100)))^2+((O100-I100)*110540)^2),0),"")</f>
        <v/>
      </c>
      <c r="V100" s="17">
        <f>IF(N100="","",IF(N100="Sửa vị trí",IF(OR(O100="",P100=""),"Thiếu vĩ độ / kinh độ mới",IF(OR(O100&lt;12.5,O100&gt;15,P100&lt;107,P100&gt;109.6),"Toạ độ ngoài Gia Lai (đảo vĩ/kinh độ?)",IF(Q100="","Chọn cách xác định",IF(U100&gt;20000,"Dời hơn 20 km – kiểm tra lại","OK")))),IF(AND(N100&lt;&gt;"Sửa vị trí",OR(O100&lt;&gt;"",P100&lt;&gt;"")),"Có toạ độ mới nhưng kết quả không phải Sửa vị trí","OK")))</f>
        <v/>
      </c>
    </row>
    <row r="101">
      <c r="A101" s="9" t="n">
        <v>97</v>
      </c>
      <c r="B101" s="9" t="inlineStr">
        <is>
          <t>30a07bf1-5376-52af-c2f0-027e6e4e59bc</t>
        </is>
      </c>
      <c r="C101" s="9" t="inlineStr">
        <is>
          <t>Thấp</t>
        </is>
      </c>
      <c r="D101" s="10" t="inlineStr">
        <is>
          <t>ATM 160 Hai Ba Trung, Phuong Dien Hong, Tinh Gia Lai (Agribank)</t>
        </is>
      </c>
      <c r="E101" s="9" t="inlineStr">
        <is>
          <t>ATM</t>
        </is>
      </c>
      <c r="F101" s="9" t="inlineStr">
        <is>
          <t>Website Agribank</t>
        </is>
      </c>
      <c r="G101" s="10" t="inlineStr">
        <is>
          <t>160 Hai Ba Trung, Phuong Dien Hong, Tinh Gia Lai, Phường Diên Hồng, Gia Lai</t>
        </is>
      </c>
      <c r="H101" s="9" t="inlineStr">
        <is>
          <t>Phường Diên Hồng</t>
        </is>
      </c>
      <c r="I101" s="11" t="n">
        <v>13.979667</v>
      </c>
      <c r="J101" s="11" t="n">
        <v>107.993029</v>
      </c>
      <c r="K101" s="9" t="inlineStr">
        <is>
          <t>Đã đối chiếu</t>
        </is>
      </c>
      <c r="L101" s="10" t="n"/>
      <c r="M101" s="12" t="inlineStr">
        <is>
          <t>Bản đồ</t>
        </is>
      </c>
      <c r="N101" s="13" t="n"/>
      <c r="O101" s="14" t="n"/>
      <c r="P101" s="14" t="n"/>
      <c r="Q101" s="13" t="n"/>
      <c r="R101" s="15" t="n"/>
      <c r="S101" s="13" t="n"/>
      <c r="T101" s="13" t="n"/>
      <c r="U101" s="16">
        <f>IF(AND(ISNUMBER(O101),ISNUMBER(P101)),ROUND(SQRT(((P101-J101)*111320*COS(RADIANS(I101)))^2+((O101-I101)*110540)^2),0),"")</f>
        <v/>
      </c>
      <c r="V101" s="17">
        <f>IF(N101="","",IF(N101="Sửa vị trí",IF(OR(O101="",P101=""),"Thiếu vĩ độ / kinh độ mới",IF(OR(O101&lt;12.5,O101&gt;15,P101&lt;107,P101&gt;109.6),"Toạ độ ngoài Gia Lai (đảo vĩ/kinh độ?)",IF(Q101="","Chọn cách xác định",IF(U101&gt;20000,"Dời hơn 20 km – kiểm tra lại","OK")))),IF(AND(N101&lt;&gt;"Sửa vị trí",OR(O101&lt;&gt;"",P101&lt;&gt;"")),"Có toạ độ mới nhưng kết quả không phải Sửa vị trí","OK")))</f>
        <v/>
      </c>
    </row>
    <row r="102">
      <c r="A102" s="9" t="n">
        <v>98</v>
      </c>
      <c r="B102" s="9" t="inlineStr">
        <is>
          <t>190ceba4-53aa-f872-2676-9f75e615689f</t>
        </is>
      </c>
      <c r="C102" s="9" t="inlineStr">
        <is>
          <t>Thấp</t>
        </is>
      </c>
      <c r="D102" s="10" t="inlineStr">
        <is>
          <t>ATM 160 Hai Ba Trung, Phuong Dien Hong, Tinh Gia Lai (Agribank)</t>
        </is>
      </c>
      <c r="E102" s="9" t="inlineStr">
        <is>
          <t>ATM</t>
        </is>
      </c>
      <c r="F102" s="9" t="inlineStr">
        <is>
          <t>Website Agribank</t>
        </is>
      </c>
      <c r="G102" s="10" t="inlineStr">
        <is>
          <t>160 Hai Ba Trung, Phuong Dien Hong, Tinh Gia Lai, Phường Diên Hồng, Gia Lai</t>
        </is>
      </c>
      <c r="H102" s="9" t="inlineStr">
        <is>
          <t>Phường Diên Hồng</t>
        </is>
      </c>
      <c r="I102" s="11" t="n">
        <v>13.979667</v>
      </c>
      <c r="J102" s="11" t="n">
        <v>107.993029</v>
      </c>
      <c r="K102" s="9" t="inlineStr">
        <is>
          <t>Đã đối chiếu</t>
        </is>
      </c>
      <c r="L102" s="10" t="n"/>
      <c r="M102" s="12" t="inlineStr">
        <is>
          <t>Bản đồ</t>
        </is>
      </c>
      <c r="N102" s="13" t="n"/>
      <c r="O102" s="14" t="n"/>
      <c r="P102" s="14" t="n"/>
      <c r="Q102" s="13" t="n"/>
      <c r="R102" s="15" t="n"/>
      <c r="S102" s="13" t="n"/>
      <c r="T102" s="13" t="n"/>
      <c r="U102" s="16">
        <f>IF(AND(ISNUMBER(O102),ISNUMBER(P102)),ROUND(SQRT(((P102-J102)*111320*COS(RADIANS(I102)))^2+((O102-I102)*110540)^2),0),"")</f>
        <v/>
      </c>
      <c r="V102" s="17">
        <f>IF(N102="","",IF(N102="Sửa vị trí",IF(OR(O102="",P102=""),"Thiếu vĩ độ / kinh độ mới",IF(OR(O102&lt;12.5,O102&gt;15,P102&lt;107,P102&gt;109.6),"Toạ độ ngoài Gia Lai (đảo vĩ/kinh độ?)",IF(Q102="","Chọn cách xác định",IF(U102&gt;20000,"Dời hơn 20 km – kiểm tra lại","OK")))),IF(AND(N102&lt;&gt;"Sửa vị trí",OR(O102&lt;&gt;"",P102&lt;&gt;"")),"Có toạ độ mới nhưng kết quả không phải Sửa vị trí","OK")))</f>
        <v/>
      </c>
    </row>
    <row r="103">
      <c r="A103" s="9" t="n">
        <v>99</v>
      </c>
      <c r="B103" s="9" t="inlineStr">
        <is>
          <t>e94c55d9-01ec-e41b-1290-6ac00c13ce72</t>
        </is>
      </c>
      <c r="C103" s="9" t="inlineStr">
        <is>
          <t>Thấp</t>
        </is>
      </c>
      <c r="D103" s="10" t="inlineStr">
        <is>
          <t>ATM 189 Tran Phu, Phuong Dien Hong, Tinh Gia Lai (Agribank)</t>
        </is>
      </c>
      <c r="E103" s="9" t="inlineStr">
        <is>
          <t>ATM</t>
        </is>
      </c>
      <c r="F103" s="9" t="inlineStr">
        <is>
          <t>Website Agribank</t>
        </is>
      </c>
      <c r="G103" s="10" t="inlineStr">
        <is>
          <t>189 Tran Phu, Phuong Dien Hong, Tinh Gia Lai, Phường Diên Hồng, Gia Lai</t>
        </is>
      </c>
      <c r="H103" s="9" t="inlineStr">
        <is>
          <t>Phường Diên Hồng</t>
        </is>
      </c>
      <c r="I103" s="11" t="n">
        <v>13.977149</v>
      </c>
      <c r="J103" s="11" t="n">
        <v>107.994717</v>
      </c>
      <c r="K103" s="9" t="inlineStr">
        <is>
          <t>Đã đối chiếu</t>
        </is>
      </c>
      <c r="L103" s="10" t="n"/>
      <c r="M103" s="12" t="inlineStr">
        <is>
          <t>Bản đồ</t>
        </is>
      </c>
      <c r="N103" s="13" t="n"/>
      <c r="O103" s="14" t="n"/>
      <c r="P103" s="14" t="n"/>
      <c r="Q103" s="13" t="n"/>
      <c r="R103" s="15" t="n"/>
      <c r="S103" s="13" t="n"/>
      <c r="T103" s="13" t="n"/>
      <c r="U103" s="16">
        <f>IF(AND(ISNUMBER(O103),ISNUMBER(P103)),ROUND(SQRT(((P103-J103)*111320*COS(RADIANS(I103)))^2+((O103-I103)*110540)^2),0),"")</f>
        <v/>
      </c>
      <c r="V103" s="17">
        <f>IF(N103="","",IF(N103="Sửa vị trí",IF(OR(O103="",P103=""),"Thiếu vĩ độ / kinh độ mới",IF(OR(O103&lt;12.5,O103&gt;15,P103&lt;107,P103&gt;109.6),"Toạ độ ngoài Gia Lai (đảo vĩ/kinh độ?)",IF(Q103="","Chọn cách xác định",IF(U103&gt;20000,"Dời hơn 20 km – kiểm tra lại","OK")))),IF(AND(N103&lt;&gt;"Sửa vị trí",OR(O103&lt;&gt;"",P103&lt;&gt;"")),"Có toạ độ mới nhưng kết quả không phải Sửa vị trí","OK")))</f>
        <v/>
      </c>
    </row>
    <row r="104">
      <c r="A104" s="9" t="n">
        <v>100</v>
      </c>
      <c r="B104" s="9" t="inlineStr">
        <is>
          <t>53101530-358f-cbcb-5cd0-362196443733</t>
        </is>
      </c>
      <c r="C104" s="9" t="inlineStr">
        <is>
          <t>Thấp</t>
        </is>
      </c>
      <c r="D104" s="10" t="inlineStr">
        <is>
          <t>ATM 25 Tang Bat Ho, Phuong Dien Hong, Tinh Gia Lai (Agribank)</t>
        </is>
      </c>
      <c r="E104" s="9" t="inlineStr">
        <is>
          <t>ATM</t>
        </is>
      </c>
      <c r="F104" s="9" t="inlineStr">
        <is>
          <t>Website Agribank</t>
        </is>
      </c>
      <c r="G104" s="10" t="inlineStr">
        <is>
          <t>25 Tang Bat Ho, Phuong Dien Hong, Tinh Gia Lai, Phường Diên Hồng, Gia Lai</t>
        </is>
      </c>
      <c r="H104" s="9" t="inlineStr">
        <is>
          <t>Phường Diên Hồng</t>
        </is>
      </c>
      <c r="I104" s="11" t="n">
        <v>13.980355</v>
      </c>
      <c r="J104" s="11" t="n">
        <v>107.995495</v>
      </c>
      <c r="K104" s="9" t="inlineStr">
        <is>
          <t>Đã đối chiếu</t>
        </is>
      </c>
      <c r="L104" s="10" t="n"/>
      <c r="M104" s="12" t="inlineStr">
        <is>
          <t>Bản đồ</t>
        </is>
      </c>
      <c r="N104" s="13" t="n"/>
      <c r="O104" s="14" t="n"/>
      <c r="P104" s="14" t="n"/>
      <c r="Q104" s="13" t="n"/>
      <c r="R104" s="15" t="n"/>
      <c r="S104" s="13" t="n"/>
      <c r="T104" s="13" t="n"/>
      <c r="U104" s="16">
        <f>IF(AND(ISNUMBER(O104),ISNUMBER(P104)),ROUND(SQRT(((P104-J104)*111320*COS(RADIANS(I104)))^2+((O104-I104)*110540)^2),0),"")</f>
        <v/>
      </c>
      <c r="V104" s="17">
        <f>IF(N104="","",IF(N104="Sửa vị trí",IF(OR(O104="",P104=""),"Thiếu vĩ độ / kinh độ mới",IF(OR(O104&lt;12.5,O104&gt;15,P104&lt;107,P104&gt;109.6),"Toạ độ ngoài Gia Lai (đảo vĩ/kinh độ?)",IF(Q104="","Chọn cách xác định",IF(U104&gt;20000,"Dời hơn 20 km – kiểm tra lại","OK")))),IF(AND(N104&lt;&gt;"Sửa vị trí",OR(O104&lt;&gt;"",P104&lt;&gt;"")),"Có toạ độ mới nhưng kết quả không phải Sửa vị trí","OK")))</f>
        <v/>
      </c>
    </row>
    <row r="105">
      <c r="A105" s="9" t="n">
        <v>101</v>
      </c>
      <c r="B105" s="9" t="inlineStr">
        <is>
          <t>ffbce83b-3812-b8b6-525c-2b7531a3091a</t>
        </is>
      </c>
      <c r="C105" s="9" t="inlineStr">
        <is>
          <t>Thấp</t>
        </is>
      </c>
      <c r="D105" s="10" t="inlineStr">
        <is>
          <t>ATM 25 Tang Bat Ho, Phuong Dien Hong, Tinh Gia Lai (Agribank)</t>
        </is>
      </c>
      <c r="E105" s="9" t="inlineStr">
        <is>
          <t>ATM</t>
        </is>
      </c>
      <c r="F105" s="9" t="inlineStr">
        <is>
          <t>Website Agribank</t>
        </is>
      </c>
      <c r="G105" s="10" t="inlineStr">
        <is>
          <t>25 Tang Bat Ho, Phuong Dien Hong, Tinh Gia Lai, Phường Diên Hồng, Gia Lai</t>
        </is>
      </c>
      <c r="H105" s="9" t="inlineStr">
        <is>
          <t>Phường Diên Hồng</t>
        </is>
      </c>
      <c r="I105" s="11" t="n">
        <v>13.980355</v>
      </c>
      <c r="J105" s="11" t="n">
        <v>107.995495</v>
      </c>
      <c r="K105" s="9" t="inlineStr">
        <is>
          <t>Đã đối chiếu</t>
        </is>
      </c>
      <c r="L105" s="10" t="n"/>
      <c r="M105" s="12" t="inlineStr">
        <is>
          <t>Bản đồ</t>
        </is>
      </c>
      <c r="N105" s="13" t="n"/>
      <c r="O105" s="14" t="n"/>
      <c r="P105" s="14" t="n"/>
      <c r="Q105" s="13" t="n"/>
      <c r="R105" s="15" t="n"/>
      <c r="S105" s="13" t="n"/>
      <c r="T105" s="13" t="n"/>
      <c r="U105" s="16">
        <f>IF(AND(ISNUMBER(O105),ISNUMBER(P105)),ROUND(SQRT(((P105-J105)*111320*COS(RADIANS(I105)))^2+((O105-I105)*110540)^2),0),"")</f>
        <v/>
      </c>
      <c r="V105" s="17">
        <f>IF(N105="","",IF(N105="Sửa vị trí",IF(OR(O105="",P105=""),"Thiếu vĩ độ / kinh độ mới",IF(OR(O105&lt;12.5,O105&gt;15,P105&lt;107,P105&gt;109.6),"Toạ độ ngoài Gia Lai (đảo vĩ/kinh độ?)",IF(Q105="","Chọn cách xác định",IF(U105&gt;20000,"Dời hơn 20 km – kiểm tra lại","OK")))),IF(AND(N105&lt;&gt;"Sửa vị trí",OR(O105&lt;&gt;"",P105&lt;&gt;"")),"Có toạ độ mới nhưng kết quả không phải Sửa vị trí","OK")))</f>
        <v/>
      </c>
    </row>
    <row r="106">
      <c r="A106" s="9" t="n">
        <v>102</v>
      </c>
      <c r="B106" s="9" t="inlineStr">
        <is>
          <t>eb41c788-d63a-a81c-3ca2-026a28113aad</t>
        </is>
      </c>
      <c r="C106" s="9" t="inlineStr">
        <is>
          <t>Thấp</t>
        </is>
      </c>
      <c r="D106" s="10" t="inlineStr">
        <is>
          <t>ATM 25 Tang Bat Ho, Phuong Dien Hong, Tinh Gia Lai (Agribank)</t>
        </is>
      </c>
      <c r="E106" s="9" t="inlineStr">
        <is>
          <t>ATM</t>
        </is>
      </c>
      <c r="F106" s="9" t="inlineStr">
        <is>
          <t>Website Agribank</t>
        </is>
      </c>
      <c r="G106" s="10" t="inlineStr">
        <is>
          <t>25 Tang Bat Ho, Phuong Dien Hong, Tinh Gia Lai, Phường Diên Hồng, Gia Lai</t>
        </is>
      </c>
      <c r="H106" s="9" t="inlineStr">
        <is>
          <t>Phường Diên Hồng</t>
        </is>
      </c>
      <c r="I106" s="11" t="n">
        <v>13.980355</v>
      </c>
      <c r="J106" s="11" t="n">
        <v>107.995495</v>
      </c>
      <c r="K106" s="9" t="inlineStr">
        <is>
          <t>Đã đối chiếu</t>
        </is>
      </c>
      <c r="L106" s="10" t="n"/>
      <c r="M106" s="12" t="inlineStr">
        <is>
          <t>Bản đồ</t>
        </is>
      </c>
      <c r="N106" s="13" t="n"/>
      <c r="O106" s="14" t="n"/>
      <c r="P106" s="14" t="n"/>
      <c r="Q106" s="13" t="n"/>
      <c r="R106" s="15" t="n"/>
      <c r="S106" s="13" t="n"/>
      <c r="T106" s="13" t="n"/>
      <c r="U106" s="16">
        <f>IF(AND(ISNUMBER(O106),ISNUMBER(P106)),ROUND(SQRT(((P106-J106)*111320*COS(RADIANS(I106)))^2+((O106-I106)*110540)^2),0),"")</f>
        <v/>
      </c>
      <c r="V106" s="17">
        <f>IF(N106="","",IF(N106="Sửa vị trí",IF(OR(O106="",P106=""),"Thiếu vĩ độ / kinh độ mới",IF(OR(O106&lt;12.5,O106&gt;15,P106&lt;107,P106&gt;109.6),"Toạ độ ngoài Gia Lai (đảo vĩ/kinh độ?)",IF(Q106="","Chọn cách xác định",IF(U106&gt;20000,"Dời hơn 20 km – kiểm tra lại","OK")))),IF(AND(N106&lt;&gt;"Sửa vị trí",OR(O106&lt;&gt;"",P106&lt;&gt;"")),"Có toạ độ mới nhưng kết quả không phải Sửa vị trí","OK")))</f>
        <v/>
      </c>
    </row>
    <row r="107">
      <c r="A107" s="9" t="n">
        <v>103</v>
      </c>
      <c r="B107" s="9" t="inlineStr">
        <is>
          <t>82bb3876-fac3-e30d-fba2-32c3d55cb7ac</t>
        </is>
      </c>
      <c r="C107" s="9" t="inlineStr">
        <is>
          <t>Thấp</t>
        </is>
      </c>
      <c r="D107" s="10" t="inlineStr">
        <is>
          <t>ATM Vietcombank – PGD DIÊN HỒNG</t>
        </is>
      </c>
      <c r="E107" s="9" t="inlineStr">
        <is>
          <t>ATM</t>
        </is>
      </c>
      <c r="F107" s="9" t="inlineStr">
        <is>
          <t>Website Vietcombank</t>
        </is>
      </c>
      <c r="G107" s="10" t="inlineStr">
        <is>
          <t>150 Trần Phú, phường Diên Hồng, Gia Lai, Phường Diên Hồng, Gia Lai</t>
        </is>
      </c>
      <c r="H107" s="9" t="inlineStr">
        <is>
          <t>Phường Diên Hồng</t>
        </is>
      </c>
      <c r="I107" s="11" t="n">
        <v>13.977775</v>
      </c>
      <c r="J107" s="11" t="n">
        <v>107.995581</v>
      </c>
      <c r="K107" s="9" t="inlineStr">
        <is>
          <t>Đã đối chiếu</t>
        </is>
      </c>
      <c r="L107" s="10" t="n"/>
      <c r="M107" s="12" t="inlineStr">
        <is>
          <t>Bản đồ</t>
        </is>
      </c>
      <c r="N107" s="13" t="n"/>
      <c r="O107" s="14" t="n"/>
      <c r="P107" s="14" t="n"/>
      <c r="Q107" s="13" t="n"/>
      <c r="R107" s="15" t="n"/>
      <c r="S107" s="13" t="n"/>
      <c r="T107" s="13" t="n"/>
      <c r="U107" s="16">
        <f>IF(AND(ISNUMBER(O107),ISNUMBER(P107)),ROUND(SQRT(((P107-J107)*111320*COS(RADIANS(I107)))^2+((O107-I107)*110540)^2),0),"")</f>
        <v/>
      </c>
      <c r="V107" s="17">
        <f>IF(N107="","",IF(N107="Sửa vị trí",IF(OR(O107="",P107=""),"Thiếu vĩ độ / kinh độ mới",IF(OR(O107&lt;12.5,O107&gt;15,P107&lt;107,P107&gt;109.6),"Toạ độ ngoài Gia Lai (đảo vĩ/kinh độ?)",IF(Q107="","Chọn cách xác định",IF(U107&gt;20000,"Dời hơn 20 km – kiểm tra lại","OK")))),IF(AND(N107&lt;&gt;"Sửa vị trí",OR(O107&lt;&gt;"",P107&lt;&gt;"")),"Có toạ độ mới nhưng kết quả không phải Sửa vị trí","OK")))</f>
        <v/>
      </c>
    </row>
    <row r="108">
      <c r="A108" s="9" t="n">
        <v>104</v>
      </c>
      <c r="B108" s="9" t="inlineStr">
        <is>
          <t>f6b7c0a0-b73c-95d4-48e4-dc4fafab484c</t>
        </is>
      </c>
      <c r="C108" s="9" t="inlineStr">
        <is>
          <t>Thấp</t>
        </is>
      </c>
      <c r="D108" s="10" t="inlineStr">
        <is>
          <t>ATM Vietcombank – PGD Pleiku</t>
        </is>
      </c>
      <c r="E108" s="9" t="inlineStr">
        <is>
          <t>ATM</t>
        </is>
      </c>
      <c r="F108" s="9" t="inlineStr">
        <is>
          <t>Website Vietcombank</t>
        </is>
      </c>
      <c r="G108" s="10" t="inlineStr">
        <is>
          <t>156 Hai Bà Trưng, Diên Hồng, Gia Lai, Phường Diên Hồng, Gia Lai</t>
        </is>
      </c>
      <c r="H108" s="9" t="inlineStr">
        <is>
          <t>Phường Diên Hồng</t>
        </is>
      </c>
      <c r="I108" s="11" t="n">
        <v>13.979797</v>
      </c>
      <c r="J108" s="11" t="n">
        <v>107.993359</v>
      </c>
      <c r="K108" s="9" t="inlineStr">
        <is>
          <t>Đã đối chiếu</t>
        </is>
      </c>
      <c r="L108" s="10" t="n"/>
      <c r="M108" s="12" t="inlineStr">
        <is>
          <t>Bản đồ</t>
        </is>
      </c>
      <c r="N108" s="13" t="n"/>
      <c r="O108" s="14" t="n"/>
      <c r="P108" s="14" t="n"/>
      <c r="Q108" s="13" t="n"/>
      <c r="R108" s="15" t="n"/>
      <c r="S108" s="13" t="n"/>
      <c r="T108" s="13" t="n"/>
      <c r="U108" s="16">
        <f>IF(AND(ISNUMBER(O108),ISNUMBER(P108)),ROUND(SQRT(((P108-J108)*111320*COS(RADIANS(I108)))^2+((O108-I108)*110540)^2),0),"")</f>
        <v/>
      </c>
      <c r="V108" s="17">
        <f>IF(N108="","",IF(N108="Sửa vị trí",IF(OR(O108="",P108=""),"Thiếu vĩ độ / kinh độ mới",IF(OR(O108&lt;12.5,O108&gt;15,P108&lt;107,P108&gt;109.6),"Toạ độ ngoài Gia Lai (đảo vĩ/kinh độ?)",IF(Q108="","Chọn cách xác định",IF(U108&gt;20000,"Dời hơn 20 km – kiểm tra lại","OK")))),IF(AND(N108&lt;&gt;"Sửa vị trí",OR(O108&lt;&gt;"",P108&lt;&gt;"")),"Có toạ độ mới nhưng kết quả không phải Sửa vị trí","OK")))</f>
        <v/>
      </c>
    </row>
    <row r="109">
      <c r="A109" s="9" t="n">
        <v>105</v>
      </c>
      <c r="B109" s="9" t="inlineStr">
        <is>
          <t>774f82c7-cda9-a8e3-c638-ade17130526a</t>
        </is>
      </c>
      <c r="C109" s="9" t="inlineStr">
        <is>
          <t>Thấp</t>
        </is>
      </c>
      <c r="D109" s="10" t="inlineStr">
        <is>
          <t>ATM Vietcombank – TT GIÁO DỤC TX</t>
        </is>
      </c>
      <c r="E109" s="9" t="inlineStr">
        <is>
          <t>ATM</t>
        </is>
      </c>
      <c r="F109" s="9" t="inlineStr">
        <is>
          <t>Website Vietcombank</t>
        </is>
      </c>
      <c r="G109" s="10" t="inlineStr">
        <is>
          <t>06 Lý Thái Tổ, phường Diên Hồng, Gia Lai, Phường Diên Hồng, Gia Lai</t>
        </is>
      </c>
      <c r="H109" s="9" t="inlineStr">
        <is>
          <t>Phường Diên Hồng</t>
        </is>
      </c>
      <c r="I109" s="11" t="n">
        <v>13.979881</v>
      </c>
      <c r="J109" s="11" t="n">
        <v>107.992826</v>
      </c>
      <c r="K109" s="9" t="inlineStr">
        <is>
          <t>Đã đối chiếu</t>
        </is>
      </c>
      <c r="L109" s="10" t="n"/>
      <c r="M109" s="12" t="inlineStr">
        <is>
          <t>Bản đồ</t>
        </is>
      </c>
      <c r="N109" s="13" t="n"/>
      <c r="O109" s="14" t="n"/>
      <c r="P109" s="14" t="n"/>
      <c r="Q109" s="13" t="n"/>
      <c r="R109" s="15" t="n"/>
      <c r="S109" s="13" t="n"/>
      <c r="T109" s="13" t="n"/>
      <c r="U109" s="16">
        <f>IF(AND(ISNUMBER(O109),ISNUMBER(P109)),ROUND(SQRT(((P109-J109)*111320*COS(RADIANS(I109)))^2+((O109-I109)*110540)^2),0),"")</f>
        <v/>
      </c>
      <c r="V109" s="17">
        <f>IF(N109="","",IF(N109="Sửa vị trí",IF(OR(O109="",P109=""),"Thiếu vĩ độ / kinh độ mới",IF(OR(O109&lt;12.5,O109&gt;15,P109&lt;107,P109&gt;109.6),"Toạ độ ngoài Gia Lai (đảo vĩ/kinh độ?)",IF(Q109="","Chọn cách xác định",IF(U109&gt;20000,"Dời hơn 20 km – kiểm tra lại","OK")))),IF(AND(N109&lt;&gt;"Sửa vị trí",OR(O109&lt;&gt;"",P109&lt;&gt;"")),"Có toạ độ mới nhưng kết quả không phải Sửa vị trí","OK")))</f>
        <v/>
      </c>
    </row>
    <row r="110">
      <c r="A110" s="9" t="n">
        <v>106</v>
      </c>
      <c r="B110" s="9" t="inlineStr">
        <is>
          <t>42b1bd74-967d-15ce-2c04-5bd7bfe020e8</t>
        </is>
      </c>
      <c r="C110" s="9" t="inlineStr">
        <is>
          <t>Thấp</t>
        </is>
      </c>
      <c r="D110" s="10" t="inlineStr">
        <is>
          <t>R-ATM Vietcombank – PGD DIÊN HỒNG</t>
        </is>
      </c>
      <c r="E110" s="9" t="inlineStr">
        <is>
          <t>ATM</t>
        </is>
      </c>
      <c r="F110" s="9" t="inlineStr">
        <is>
          <t>Website Vietcombank</t>
        </is>
      </c>
      <c r="G110" s="10" t="inlineStr">
        <is>
          <t>150 TRẦN PHÚ P.DIÊN HỒNG GIA LAI, Phường Diên Hồng, Gia Lai</t>
        </is>
      </c>
      <c r="H110" s="9" t="inlineStr">
        <is>
          <t>Phường Diên Hồng</t>
        </is>
      </c>
      <c r="I110" s="11" t="n">
        <v>13.977775</v>
      </c>
      <c r="J110" s="11" t="n">
        <v>107.995581</v>
      </c>
      <c r="K110" s="9" t="inlineStr">
        <is>
          <t>Đã đối chiếu</t>
        </is>
      </c>
      <c r="L110" s="10" t="n"/>
      <c r="M110" s="12" t="inlineStr">
        <is>
          <t>Bản đồ</t>
        </is>
      </c>
      <c r="N110" s="13" t="n"/>
      <c r="O110" s="14" t="n"/>
      <c r="P110" s="14" t="n"/>
      <c r="Q110" s="13" t="n"/>
      <c r="R110" s="15" t="n"/>
      <c r="S110" s="13" t="n"/>
      <c r="T110" s="13" t="n"/>
      <c r="U110" s="16">
        <f>IF(AND(ISNUMBER(O110),ISNUMBER(P110)),ROUND(SQRT(((P110-J110)*111320*COS(RADIANS(I110)))^2+((O110-I110)*110540)^2),0),"")</f>
        <v/>
      </c>
      <c r="V110" s="17">
        <f>IF(N110="","",IF(N110="Sửa vị trí",IF(OR(O110="",P110=""),"Thiếu vĩ độ / kinh độ mới",IF(OR(O110&lt;12.5,O110&gt;15,P110&lt;107,P110&gt;109.6),"Toạ độ ngoài Gia Lai (đảo vĩ/kinh độ?)",IF(Q110="","Chọn cách xác định",IF(U110&gt;20000,"Dời hơn 20 km – kiểm tra lại","OK")))),IF(AND(N110&lt;&gt;"Sửa vị trí",OR(O110&lt;&gt;"",P110&lt;&gt;"")),"Có toạ độ mới nhưng kết quả không phải Sửa vị trí","OK")))</f>
        <v/>
      </c>
    </row>
    <row r="111">
      <c r="A111" s="9" t="n">
        <v>107</v>
      </c>
      <c r="B111" s="9" t="inlineStr">
        <is>
          <t>37e271ba-df4a-fefa-2c3e-e881b1caf7d7</t>
        </is>
      </c>
      <c r="C111" s="9" t="inlineStr">
        <is>
          <t>Thấp</t>
        </is>
      </c>
      <c r="D111" s="10" t="inlineStr">
        <is>
          <t>ATM 119 Vo Van Kiet, Phuong Thong Nhat, Tinh Gia Lai (Agribank)</t>
        </is>
      </c>
      <c r="E111" s="9" t="inlineStr">
        <is>
          <t>ATM</t>
        </is>
      </c>
      <c r="F111" s="9" t="inlineStr">
        <is>
          <t>Website Agribank</t>
        </is>
      </c>
      <c r="G111" s="10" t="inlineStr">
        <is>
          <t>119 Vo Van Kiet, Phuong Thong Nhat, Tinh Gia Lai, Phường Hội Phú, Gia Lai</t>
        </is>
      </c>
      <c r="H111" s="9" t="inlineStr">
        <is>
          <t>Phường Hội Phú</t>
        </is>
      </c>
      <c r="I111" s="11" t="n">
        <v>13.964466</v>
      </c>
      <c r="J111" s="11" t="n">
        <v>108.017029</v>
      </c>
      <c r="K111" s="9" t="inlineStr">
        <is>
          <t>Đã đối chiếu</t>
        </is>
      </c>
      <c r="L111" s="10" t="n"/>
      <c r="M111" s="12" t="inlineStr">
        <is>
          <t>Bản đồ</t>
        </is>
      </c>
      <c r="N111" s="13" t="n"/>
      <c r="O111" s="14" t="n"/>
      <c r="P111" s="14" t="n"/>
      <c r="Q111" s="13" t="n"/>
      <c r="R111" s="15" t="n"/>
      <c r="S111" s="13" t="n"/>
      <c r="T111" s="13" t="n"/>
      <c r="U111" s="16">
        <f>IF(AND(ISNUMBER(O111),ISNUMBER(P111)),ROUND(SQRT(((P111-J111)*111320*COS(RADIANS(I111)))^2+((O111-I111)*110540)^2),0),"")</f>
        <v/>
      </c>
      <c r="V111" s="17">
        <f>IF(N111="","",IF(N111="Sửa vị trí",IF(OR(O111="",P111=""),"Thiếu vĩ độ / kinh độ mới",IF(OR(O111&lt;12.5,O111&gt;15,P111&lt;107,P111&gt;109.6),"Toạ độ ngoài Gia Lai (đảo vĩ/kinh độ?)",IF(Q111="","Chọn cách xác định",IF(U111&gt;20000,"Dời hơn 20 km – kiểm tra lại","OK")))),IF(AND(N111&lt;&gt;"Sửa vị trí",OR(O111&lt;&gt;"",P111&lt;&gt;"")),"Có toạ độ mới nhưng kết quả không phải Sửa vị trí","OK")))</f>
        <v/>
      </c>
    </row>
    <row r="112">
      <c r="A112" s="9" t="n">
        <v>108</v>
      </c>
      <c r="B112" s="9" t="inlineStr">
        <is>
          <t>452b348f-306c-5391-6092-e721e5ccc84f</t>
        </is>
      </c>
      <c r="C112" s="9" t="inlineStr">
        <is>
          <t>Thấp</t>
        </is>
      </c>
      <c r="D112" s="10" t="inlineStr">
        <is>
          <t>ATM Vietcombank – BV ĐHYD HAGL</t>
        </is>
      </c>
      <c r="E112" s="9" t="inlineStr">
        <is>
          <t>ATM</t>
        </is>
      </c>
      <c r="F112" s="9" t="inlineStr">
        <is>
          <t>Website Vietcombank</t>
        </is>
      </c>
      <c r="G112" s="10" t="inlineStr">
        <is>
          <t>Lê Duẩn, phường An Phú, Gia Lai, Phường Hội Phú, Gia Lai</t>
        </is>
      </c>
      <c r="H112" s="9" t="inlineStr">
        <is>
          <t>Phường Hội Phú</t>
        </is>
      </c>
      <c r="I112" s="11" t="n">
        <v>13.971235</v>
      </c>
      <c r="J112" s="11" t="n">
        <v>108.031073</v>
      </c>
      <c r="K112" s="9" t="inlineStr">
        <is>
          <t>Đã đối chiếu</t>
        </is>
      </c>
      <c r="L112" s="10" t="n"/>
      <c r="M112" s="12" t="inlineStr">
        <is>
          <t>Bản đồ</t>
        </is>
      </c>
      <c r="N112" s="13" t="n"/>
      <c r="O112" s="14" t="n"/>
      <c r="P112" s="14" t="n"/>
      <c r="Q112" s="13" t="n"/>
      <c r="R112" s="15" t="n"/>
      <c r="S112" s="13" t="n"/>
      <c r="T112" s="13" t="n"/>
      <c r="U112" s="16">
        <f>IF(AND(ISNUMBER(O112),ISNUMBER(P112)),ROUND(SQRT(((P112-J112)*111320*COS(RADIANS(I112)))^2+((O112-I112)*110540)^2),0),"")</f>
        <v/>
      </c>
      <c r="V112" s="17">
        <f>IF(N112="","",IF(N112="Sửa vị trí",IF(OR(O112="",P112=""),"Thiếu vĩ độ / kinh độ mới",IF(OR(O112&lt;12.5,O112&gt;15,P112&lt;107,P112&gt;109.6),"Toạ độ ngoài Gia Lai (đảo vĩ/kinh độ?)",IF(Q112="","Chọn cách xác định",IF(U112&gt;20000,"Dời hơn 20 km – kiểm tra lại","OK")))),IF(AND(N112&lt;&gt;"Sửa vị trí",OR(O112&lt;&gt;"",P112&lt;&gt;"")),"Có toạ độ mới nhưng kết quả không phải Sửa vị trí","OK")))</f>
        <v/>
      </c>
    </row>
    <row r="113">
      <c r="A113" s="9" t="n">
        <v>109</v>
      </c>
      <c r="B113" s="9" t="inlineStr">
        <is>
          <t>72d2548d-4ce7-4f8e-39ea-034f3a2564bf</t>
        </is>
      </c>
      <c r="C113" s="9" t="inlineStr">
        <is>
          <t>Thấp</t>
        </is>
      </c>
      <c r="D113" s="10" t="inlineStr">
        <is>
          <t>ATM Vietcombank – PGD TRÀ BÁ</t>
        </is>
      </c>
      <c r="E113" s="9" t="inlineStr">
        <is>
          <t>ATM</t>
        </is>
      </c>
      <c r="F113" s="9" t="inlineStr">
        <is>
          <t>Website Vietcombank</t>
        </is>
      </c>
      <c r="G113" s="10" t="inlineStr">
        <is>
          <t>133 Trường Chinh, phường Hội Phú, Gia Lai, Phường Hội Phú, Gia Lai</t>
        </is>
      </c>
      <c r="H113" s="9" t="inlineStr">
        <is>
          <t>Phường Hội Phú</t>
        </is>
      </c>
      <c r="I113" s="11" t="n">
        <v>13.964068</v>
      </c>
      <c r="J113" s="11" t="n">
        <v>108.017085</v>
      </c>
      <c r="K113" s="9" t="inlineStr">
        <is>
          <t>Đã đối chiếu</t>
        </is>
      </c>
      <c r="L113" s="10" t="n"/>
      <c r="M113" s="12" t="inlineStr">
        <is>
          <t>Bản đồ</t>
        </is>
      </c>
      <c r="N113" s="13" t="n"/>
      <c r="O113" s="14" t="n"/>
      <c r="P113" s="14" t="n"/>
      <c r="Q113" s="13" t="n"/>
      <c r="R113" s="15" t="n"/>
      <c r="S113" s="13" t="n"/>
      <c r="T113" s="13" t="n"/>
      <c r="U113" s="16">
        <f>IF(AND(ISNUMBER(O113),ISNUMBER(P113)),ROUND(SQRT(((P113-J113)*111320*COS(RADIANS(I113)))^2+((O113-I113)*110540)^2),0),"")</f>
        <v/>
      </c>
      <c r="V113" s="17">
        <f>IF(N113="","",IF(N113="Sửa vị trí",IF(OR(O113="",P113=""),"Thiếu vĩ độ / kinh độ mới",IF(OR(O113&lt;12.5,O113&gt;15,P113&lt;107,P113&gt;109.6),"Toạ độ ngoài Gia Lai (đảo vĩ/kinh độ?)",IF(Q113="","Chọn cách xác định",IF(U113&gt;20000,"Dời hơn 20 km – kiểm tra lại","OK")))),IF(AND(N113&lt;&gt;"Sửa vị trí",OR(O113&lt;&gt;"",P113&lt;&gt;"")),"Có toạ độ mới nhưng kết quả không phải Sửa vị trí","OK")))</f>
        <v/>
      </c>
    </row>
    <row r="114">
      <c r="A114" s="9" t="n">
        <v>110</v>
      </c>
      <c r="B114" s="9" t="inlineStr">
        <is>
          <t>03d7c722-85ed-7f4a-0e54-e7448c11dba4</t>
        </is>
      </c>
      <c r="C114" s="9" t="inlineStr">
        <is>
          <t>Thấp</t>
        </is>
      </c>
      <c r="D114" s="10" t="inlineStr">
        <is>
          <t>R-ATM Vietcombank – PGD TRÀ BÁ</t>
        </is>
      </c>
      <c r="E114" s="9" t="inlineStr">
        <is>
          <t>ATM</t>
        </is>
      </c>
      <c r="F114" s="9" t="inlineStr">
        <is>
          <t>Website Vietcombank</t>
        </is>
      </c>
      <c r="G114" s="10" t="inlineStr">
        <is>
          <t>133 Trường Chinh, phường Hội Phú, Gia Lai, Phường Hội Phú, Gia Lai</t>
        </is>
      </c>
      <c r="H114" s="9" t="inlineStr">
        <is>
          <t>Phường Hội Phú</t>
        </is>
      </c>
      <c r="I114" s="11" t="n">
        <v>13.964068</v>
      </c>
      <c r="J114" s="11" t="n">
        <v>108.017085</v>
      </c>
      <c r="K114" s="9" t="inlineStr">
        <is>
          <t>Đã đối chiếu</t>
        </is>
      </c>
      <c r="L114" s="10" t="n"/>
      <c r="M114" s="12" t="inlineStr">
        <is>
          <t>Bản đồ</t>
        </is>
      </c>
      <c r="N114" s="13" t="n"/>
      <c r="O114" s="14" t="n"/>
      <c r="P114" s="14" t="n"/>
      <c r="Q114" s="13" t="n"/>
      <c r="R114" s="15" t="n"/>
      <c r="S114" s="13" t="n"/>
      <c r="T114" s="13" t="n"/>
      <c r="U114" s="16">
        <f>IF(AND(ISNUMBER(O114),ISNUMBER(P114)),ROUND(SQRT(((P114-J114)*111320*COS(RADIANS(I114)))^2+((O114-I114)*110540)^2),0),"")</f>
        <v/>
      </c>
      <c r="V114" s="17">
        <f>IF(N114="","",IF(N114="Sửa vị trí",IF(OR(O114="",P114=""),"Thiếu vĩ độ / kinh độ mới",IF(OR(O114&lt;12.5,O114&gt;15,P114&lt;107,P114&gt;109.6),"Toạ độ ngoài Gia Lai (đảo vĩ/kinh độ?)",IF(Q114="","Chọn cách xác định",IF(U114&gt;20000,"Dời hơn 20 km – kiểm tra lại","OK")))),IF(AND(N114&lt;&gt;"Sửa vị trí",OR(O114&lt;&gt;"",P114&lt;&gt;"")),"Có toạ độ mới nhưng kết quả không phải Sửa vị trí","OK")))</f>
        <v/>
      </c>
    </row>
    <row r="115">
      <c r="A115" s="9" t="n">
        <v>111</v>
      </c>
      <c r="B115" s="9" t="inlineStr">
        <is>
          <t>245f5519-69ab-1b7e-af5f-597529e8fd07</t>
        </is>
      </c>
      <c r="C115" s="9" t="inlineStr">
        <is>
          <t>Thấp</t>
        </is>
      </c>
      <c r="D115" s="10" t="inlineStr">
        <is>
          <t>ATM 100B Phan Dinh Phung, Phuong Pleiku, Tinh Gia Lai (Agribank)</t>
        </is>
      </c>
      <c r="E115" s="9" t="inlineStr">
        <is>
          <t>ATM</t>
        </is>
      </c>
      <c r="F115" s="9" t="inlineStr">
        <is>
          <t>Website Agribank</t>
        </is>
      </c>
      <c r="G115" s="10" t="inlineStr">
        <is>
          <t>100B Phan Dinh Phung, Phuong Pleiku, Tinh Gia Lai, Phường Pleiku, Gia Lai</t>
        </is>
      </c>
      <c r="H115" s="9" t="inlineStr">
        <is>
          <t>Phường Pleiku</t>
        </is>
      </c>
      <c r="I115" s="11" t="n">
        <v>13.983157</v>
      </c>
      <c r="J115" s="11" t="n">
        <v>108.000617</v>
      </c>
      <c r="K115" s="9" t="inlineStr">
        <is>
          <t>Đã đối chiếu</t>
        </is>
      </c>
      <c r="L115" s="10" t="n"/>
      <c r="M115" s="12" t="inlineStr">
        <is>
          <t>Bản đồ</t>
        </is>
      </c>
      <c r="N115" s="13" t="n"/>
      <c r="O115" s="14" t="n"/>
      <c r="P115" s="14" t="n"/>
      <c r="Q115" s="13" t="n"/>
      <c r="R115" s="15" t="n"/>
      <c r="S115" s="13" t="n"/>
      <c r="T115" s="13" t="n"/>
      <c r="U115" s="16">
        <f>IF(AND(ISNUMBER(O115),ISNUMBER(P115)),ROUND(SQRT(((P115-J115)*111320*COS(RADIANS(I115)))^2+((O115-I115)*110540)^2),0),"")</f>
        <v/>
      </c>
      <c r="V115" s="17">
        <f>IF(N115="","",IF(N115="Sửa vị trí",IF(OR(O115="",P115=""),"Thiếu vĩ độ / kinh độ mới",IF(OR(O115&lt;12.5,O115&gt;15,P115&lt;107,P115&gt;109.6),"Toạ độ ngoài Gia Lai (đảo vĩ/kinh độ?)",IF(Q115="","Chọn cách xác định",IF(U115&gt;20000,"Dời hơn 20 km – kiểm tra lại","OK")))),IF(AND(N115&lt;&gt;"Sửa vị trí",OR(O115&lt;&gt;"",P115&lt;&gt;"")),"Có toạ độ mới nhưng kết quả không phải Sửa vị trí","OK")))</f>
        <v/>
      </c>
    </row>
    <row r="116">
      <c r="A116" s="9" t="n">
        <v>112</v>
      </c>
      <c r="B116" s="9" t="inlineStr">
        <is>
          <t>80a090b5-5778-a266-0c18-d6da97870800</t>
        </is>
      </c>
      <c r="C116" s="9" t="inlineStr">
        <is>
          <t>Thấp</t>
        </is>
      </c>
      <c r="D116" s="10" t="inlineStr">
        <is>
          <t>ATM 102 Le Duan, Phuong Pleiku, Tinh Gia Lai (Agribank)</t>
        </is>
      </c>
      <c r="E116" s="9" t="inlineStr">
        <is>
          <t>ATM</t>
        </is>
      </c>
      <c r="F116" s="9" t="inlineStr">
        <is>
          <t>Website Agribank</t>
        </is>
      </c>
      <c r="G116" s="10" t="inlineStr">
        <is>
          <t>102 Le Duan, Phuong Pleiku, Tinh Gia Lai, Phường Pleiku, Gia Lai</t>
        </is>
      </c>
      <c r="H116" s="9" t="inlineStr">
        <is>
          <t>Phường Pleiku</t>
        </is>
      </c>
      <c r="I116" s="11" t="n">
        <v>13.970614</v>
      </c>
      <c r="J116" s="11" t="n">
        <v>108.018577</v>
      </c>
      <c r="K116" s="9" t="inlineStr">
        <is>
          <t>Đã đối chiếu</t>
        </is>
      </c>
      <c r="L116" s="10" t="n"/>
      <c r="M116" s="12" t="inlineStr">
        <is>
          <t>Bản đồ</t>
        </is>
      </c>
      <c r="N116" s="13" t="n"/>
      <c r="O116" s="14" t="n"/>
      <c r="P116" s="14" t="n"/>
      <c r="Q116" s="13" t="n"/>
      <c r="R116" s="15" t="n"/>
      <c r="S116" s="13" t="n"/>
      <c r="T116" s="13" t="n"/>
      <c r="U116" s="16">
        <f>IF(AND(ISNUMBER(O116),ISNUMBER(P116)),ROUND(SQRT(((P116-J116)*111320*COS(RADIANS(I116)))^2+((O116-I116)*110540)^2),0),"")</f>
        <v/>
      </c>
      <c r="V116" s="17">
        <f>IF(N116="","",IF(N116="Sửa vị trí",IF(OR(O116="",P116=""),"Thiếu vĩ độ / kinh độ mới",IF(OR(O116&lt;12.5,O116&gt;15,P116&lt;107,P116&gt;109.6),"Toạ độ ngoài Gia Lai (đảo vĩ/kinh độ?)",IF(Q116="","Chọn cách xác định",IF(U116&gt;20000,"Dời hơn 20 km – kiểm tra lại","OK")))),IF(AND(N116&lt;&gt;"Sửa vị trí",OR(O116&lt;&gt;"",P116&lt;&gt;"")),"Có toạ độ mới nhưng kết quả không phải Sửa vị trí","OK")))</f>
        <v/>
      </c>
    </row>
    <row r="117">
      <c r="A117" s="9" t="n">
        <v>113</v>
      </c>
      <c r="B117" s="9" t="inlineStr">
        <is>
          <t>95b9d265-74a9-5a53-e189-ddc06a3aa059</t>
        </is>
      </c>
      <c r="C117" s="9" t="inlineStr">
        <is>
          <t>Thấp</t>
        </is>
      </c>
      <c r="D117" s="10" t="inlineStr">
        <is>
          <t>ATM 102 Le Duan, Phuong Pleiku, Tinh Gia Lai (Agribank)</t>
        </is>
      </c>
      <c r="E117" s="9" t="inlineStr">
        <is>
          <t>ATM</t>
        </is>
      </c>
      <c r="F117" s="9" t="inlineStr">
        <is>
          <t>Website Agribank</t>
        </is>
      </c>
      <c r="G117" s="10" t="inlineStr">
        <is>
          <t>102 Le Duan, Phuong Pleiku, Tinh Gia Lai, Phường Pleiku, Gia Lai</t>
        </is>
      </c>
      <c r="H117" s="9" t="inlineStr">
        <is>
          <t>Phường Pleiku</t>
        </is>
      </c>
      <c r="I117" s="11" t="n">
        <v>13.970614</v>
      </c>
      <c r="J117" s="11" t="n">
        <v>108.018577</v>
      </c>
      <c r="K117" s="9" t="inlineStr">
        <is>
          <t>Đã đối chiếu</t>
        </is>
      </c>
      <c r="L117" s="10" t="n"/>
      <c r="M117" s="12" t="inlineStr">
        <is>
          <t>Bản đồ</t>
        </is>
      </c>
      <c r="N117" s="13" t="n"/>
      <c r="O117" s="14" t="n"/>
      <c r="P117" s="14" t="n"/>
      <c r="Q117" s="13" t="n"/>
      <c r="R117" s="15" t="n"/>
      <c r="S117" s="13" t="n"/>
      <c r="T117" s="13" t="n"/>
      <c r="U117" s="16">
        <f>IF(AND(ISNUMBER(O117),ISNUMBER(P117)),ROUND(SQRT(((P117-J117)*111320*COS(RADIANS(I117)))^2+((O117-I117)*110540)^2),0),"")</f>
        <v/>
      </c>
      <c r="V117" s="17">
        <f>IF(N117="","",IF(N117="Sửa vị trí",IF(OR(O117="",P117=""),"Thiếu vĩ độ / kinh độ mới",IF(OR(O117&lt;12.5,O117&gt;15,P117&lt;107,P117&gt;109.6),"Toạ độ ngoài Gia Lai (đảo vĩ/kinh độ?)",IF(Q117="","Chọn cách xác định",IF(U117&gt;20000,"Dời hơn 20 km – kiểm tra lại","OK")))),IF(AND(N117&lt;&gt;"Sửa vị trí",OR(O117&lt;&gt;"",P117&lt;&gt;"")),"Có toạ độ mới nhưng kết quả không phải Sửa vị trí","OK")))</f>
        <v/>
      </c>
    </row>
    <row r="118">
      <c r="A118" s="9" t="n">
        <v>114</v>
      </c>
      <c r="B118" s="9" t="inlineStr">
        <is>
          <t>38d5bd98-12f0-e777-914b-4abb7098a0ea</t>
        </is>
      </c>
      <c r="C118" s="9" t="inlineStr">
        <is>
          <t>Thấp</t>
        </is>
      </c>
      <c r="D118" s="10" t="inlineStr">
        <is>
          <t>ATM 102 Le Duan, Phuong Pleiku, Tinh Gia Lai (Agribank)</t>
        </is>
      </c>
      <c r="E118" s="9" t="inlineStr">
        <is>
          <t>ATM</t>
        </is>
      </c>
      <c r="F118" s="9" t="inlineStr">
        <is>
          <t>Website Agribank</t>
        </is>
      </c>
      <c r="G118" s="10" t="inlineStr">
        <is>
          <t>102 Le Duan, Phuong Pleiku, Tinh Gia Lai, Phường Pleiku, Gia Lai</t>
        </is>
      </c>
      <c r="H118" s="9" t="inlineStr">
        <is>
          <t>Phường Pleiku</t>
        </is>
      </c>
      <c r="I118" s="11" t="n">
        <v>13.970614</v>
      </c>
      <c r="J118" s="11" t="n">
        <v>108.018577</v>
      </c>
      <c r="K118" s="9" t="inlineStr">
        <is>
          <t>Đã đối chiếu</t>
        </is>
      </c>
      <c r="L118" s="10" t="n"/>
      <c r="M118" s="12" t="inlineStr">
        <is>
          <t>Bản đồ</t>
        </is>
      </c>
      <c r="N118" s="13" t="n"/>
      <c r="O118" s="14" t="n"/>
      <c r="P118" s="14" t="n"/>
      <c r="Q118" s="13" t="n"/>
      <c r="R118" s="15" t="n"/>
      <c r="S118" s="13" t="n"/>
      <c r="T118" s="13" t="n"/>
      <c r="U118" s="16">
        <f>IF(AND(ISNUMBER(O118),ISNUMBER(P118)),ROUND(SQRT(((P118-J118)*111320*COS(RADIANS(I118)))^2+((O118-I118)*110540)^2),0),"")</f>
        <v/>
      </c>
      <c r="V118" s="17">
        <f>IF(N118="","",IF(N118="Sửa vị trí",IF(OR(O118="",P118=""),"Thiếu vĩ độ / kinh độ mới",IF(OR(O118&lt;12.5,O118&gt;15,P118&lt;107,P118&gt;109.6),"Toạ độ ngoài Gia Lai (đảo vĩ/kinh độ?)",IF(Q118="","Chọn cách xác định",IF(U118&gt;20000,"Dời hơn 20 km – kiểm tra lại","OK")))),IF(AND(N118&lt;&gt;"Sửa vị trí",OR(O118&lt;&gt;"",P118&lt;&gt;"")),"Có toạ độ mới nhưng kết quả không phải Sửa vị trí","OK")))</f>
        <v/>
      </c>
    </row>
    <row r="119">
      <c r="A119" s="9" t="n">
        <v>115</v>
      </c>
      <c r="B119" s="9" t="inlineStr">
        <is>
          <t>b176ade0-21b4-b5d9-7a4e-bd52d1f6a749</t>
        </is>
      </c>
      <c r="C119" s="9" t="inlineStr">
        <is>
          <t>Thấp</t>
        </is>
      </c>
      <c r="D119" s="10" t="inlineStr">
        <is>
          <t>ATM 69 Hung Vuong, Phuong Pleiku, Tinh Gia Lai (Agribank)</t>
        </is>
      </c>
      <c r="E119" s="9" t="inlineStr">
        <is>
          <t>ATM</t>
        </is>
      </c>
      <c r="F119" s="9" t="inlineStr">
        <is>
          <t>Website Agribank</t>
        </is>
      </c>
      <c r="G119" s="10" t="inlineStr">
        <is>
          <t>69 Hung Vuong, Phuong Pleiku, Tinh Gia Lai, Phường Pleiku, Gia Lai</t>
        </is>
      </c>
      <c r="H119" s="9" t="inlineStr">
        <is>
          <t>Phường Pleiku</t>
        </is>
      </c>
      <c r="I119" s="11" t="n">
        <v>13.977581</v>
      </c>
      <c r="J119" s="11" t="n">
        <v>108.001427</v>
      </c>
      <c r="K119" s="9" t="inlineStr">
        <is>
          <t>Đã đối chiếu</t>
        </is>
      </c>
      <c r="L119" s="10" t="n"/>
      <c r="M119" s="12" t="inlineStr">
        <is>
          <t>Bản đồ</t>
        </is>
      </c>
      <c r="N119" s="13" t="n"/>
      <c r="O119" s="14" t="n"/>
      <c r="P119" s="14" t="n"/>
      <c r="Q119" s="13" t="n"/>
      <c r="R119" s="15" t="n"/>
      <c r="S119" s="13" t="n"/>
      <c r="T119" s="13" t="n"/>
      <c r="U119" s="16">
        <f>IF(AND(ISNUMBER(O119),ISNUMBER(P119)),ROUND(SQRT(((P119-J119)*111320*COS(RADIANS(I119)))^2+((O119-I119)*110540)^2),0),"")</f>
        <v/>
      </c>
      <c r="V119" s="17">
        <f>IF(N119="","",IF(N119="Sửa vị trí",IF(OR(O119="",P119=""),"Thiếu vĩ độ / kinh độ mới",IF(OR(O119&lt;12.5,O119&gt;15,P119&lt;107,P119&gt;109.6),"Toạ độ ngoài Gia Lai (đảo vĩ/kinh độ?)",IF(Q119="","Chọn cách xác định",IF(U119&gt;20000,"Dời hơn 20 km – kiểm tra lại","OK")))),IF(AND(N119&lt;&gt;"Sửa vị trí",OR(O119&lt;&gt;"",P119&lt;&gt;"")),"Có toạ độ mới nhưng kết quả không phải Sửa vị trí","OK")))</f>
        <v/>
      </c>
    </row>
    <row r="120">
      <c r="A120" s="9" t="n">
        <v>116</v>
      </c>
      <c r="B120" s="9" t="inlineStr">
        <is>
          <t>f36a78bc-31b3-4739-a216-10365b37cb3f</t>
        </is>
      </c>
      <c r="C120" s="9" t="inlineStr">
        <is>
          <t>Thấp</t>
        </is>
      </c>
      <c r="D120" s="10" t="inlineStr">
        <is>
          <t>ATM Bộ tư lệnh Quân đoàn 3 (MB)</t>
        </is>
      </c>
      <c r="E120" s="9" t="inlineStr">
        <is>
          <t>ATM</t>
        </is>
      </c>
      <c r="F120" s="9" t="inlineStr">
        <is>
          <t>Trang bản đồ MB</t>
        </is>
      </c>
      <c r="G120" s="10" t="inlineStr">
        <is>
          <t>Đường Lê Duẩn, phường Thống Nhất, tỉnh Gia Lai, Phường Pleiku, Gia Lai</t>
        </is>
      </c>
      <c r="H120" s="9" t="inlineStr">
        <is>
          <t>Phường Pleiku</t>
        </is>
      </c>
      <c r="I120" s="11" t="n">
        <v>13.97186</v>
      </c>
      <c r="J120" s="11" t="n">
        <v>108.030581</v>
      </c>
      <c r="K120" s="9" t="inlineStr">
        <is>
          <t>Đã đối chiếu</t>
        </is>
      </c>
      <c r="L120" s="10" t="n"/>
      <c r="M120" s="12" t="inlineStr">
        <is>
          <t>Bản đồ</t>
        </is>
      </c>
      <c r="N120" s="13" t="n"/>
      <c r="O120" s="14" t="n"/>
      <c r="P120" s="14" t="n"/>
      <c r="Q120" s="13" t="n"/>
      <c r="R120" s="15" t="n"/>
      <c r="S120" s="13" t="n"/>
      <c r="T120" s="13" t="n"/>
      <c r="U120" s="16">
        <f>IF(AND(ISNUMBER(O120),ISNUMBER(P120)),ROUND(SQRT(((P120-J120)*111320*COS(RADIANS(I120)))^2+((O120-I120)*110540)^2),0),"")</f>
        <v/>
      </c>
      <c r="V120" s="17">
        <f>IF(N120="","",IF(N120="Sửa vị trí",IF(OR(O120="",P120=""),"Thiếu vĩ độ / kinh độ mới",IF(OR(O120&lt;12.5,O120&gt;15,P120&lt;107,P120&gt;109.6),"Toạ độ ngoài Gia Lai (đảo vĩ/kinh độ?)",IF(Q120="","Chọn cách xác định",IF(U120&gt;20000,"Dời hơn 20 km – kiểm tra lại","OK")))),IF(AND(N120&lt;&gt;"Sửa vị trí",OR(O120&lt;&gt;"",P120&lt;&gt;"")),"Có toạ độ mới nhưng kết quả không phải Sửa vị trí","OK")))</f>
        <v/>
      </c>
    </row>
    <row r="121">
      <c r="A121" s="9" t="n">
        <v>117</v>
      </c>
      <c r="B121" s="9" t="inlineStr">
        <is>
          <t>f79aa199-0c72-4b8a-bd65-6a2ee99ce0b0</t>
        </is>
      </c>
      <c r="C121" s="9" t="inlineStr">
        <is>
          <t>Thấp</t>
        </is>
      </c>
      <c r="D121" s="10" t="inlineStr">
        <is>
          <t>ATM PGD Pleiku (MB)</t>
        </is>
      </c>
      <c r="E121" s="9" t="inlineStr">
        <is>
          <t>ATM</t>
        </is>
      </c>
      <c r="F121" s="9" t="inlineStr">
        <is>
          <t>Trang bản đồ MB</t>
        </is>
      </c>
      <c r="G121" s="10" t="inlineStr">
        <is>
          <t>Số 145 đường Nguyễn Tất Thành, phường Thống Nhất, tỉnh Gia Lai, Phường Pleiku, Gia Lai</t>
        </is>
      </c>
      <c r="H121" s="9" t="inlineStr">
        <is>
          <t>Phường Pleiku</t>
        </is>
      </c>
      <c r="I121" s="11" t="n">
        <v>13.97867</v>
      </c>
      <c r="J121" s="11" t="n">
        <v>108.012436</v>
      </c>
      <c r="K121" s="9" t="inlineStr">
        <is>
          <t>Đã đối chiếu</t>
        </is>
      </c>
      <c r="L121" s="10" t="n"/>
      <c r="M121" s="12" t="inlineStr">
        <is>
          <t>Bản đồ</t>
        </is>
      </c>
      <c r="N121" s="13" t="n"/>
      <c r="O121" s="14" t="n"/>
      <c r="P121" s="14" t="n"/>
      <c r="Q121" s="13" t="n"/>
      <c r="R121" s="15" t="n"/>
      <c r="S121" s="13" t="n"/>
      <c r="T121" s="13" t="n"/>
      <c r="U121" s="16">
        <f>IF(AND(ISNUMBER(O121),ISNUMBER(P121)),ROUND(SQRT(((P121-J121)*111320*COS(RADIANS(I121)))^2+((O121-I121)*110540)^2),0),"")</f>
        <v/>
      </c>
      <c r="V121" s="17">
        <f>IF(N121="","",IF(N121="Sửa vị trí",IF(OR(O121="",P121=""),"Thiếu vĩ độ / kinh độ mới",IF(OR(O121&lt;12.5,O121&gt;15,P121&lt;107,P121&gt;109.6),"Toạ độ ngoài Gia Lai (đảo vĩ/kinh độ?)",IF(Q121="","Chọn cách xác định",IF(U121&gt;20000,"Dời hơn 20 km – kiểm tra lại","OK")))),IF(AND(N121&lt;&gt;"Sửa vị trí",OR(O121&lt;&gt;"",P121&lt;&gt;"")),"Có toạ độ mới nhưng kết quả không phải Sửa vị trí","OK")))</f>
        <v/>
      </c>
    </row>
    <row r="122">
      <c r="A122" s="9" t="n">
        <v>118</v>
      </c>
      <c r="B122" s="9" t="inlineStr">
        <is>
          <t>a22f746f-7703-dee1-c678-728078ec3b9c</t>
        </is>
      </c>
      <c r="C122" s="9" t="inlineStr">
        <is>
          <t>Thấp</t>
        </is>
      </c>
      <c r="D122" s="10" t="inlineStr">
        <is>
          <t>ATM Vietcombank – BENH VIEN TINH</t>
        </is>
      </c>
      <c r="E122" s="9" t="inlineStr">
        <is>
          <t>ATM</t>
        </is>
      </c>
      <c r="F122" s="9" t="inlineStr">
        <is>
          <t>Website Vietcombank</t>
        </is>
      </c>
      <c r="G122" s="10" t="inlineStr">
        <is>
          <t>132 Tôn Thất Tùng, phường Pleiku, Gia Lai, Phường Pleiku, Gia Lai</t>
        </is>
      </c>
      <c r="H122" s="9" t="inlineStr">
        <is>
          <t>Phường Pleiku</t>
        </is>
      </c>
      <c r="I122" s="11" t="n">
        <v>13.98391</v>
      </c>
      <c r="J122" s="11" t="n">
        <v>108.028153</v>
      </c>
      <c r="K122" s="9" t="inlineStr">
        <is>
          <t>Đã đối chiếu</t>
        </is>
      </c>
      <c r="L122" s="10" t="n"/>
      <c r="M122" s="12" t="inlineStr">
        <is>
          <t>Bản đồ</t>
        </is>
      </c>
      <c r="N122" s="13" t="n"/>
      <c r="O122" s="14" t="n"/>
      <c r="P122" s="14" t="n"/>
      <c r="Q122" s="13" t="n"/>
      <c r="R122" s="15" t="n"/>
      <c r="S122" s="13" t="n"/>
      <c r="T122" s="13" t="n"/>
      <c r="U122" s="16">
        <f>IF(AND(ISNUMBER(O122),ISNUMBER(P122)),ROUND(SQRT(((P122-J122)*111320*COS(RADIANS(I122)))^2+((O122-I122)*110540)^2),0),"")</f>
        <v/>
      </c>
      <c r="V122" s="17">
        <f>IF(N122="","",IF(N122="Sửa vị trí",IF(OR(O122="",P122=""),"Thiếu vĩ độ / kinh độ mới",IF(OR(O122&lt;12.5,O122&gt;15,P122&lt;107,P122&gt;109.6),"Toạ độ ngoài Gia Lai (đảo vĩ/kinh độ?)",IF(Q122="","Chọn cách xác định",IF(U122&gt;20000,"Dời hơn 20 km – kiểm tra lại","OK")))),IF(AND(N122&lt;&gt;"Sửa vị trí",OR(O122&lt;&gt;"",P122&lt;&gt;"")),"Có toạ độ mới nhưng kết quả không phải Sửa vị trí","OK")))</f>
        <v/>
      </c>
    </row>
    <row r="123">
      <c r="A123" s="9" t="n">
        <v>119</v>
      </c>
      <c r="B123" s="9" t="inlineStr">
        <is>
          <t>e109d507-c649-f0fc-b4b3-7abddf6211cd</t>
        </is>
      </c>
      <c r="C123" s="9" t="inlineStr">
        <is>
          <t>Thấp</t>
        </is>
      </c>
      <c r="D123" s="10" t="inlineStr">
        <is>
          <t>ATM Vietcombank – BƯU ĐIỆN TỈNH</t>
        </is>
      </c>
      <c r="E123" s="9" t="inlineStr">
        <is>
          <t>ATM</t>
        </is>
      </c>
      <c r="F123" s="9" t="inlineStr">
        <is>
          <t>Website Vietcombank</t>
        </is>
      </c>
      <c r="G123" s="10" t="inlineStr">
        <is>
          <t>69 Hùng Vương, phường Pleiku, Gia Lai, Phường Pleiku, Gia Lai</t>
        </is>
      </c>
      <c r="H123" s="9" t="inlineStr">
        <is>
          <t>Phường Pleiku</t>
        </is>
      </c>
      <c r="I123" s="11" t="n">
        <v>13.977266</v>
      </c>
      <c r="J123" s="11" t="n">
        <v>108.001279</v>
      </c>
      <c r="K123" s="9" t="inlineStr">
        <is>
          <t>Đã đối chiếu</t>
        </is>
      </c>
      <c r="L123" s="10" t="n"/>
      <c r="M123" s="12" t="inlineStr">
        <is>
          <t>Bản đồ</t>
        </is>
      </c>
      <c r="N123" s="13" t="n"/>
      <c r="O123" s="14" t="n"/>
      <c r="P123" s="14" t="n"/>
      <c r="Q123" s="13" t="n"/>
      <c r="R123" s="15" t="n"/>
      <c r="S123" s="13" t="n"/>
      <c r="T123" s="13" t="n"/>
      <c r="U123" s="16">
        <f>IF(AND(ISNUMBER(O123),ISNUMBER(P123)),ROUND(SQRT(((P123-J123)*111320*COS(RADIANS(I123)))^2+((O123-I123)*110540)^2),0),"")</f>
        <v/>
      </c>
      <c r="V123" s="17">
        <f>IF(N123="","",IF(N123="Sửa vị trí",IF(OR(O123="",P123=""),"Thiếu vĩ độ / kinh độ mới",IF(OR(O123&lt;12.5,O123&gt;15,P123&lt;107,P123&gt;109.6),"Toạ độ ngoài Gia Lai (đảo vĩ/kinh độ?)",IF(Q123="","Chọn cách xác định",IF(U123&gt;20000,"Dời hơn 20 km – kiểm tra lại","OK")))),IF(AND(N123&lt;&gt;"Sửa vị trí",OR(O123&lt;&gt;"",P123&lt;&gt;"")),"Có toạ độ mới nhưng kết quả không phải Sửa vị trí","OK")))</f>
        <v/>
      </c>
    </row>
    <row r="124">
      <c r="A124" s="9" t="n">
        <v>120</v>
      </c>
      <c r="B124" s="9" t="inlineStr">
        <is>
          <t>a3c595a1-e0bc-9a1c-d114-11a073b0da17</t>
        </is>
      </c>
      <c r="C124" s="9" t="inlineStr">
        <is>
          <t>Thấp</t>
        </is>
      </c>
      <c r="D124" s="10" t="inlineStr">
        <is>
          <t>ATM Vietcombank – BỆNH VIỆN NHI</t>
        </is>
      </c>
      <c r="E124" s="9" t="inlineStr">
        <is>
          <t>ATM</t>
        </is>
      </c>
      <c r="F124" s="9" t="inlineStr">
        <is>
          <t>Website Vietcombank</t>
        </is>
      </c>
      <c r="G124" s="10" t="inlineStr">
        <is>
          <t>Thôn 6, phường Pleiku, Gia Lai, Phường Pleiku, Gia Lai</t>
        </is>
      </c>
      <c r="H124" s="9" t="inlineStr">
        <is>
          <t>Phường Pleiku</t>
        </is>
      </c>
      <c r="I124" s="11" t="n">
        <v>13.98981</v>
      </c>
      <c r="J124" s="11" t="n">
        <v>108.04188</v>
      </c>
      <c r="K124" s="9" t="inlineStr">
        <is>
          <t>Đã đối chiếu</t>
        </is>
      </c>
      <c r="L124" s="10" t="n"/>
      <c r="M124" s="12" t="inlineStr">
        <is>
          <t>Bản đồ</t>
        </is>
      </c>
      <c r="N124" s="13" t="n"/>
      <c r="O124" s="14" t="n"/>
      <c r="P124" s="14" t="n"/>
      <c r="Q124" s="13" t="n"/>
      <c r="R124" s="15" t="n"/>
      <c r="S124" s="13" t="n"/>
      <c r="T124" s="13" t="n"/>
      <c r="U124" s="16">
        <f>IF(AND(ISNUMBER(O124),ISNUMBER(P124)),ROUND(SQRT(((P124-J124)*111320*COS(RADIANS(I124)))^2+((O124-I124)*110540)^2),0),"")</f>
        <v/>
      </c>
      <c r="V124" s="17">
        <f>IF(N124="","",IF(N124="Sửa vị trí",IF(OR(O124="",P124=""),"Thiếu vĩ độ / kinh độ mới",IF(OR(O124&lt;12.5,O124&gt;15,P124&lt;107,P124&gt;109.6),"Toạ độ ngoài Gia Lai (đảo vĩ/kinh độ?)",IF(Q124="","Chọn cách xác định",IF(U124&gt;20000,"Dời hơn 20 km – kiểm tra lại","OK")))),IF(AND(N124&lt;&gt;"Sửa vị trí",OR(O124&lt;&gt;"",P124&lt;&gt;"")),"Có toạ độ mới nhưng kết quả không phải Sửa vị trí","OK")))</f>
        <v/>
      </c>
    </row>
    <row r="125">
      <c r="A125" s="9" t="n">
        <v>121</v>
      </c>
      <c r="B125" s="9" t="inlineStr">
        <is>
          <t>003e8d4a-af90-a65b-a383-4fb9ac222068</t>
        </is>
      </c>
      <c r="C125" s="9" t="inlineStr">
        <is>
          <t>Thấp</t>
        </is>
      </c>
      <c r="D125" s="10" t="inlineStr">
        <is>
          <t>ATM Vietcombank – KS MƯỜNG THANH</t>
        </is>
      </c>
      <c r="E125" s="9" t="inlineStr">
        <is>
          <t>ATM</t>
        </is>
      </c>
      <c r="F125" s="9" t="inlineStr">
        <is>
          <t>Website Vietcombank</t>
        </is>
      </c>
      <c r="G125" s="10" t="inlineStr">
        <is>
          <t>01 Phù Đổng, P.Pleiku, Gia Lai, Phường Pleiku, Gia Lai</t>
        </is>
      </c>
      <c r="H125" s="9" t="inlineStr">
        <is>
          <t>Phường Pleiku</t>
        </is>
      </c>
      <c r="I125" s="11" t="n">
        <v>13.97227</v>
      </c>
      <c r="J125" s="11" t="n">
        <v>108.014785</v>
      </c>
      <c r="K125" s="9" t="inlineStr">
        <is>
          <t>Đã đối chiếu</t>
        </is>
      </c>
      <c r="L125" s="10" t="n"/>
      <c r="M125" s="12" t="inlineStr">
        <is>
          <t>Bản đồ</t>
        </is>
      </c>
      <c r="N125" s="13" t="n"/>
      <c r="O125" s="14" t="n"/>
      <c r="P125" s="14" t="n"/>
      <c r="Q125" s="13" t="n"/>
      <c r="R125" s="15" t="n"/>
      <c r="S125" s="13" t="n"/>
      <c r="T125" s="13" t="n"/>
      <c r="U125" s="16">
        <f>IF(AND(ISNUMBER(O125),ISNUMBER(P125)),ROUND(SQRT(((P125-J125)*111320*COS(RADIANS(I125)))^2+((O125-I125)*110540)^2),0),"")</f>
        <v/>
      </c>
      <c r="V125" s="17">
        <f>IF(N125="","",IF(N125="Sửa vị trí",IF(OR(O125="",P125=""),"Thiếu vĩ độ / kinh độ mới",IF(OR(O125&lt;12.5,O125&gt;15,P125&lt;107,P125&gt;109.6),"Toạ độ ngoài Gia Lai (đảo vĩ/kinh độ?)",IF(Q125="","Chọn cách xác định",IF(U125&gt;20000,"Dời hơn 20 km – kiểm tra lại","OK")))),IF(AND(N125&lt;&gt;"Sửa vị trí",OR(O125&lt;&gt;"",P125&lt;&gt;"")),"Có toạ độ mới nhưng kết quả không phải Sửa vị trí","OK")))</f>
        <v/>
      </c>
    </row>
    <row r="126">
      <c r="A126" s="9" t="n">
        <v>122</v>
      </c>
      <c r="B126" s="9" t="inlineStr">
        <is>
          <t>63623d2a-8c15-e936-ac35-5f8234f89ac6</t>
        </is>
      </c>
      <c r="C126" s="9" t="inlineStr">
        <is>
          <t>Thấp</t>
        </is>
      </c>
      <c r="D126" s="10" t="inlineStr">
        <is>
          <t>ATM Vietcombank – KS PLEIKU</t>
        </is>
      </c>
      <c r="E126" s="9" t="inlineStr">
        <is>
          <t>ATM</t>
        </is>
      </c>
      <c r="F126" s="9" t="inlineStr">
        <is>
          <t>Website Vietcombank</t>
        </is>
      </c>
      <c r="G126" s="10" t="inlineStr">
        <is>
          <t>03 NguyễnTất Thành, phường Pleiku, Gia Lai, Phường Pleiku, Gia Lai</t>
        </is>
      </c>
      <c r="H126" s="9" t="inlineStr">
        <is>
          <t>Phường Pleiku</t>
        </is>
      </c>
      <c r="I126" s="11" t="n">
        <v>13.985277</v>
      </c>
      <c r="J126" s="11" t="n">
        <v>108.007542</v>
      </c>
      <c r="K126" s="9" t="inlineStr">
        <is>
          <t>Đã đối chiếu</t>
        </is>
      </c>
      <c r="L126" s="10" t="n"/>
      <c r="M126" s="12" t="inlineStr">
        <is>
          <t>Bản đồ</t>
        </is>
      </c>
      <c r="N126" s="13" t="n"/>
      <c r="O126" s="14" t="n"/>
      <c r="P126" s="14" t="n"/>
      <c r="Q126" s="13" t="n"/>
      <c r="R126" s="15" t="n"/>
      <c r="S126" s="13" t="n"/>
      <c r="T126" s="13" t="n"/>
      <c r="U126" s="16">
        <f>IF(AND(ISNUMBER(O126),ISNUMBER(P126)),ROUND(SQRT(((P126-J126)*111320*COS(RADIANS(I126)))^2+((O126-I126)*110540)^2),0),"")</f>
        <v/>
      </c>
      <c r="V126" s="17">
        <f>IF(N126="","",IF(N126="Sửa vị trí",IF(OR(O126="",P126=""),"Thiếu vĩ độ / kinh độ mới",IF(OR(O126&lt;12.5,O126&gt;15,P126&lt;107,P126&gt;109.6),"Toạ độ ngoài Gia Lai (đảo vĩ/kinh độ?)",IF(Q126="","Chọn cách xác định",IF(U126&gt;20000,"Dời hơn 20 km – kiểm tra lại","OK")))),IF(AND(N126&lt;&gt;"Sửa vị trí",OR(O126&lt;&gt;"",P126&lt;&gt;"")),"Có toạ độ mới nhưng kết quả không phải Sửa vị trí","OK")))</f>
        <v/>
      </c>
    </row>
    <row r="127">
      <c r="A127" s="9" t="n">
        <v>123</v>
      </c>
      <c r="B127" s="9" t="inlineStr">
        <is>
          <t>a371a9d3-c18f-dd91-d380-e43c95b54c3c</t>
        </is>
      </c>
      <c r="C127" s="9" t="inlineStr">
        <is>
          <t>Thấp</t>
        </is>
      </c>
      <c r="D127" s="10" t="inlineStr">
        <is>
          <t>ATM Vietcombank – PGD HOA LƯ</t>
        </is>
      </c>
      <c r="E127" s="9" t="inlineStr">
        <is>
          <t>ATM</t>
        </is>
      </c>
      <c r="F127" s="9" t="inlineStr">
        <is>
          <t>Website Vietcombank</t>
        </is>
      </c>
      <c r="G127" s="10" t="inlineStr">
        <is>
          <t>56 Nguyễn Tất Thành, phường Pleiku, Gia Lai, Phường Pleiku, Gia Lai</t>
        </is>
      </c>
      <c r="H127" s="9" t="inlineStr">
        <is>
          <t>Phường Pleiku</t>
        </is>
      </c>
      <c r="I127" s="11" t="n">
        <v>13.982082</v>
      </c>
      <c r="J127" s="11" t="n">
        <v>108.009435</v>
      </c>
      <c r="K127" s="9" t="inlineStr">
        <is>
          <t>Đã đối chiếu</t>
        </is>
      </c>
      <c r="L127" s="10" t="n"/>
      <c r="M127" s="12" t="inlineStr">
        <is>
          <t>Bản đồ</t>
        </is>
      </c>
      <c r="N127" s="13" t="n"/>
      <c r="O127" s="14" t="n"/>
      <c r="P127" s="14" t="n"/>
      <c r="Q127" s="13" t="n"/>
      <c r="R127" s="15" t="n"/>
      <c r="S127" s="13" t="n"/>
      <c r="T127" s="13" t="n"/>
      <c r="U127" s="16">
        <f>IF(AND(ISNUMBER(O127),ISNUMBER(P127)),ROUND(SQRT(((P127-J127)*111320*COS(RADIANS(I127)))^2+((O127-I127)*110540)^2),0),"")</f>
        <v/>
      </c>
      <c r="V127" s="17">
        <f>IF(N127="","",IF(N127="Sửa vị trí",IF(OR(O127="",P127=""),"Thiếu vĩ độ / kinh độ mới",IF(OR(O127&lt;12.5,O127&gt;15,P127&lt;107,P127&gt;109.6),"Toạ độ ngoài Gia Lai (đảo vĩ/kinh độ?)",IF(Q127="","Chọn cách xác định",IF(U127&gt;20000,"Dời hơn 20 km – kiểm tra lại","OK")))),IF(AND(N127&lt;&gt;"Sửa vị trí",OR(O127&lt;&gt;"",P127&lt;&gt;"")),"Có toạ độ mới nhưng kết quả không phải Sửa vị trí","OK")))</f>
        <v/>
      </c>
    </row>
    <row r="128">
      <c r="A128" s="9" t="n">
        <v>124</v>
      </c>
      <c r="B128" s="9" t="inlineStr">
        <is>
          <t>f95589a9-c9dd-69ca-3630-25d0dc53cf84</t>
        </is>
      </c>
      <c r="C128" s="9" t="inlineStr">
        <is>
          <t>Thấp</t>
        </is>
      </c>
      <c r="D128" s="10" t="inlineStr">
        <is>
          <t>ATM Vietcombank – SIÊU THỊ COOP-MART</t>
        </is>
      </c>
      <c r="E128" s="9" t="inlineStr">
        <is>
          <t>ATM</t>
        </is>
      </c>
      <c r="F128" s="9" t="inlineStr">
        <is>
          <t>Website Vietcombank</t>
        </is>
      </c>
      <c r="G128" s="10" t="inlineStr">
        <is>
          <t>21 Cách Mạng, phường Pleiku, Gia Lai, Phường Pleiku, Gia Lai</t>
        </is>
      </c>
      <c r="H128" s="9" t="inlineStr">
        <is>
          <t>Phường Pleiku</t>
        </is>
      </c>
      <c r="I128" s="11" t="n">
        <v>13.988047</v>
      </c>
      <c r="J128" s="11" t="n">
        <v>108.008083</v>
      </c>
      <c r="K128" s="9" t="inlineStr">
        <is>
          <t>Đã đối chiếu</t>
        </is>
      </c>
      <c r="L128" s="10" t="n"/>
      <c r="M128" s="12" t="inlineStr">
        <is>
          <t>Bản đồ</t>
        </is>
      </c>
      <c r="N128" s="13" t="n"/>
      <c r="O128" s="14" t="n"/>
      <c r="P128" s="14" t="n"/>
      <c r="Q128" s="13" t="n"/>
      <c r="R128" s="15" t="n"/>
      <c r="S128" s="13" t="n"/>
      <c r="T128" s="13" t="n"/>
      <c r="U128" s="16">
        <f>IF(AND(ISNUMBER(O128),ISNUMBER(P128)),ROUND(SQRT(((P128-J128)*111320*COS(RADIANS(I128)))^2+((O128-I128)*110540)^2),0),"")</f>
        <v/>
      </c>
      <c r="V128" s="17">
        <f>IF(N128="","",IF(N128="Sửa vị trí",IF(OR(O128="",P128=""),"Thiếu vĩ độ / kinh độ mới",IF(OR(O128&lt;12.5,O128&gt;15,P128&lt;107,P128&gt;109.6),"Toạ độ ngoài Gia Lai (đảo vĩ/kinh độ?)",IF(Q128="","Chọn cách xác định",IF(U128&gt;20000,"Dời hơn 20 km – kiểm tra lại","OK")))),IF(AND(N128&lt;&gt;"Sửa vị trí",OR(O128&lt;&gt;"",P128&lt;&gt;"")),"Có toạ độ mới nhưng kết quả không phải Sửa vị trí","OK")))</f>
        <v/>
      </c>
    </row>
    <row r="129">
      <c r="A129" s="9" t="n">
        <v>125</v>
      </c>
      <c r="B129" s="9" t="inlineStr">
        <is>
          <t>6059f783-9137-c042-dc0f-b38cb955122f</t>
        </is>
      </c>
      <c r="C129" s="9" t="inlineStr">
        <is>
          <t>Thấp</t>
        </is>
      </c>
      <c r="D129" s="10" t="inlineStr">
        <is>
          <t>ATM Vietcombank – TRỤ SỞ VCB</t>
        </is>
      </c>
      <c r="E129" s="9" t="inlineStr">
        <is>
          <t>ATM</t>
        </is>
      </c>
      <c r="F129" s="9" t="inlineStr">
        <is>
          <t>Website Vietcombank</t>
        </is>
      </c>
      <c r="G129" s="10" t="inlineStr">
        <is>
          <t>33 Quang Trung, phường Pleiku, Gia Lai, Phường Pleiku, Gia Lai</t>
        </is>
      </c>
      <c r="H129" s="9" t="inlineStr">
        <is>
          <t>Phường Pleiku</t>
        </is>
      </c>
      <c r="I129" s="11" t="n">
        <v>13.97712</v>
      </c>
      <c r="J129" s="11" t="n">
        <v>108.005601</v>
      </c>
      <c r="K129" s="9" t="inlineStr">
        <is>
          <t>Đã đối chiếu</t>
        </is>
      </c>
      <c r="L129" s="10" t="n"/>
      <c r="M129" s="12" t="inlineStr">
        <is>
          <t>Bản đồ</t>
        </is>
      </c>
      <c r="N129" s="13" t="n"/>
      <c r="O129" s="14" t="n"/>
      <c r="P129" s="14" t="n"/>
      <c r="Q129" s="13" t="n"/>
      <c r="R129" s="15" t="n"/>
      <c r="S129" s="13" t="n"/>
      <c r="T129" s="13" t="n"/>
      <c r="U129" s="16">
        <f>IF(AND(ISNUMBER(O129),ISNUMBER(P129)),ROUND(SQRT(((P129-J129)*111320*COS(RADIANS(I129)))^2+((O129-I129)*110540)^2),0),"")</f>
        <v/>
      </c>
      <c r="V129" s="17">
        <f>IF(N129="","",IF(N129="Sửa vị trí",IF(OR(O129="",P129=""),"Thiếu vĩ độ / kinh độ mới",IF(OR(O129&lt;12.5,O129&gt;15,P129&lt;107,P129&gt;109.6),"Toạ độ ngoài Gia Lai (đảo vĩ/kinh độ?)",IF(Q129="","Chọn cách xác định",IF(U129&gt;20000,"Dời hơn 20 km – kiểm tra lại","OK")))),IF(AND(N129&lt;&gt;"Sửa vị trí",OR(O129&lt;&gt;"",P129&lt;&gt;"")),"Có toạ độ mới nhưng kết quả không phải Sửa vị trí","OK")))</f>
        <v/>
      </c>
    </row>
    <row r="130">
      <c r="A130" s="9" t="n">
        <v>126</v>
      </c>
      <c r="B130" s="9" t="inlineStr">
        <is>
          <t>3be4f233-bdfb-a8a2-2da2-017389d7539e</t>
        </is>
      </c>
      <c r="C130" s="9" t="inlineStr">
        <is>
          <t>Thấp</t>
        </is>
      </c>
      <c r="D130" s="10" t="inlineStr">
        <is>
          <t>CRM CN Gia Lai (MB)</t>
        </is>
      </c>
      <c r="E130" s="9" t="inlineStr">
        <is>
          <t>ATM</t>
        </is>
      </c>
      <c r="F130" s="9" t="inlineStr">
        <is>
          <t>Trang bản đồ MB</t>
        </is>
      </c>
      <c r="G130" s="10" t="inlineStr">
        <is>
          <t>Số 8 đường Lê Lai, phường Thống Nhất, tỉnh Gia Lai, Phường Pleiku, Gia Lai</t>
        </is>
      </c>
      <c r="H130" s="9" t="inlineStr">
        <is>
          <t>Phường Pleiku</t>
        </is>
      </c>
      <c r="I130" s="11" t="n">
        <v>13.978451</v>
      </c>
      <c r="J130" s="11" t="n">
        <v>107.999191</v>
      </c>
      <c r="K130" s="9" t="inlineStr">
        <is>
          <t>Đã đối chiếu</t>
        </is>
      </c>
      <c r="L130" s="10" t="n"/>
      <c r="M130" s="12" t="inlineStr">
        <is>
          <t>Bản đồ</t>
        </is>
      </c>
      <c r="N130" s="13" t="n"/>
      <c r="O130" s="14" t="n"/>
      <c r="P130" s="14" t="n"/>
      <c r="Q130" s="13" t="n"/>
      <c r="R130" s="15" t="n"/>
      <c r="S130" s="13" t="n"/>
      <c r="T130" s="13" t="n"/>
      <c r="U130" s="16">
        <f>IF(AND(ISNUMBER(O130),ISNUMBER(P130)),ROUND(SQRT(((P130-J130)*111320*COS(RADIANS(I130)))^2+((O130-I130)*110540)^2),0),"")</f>
        <v/>
      </c>
      <c r="V130" s="17">
        <f>IF(N130="","",IF(N130="Sửa vị trí",IF(OR(O130="",P130=""),"Thiếu vĩ độ / kinh độ mới",IF(OR(O130&lt;12.5,O130&gt;15,P130&lt;107,P130&gt;109.6),"Toạ độ ngoài Gia Lai (đảo vĩ/kinh độ?)",IF(Q130="","Chọn cách xác định",IF(U130&gt;20000,"Dời hơn 20 km – kiểm tra lại","OK")))),IF(AND(N130&lt;&gt;"Sửa vị trí",OR(O130&lt;&gt;"",P130&lt;&gt;"")),"Có toạ độ mới nhưng kết quả không phải Sửa vị trí","OK")))</f>
        <v/>
      </c>
    </row>
    <row r="131">
      <c r="A131" s="9" t="n">
        <v>127</v>
      </c>
      <c r="B131" s="9" t="inlineStr">
        <is>
          <t>955a572d-2098-cf4b-12cb-21328af9ba92</t>
        </is>
      </c>
      <c r="C131" s="9" t="inlineStr">
        <is>
          <t>Thấp</t>
        </is>
      </c>
      <c r="D131" s="10" t="inlineStr">
        <is>
          <t>R-ATM Vietcombank – Gia Lai- SIÊU THỊ COOP-MART</t>
        </is>
      </c>
      <c r="E131" s="9" t="inlineStr">
        <is>
          <t>ATM</t>
        </is>
      </c>
      <c r="F131" s="9" t="inlineStr">
        <is>
          <t>Website Vietcombank</t>
        </is>
      </c>
      <c r="G131" s="10" t="inlineStr">
        <is>
          <t>21 CÁCH MẠNG P.PLEIKU GIA LAI, Phường Pleiku, Gia Lai</t>
        </is>
      </c>
      <c r="H131" s="9" t="inlineStr">
        <is>
          <t>Phường Pleiku</t>
        </is>
      </c>
      <c r="I131" s="11" t="n">
        <v>13.988047</v>
      </c>
      <c r="J131" s="11" t="n">
        <v>108.008083</v>
      </c>
      <c r="K131" s="9" t="inlineStr">
        <is>
          <t>Đã đối chiếu</t>
        </is>
      </c>
      <c r="L131" s="10" t="n"/>
      <c r="M131" s="12" t="inlineStr">
        <is>
          <t>Bản đồ</t>
        </is>
      </c>
      <c r="N131" s="13" t="n"/>
      <c r="O131" s="14" t="n"/>
      <c r="P131" s="14" t="n"/>
      <c r="Q131" s="13" t="n"/>
      <c r="R131" s="15" t="n"/>
      <c r="S131" s="13" t="n"/>
      <c r="T131" s="13" t="n"/>
      <c r="U131" s="16">
        <f>IF(AND(ISNUMBER(O131),ISNUMBER(P131)),ROUND(SQRT(((P131-J131)*111320*COS(RADIANS(I131)))^2+((O131-I131)*110540)^2),0),"")</f>
        <v/>
      </c>
      <c r="V131" s="17">
        <f>IF(N131="","",IF(N131="Sửa vị trí",IF(OR(O131="",P131=""),"Thiếu vĩ độ / kinh độ mới",IF(OR(O131&lt;12.5,O131&gt;15,P131&lt;107,P131&gt;109.6),"Toạ độ ngoài Gia Lai (đảo vĩ/kinh độ?)",IF(Q131="","Chọn cách xác định",IF(U131&gt;20000,"Dời hơn 20 km – kiểm tra lại","OK")))),IF(AND(N131&lt;&gt;"Sửa vị trí",OR(O131&lt;&gt;"",P131&lt;&gt;"")),"Có toạ độ mới nhưng kết quả không phải Sửa vị trí","OK")))</f>
        <v/>
      </c>
    </row>
    <row r="132">
      <c r="A132" s="9" t="n">
        <v>128</v>
      </c>
      <c r="B132" s="9" t="inlineStr">
        <is>
          <t>fd671555-84af-c54f-7d8f-360b5f575bc0</t>
        </is>
      </c>
      <c r="C132" s="9" t="inlineStr">
        <is>
          <t>Thấp</t>
        </is>
      </c>
      <c r="D132" s="10" t="inlineStr">
        <is>
          <t>R-ATM Vietcombank – PGD HOA LƯ</t>
        </is>
      </c>
      <c r="E132" s="9" t="inlineStr">
        <is>
          <t>ATM</t>
        </is>
      </c>
      <c r="F132" s="9" t="inlineStr">
        <is>
          <t>Website Vietcombank</t>
        </is>
      </c>
      <c r="G132" s="10" t="inlineStr">
        <is>
          <t>56 NGUYỄN TẤT THÀNH P.PLEIKU GIA LAI, Phường Pleiku, Gia Lai</t>
        </is>
      </c>
      <c r="H132" s="9" t="inlineStr">
        <is>
          <t>Phường Pleiku</t>
        </is>
      </c>
      <c r="I132" s="11" t="n">
        <v>13.982082</v>
      </c>
      <c r="J132" s="11" t="n">
        <v>108.009435</v>
      </c>
      <c r="K132" s="9" t="inlineStr">
        <is>
          <t>Đã đối chiếu</t>
        </is>
      </c>
      <c r="L132" s="10" t="n"/>
      <c r="M132" s="12" t="inlineStr">
        <is>
          <t>Bản đồ</t>
        </is>
      </c>
      <c r="N132" s="13" t="n"/>
      <c r="O132" s="14" t="n"/>
      <c r="P132" s="14" t="n"/>
      <c r="Q132" s="13" t="n"/>
      <c r="R132" s="15" t="n"/>
      <c r="S132" s="13" t="n"/>
      <c r="T132" s="13" t="n"/>
      <c r="U132" s="16">
        <f>IF(AND(ISNUMBER(O132),ISNUMBER(P132)),ROUND(SQRT(((P132-J132)*111320*COS(RADIANS(I132)))^2+((O132-I132)*110540)^2),0),"")</f>
        <v/>
      </c>
      <c r="V132" s="17">
        <f>IF(N132="","",IF(N132="Sửa vị trí",IF(OR(O132="",P132=""),"Thiếu vĩ độ / kinh độ mới",IF(OR(O132&lt;12.5,O132&gt;15,P132&lt;107,P132&gt;109.6),"Toạ độ ngoài Gia Lai (đảo vĩ/kinh độ?)",IF(Q132="","Chọn cách xác định",IF(U132&gt;20000,"Dời hơn 20 km – kiểm tra lại","OK")))),IF(AND(N132&lt;&gt;"Sửa vị trí",OR(O132&lt;&gt;"",P132&lt;&gt;"")),"Có toạ độ mới nhưng kết quả không phải Sửa vị trí","OK")))</f>
        <v/>
      </c>
    </row>
    <row r="133">
      <c r="A133" s="9" t="n">
        <v>129</v>
      </c>
      <c r="B133" s="9" t="inlineStr">
        <is>
          <t>bdc5f33f-3b22-7625-445a-0e925c7ace41</t>
        </is>
      </c>
      <c r="C133" s="9" t="inlineStr">
        <is>
          <t>Thấp</t>
        </is>
      </c>
      <c r="D133" s="10" t="inlineStr">
        <is>
          <t>R-ATM Vietcombank – TRỤ SỞ VCB</t>
        </is>
      </c>
      <c r="E133" s="9" t="inlineStr">
        <is>
          <t>ATM</t>
        </is>
      </c>
      <c r="F133" s="9" t="inlineStr">
        <is>
          <t>Website Vietcombank</t>
        </is>
      </c>
      <c r="G133" s="10" t="inlineStr">
        <is>
          <t>33 QUANG TRUNG P.PLEIKU GIA LAI, Phường Pleiku, Gia Lai</t>
        </is>
      </c>
      <c r="H133" s="9" t="inlineStr">
        <is>
          <t>Phường Pleiku</t>
        </is>
      </c>
      <c r="I133" s="11" t="n">
        <v>13.97712</v>
      </c>
      <c r="J133" s="11" t="n">
        <v>108.005601</v>
      </c>
      <c r="K133" s="9" t="inlineStr">
        <is>
          <t>Đã đối chiếu</t>
        </is>
      </c>
      <c r="L133" s="10" t="n"/>
      <c r="M133" s="12" t="inlineStr">
        <is>
          <t>Bản đồ</t>
        </is>
      </c>
      <c r="N133" s="13" t="n"/>
      <c r="O133" s="14" t="n"/>
      <c r="P133" s="14" t="n"/>
      <c r="Q133" s="13" t="n"/>
      <c r="R133" s="15" t="n"/>
      <c r="S133" s="13" t="n"/>
      <c r="T133" s="13" t="n"/>
      <c r="U133" s="16">
        <f>IF(AND(ISNUMBER(O133),ISNUMBER(P133)),ROUND(SQRT(((P133-J133)*111320*COS(RADIANS(I133)))^2+((O133-I133)*110540)^2),0),"")</f>
        <v/>
      </c>
      <c r="V133" s="17">
        <f>IF(N133="","",IF(N133="Sửa vị trí",IF(OR(O133="",P133=""),"Thiếu vĩ độ / kinh độ mới",IF(OR(O133&lt;12.5,O133&gt;15,P133&lt;107,P133&gt;109.6),"Toạ độ ngoài Gia Lai (đảo vĩ/kinh độ?)",IF(Q133="","Chọn cách xác định",IF(U133&gt;20000,"Dời hơn 20 km – kiểm tra lại","OK")))),IF(AND(N133&lt;&gt;"Sửa vị trí",OR(O133&lt;&gt;"",P133&lt;&gt;"")),"Có toạ độ mới nhưng kết quả không phải Sửa vị trí","OK")))</f>
        <v/>
      </c>
    </row>
    <row r="134">
      <c r="A134" s="9" t="n">
        <v>130</v>
      </c>
      <c r="B134" s="9" t="inlineStr">
        <is>
          <t>58cb1456-6f47-005d-c067-e3bc697c312f</t>
        </is>
      </c>
      <c r="C134" s="9" t="inlineStr">
        <is>
          <t>Thấp</t>
        </is>
      </c>
      <c r="D134" s="10" t="inlineStr">
        <is>
          <t>ATM Bộ chỉ huy Quân sự tỉnh Gia Lai (MB)</t>
        </is>
      </c>
      <c r="E134" s="9" t="inlineStr">
        <is>
          <t>ATM</t>
        </is>
      </c>
      <c r="F134" s="9" t="inlineStr">
        <is>
          <t>Trang bản đồ MB</t>
        </is>
      </c>
      <c r="G134" s="10" t="inlineStr">
        <is>
          <t>Đường Phạm Văn Đồng, phường Thống Nhất, tỉnh Gia Lai, Phường Thống Nhất, Gia Lai</t>
        </is>
      </c>
      <c r="H134" s="9" t="inlineStr">
        <is>
          <t>Phường Thống Nhất</t>
        </is>
      </c>
      <c r="I134" s="11" t="n">
        <v>14.015366</v>
      </c>
      <c r="J134" s="11" t="n">
        <v>107.992624</v>
      </c>
      <c r="K134" s="9" t="inlineStr">
        <is>
          <t>Đã đối chiếu</t>
        </is>
      </c>
      <c r="L134" s="10" t="n"/>
      <c r="M134" s="12" t="inlineStr">
        <is>
          <t>Bản đồ</t>
        </is>
      </c>
      <c r="N134" s="13" t="n"/>
      <c r="O134" s="14" t="n"/>
      <c r="P134" s="14" t="n"/>
      <c r="Q134" s="13" t="n"/>
      <c r="R134" s="15" t="n"/>
      <c r="S134" s="13" t="n"/>
      <c r="T134" s="13" t="n"/>
      <c r="U134" s="16">
        <f>IF(AND(ISNUMBER(O134),ISNUMBER(P134)),ROUND(SQRT(((P134-J134)*111320*COS(RADIANS(I134)))^2+((O134-I134)*110540)^2),0),"")</f>
        <v/>
      </c>
      <c r="V134" s="17">
        <f>IF(N134="","",IF(N134="Sửa vị trí",IF(OR(O134="",P134=""),"Thiếu vĩ độ / kinh độ mới",IF(OR(O134&lt;12.5,O134&gt;15,P134&lt;107,P134&gt;109.6),"Toạ độ ngoài Gia Lai (đảo vĩ/kinh độ?)",IF(Q134="","Chọn cách xác định",IF(U134&gt;20000,"Dời hơn 20 km – kiểm tra lại","OK")))),IF(AND(N134&lt;&gt;"Sửa vị trí",OR(O134&lt;&gt;"",P134&lt;&gt;"")),"Có toạ độ mới nhưng kết quả không phải Sửa vị trí","OK")))</f>
        <v/>
      </c>
    </row>
    <row r="135">
      <c r="A135" s="9" t="n">
        <v>131</v>
      </c>
      <c r="B135" s="9" t="inlineStr">
        <is>
          <t>d1ad10ad-3f93-10ee-706b-68d91bd4366b</t>
        </is>
      </c>
      <c r="C135" s="9" t="inlineStr">
        <is>
          <t>Thấp</t>
        </is>
      </c>
      <c r="D135" s="10" t="inlineStr">
        <is>
          <t>ATM Trường trung cấp nghề 15 - Binh đoàn 15 (MB)</t>
        </is>
      </c>
      <c r="E135" s="9" t="inlineStr">
        <is>
          <t>ATM</t>
        </is>
      </c>
      <c r="F135" s="9" t="inlineStr">
        <is>
          <t>Trang bản đồ MB</t>
        </is>
      </c>
      <c r="G135" s="10" t="inlineStr">
        <is>
          <t>Số 252 đường Trường Sơn, phường Thống Nhất, tỉnh Gia Lai, Phường Thống Nhất, Gia Lai</t>
        </is>
      </c>
      <c r="H135" s="9" t="inlineStr">
        <is>
          <t>Phường Thống Nhất</t>
        </is>
      </c>
      <c r="I135" s="11" t="n">
        <v>14.03017</v>
      </c>
      <c r="J135" s="11" t="n">
        <v>107.987061</v>
      </c>
      <c r="K135" s="9" t="inlineStr">
        <is>
          <t>Đã đối chiếu</t>
        </is>
      </c>
      <c r="L135" s="10" t="n"/>
      <c r="M135" s="12" t="inlineStr">
        <is>
          <t>Bản đồ</t>
        </is>
      </c>
      <c r="N135" s="13" t="n"/>
      <c r="O135" s="14" t="n"/>
      <c r="P135" s="14" t="n"/>
      <c r="Q135" s="13" t="n"/>
      <c r="R135" s="15" t="n"/>
      <c r="S135" s="13" t="n"/>
      <c r="T135" s="13" t="n"/>
      <c r="U135" s="16">
        <f>IF(AND(ISNUMBER(O135),ISNUMBER(P135)),ROUND(SQRT(((P135-J135)*111320*COS(RADIANS(I135)))^2+((O135-I135)*110540)^2),0),"")</f>
        <v/>
      </c>
      <c r="V135" s="17">
        <f>IF(N135="","",IF(N135="Sửa vị trí",IF(OR(O135="",P135=""),"Thiếu vĩ độ / kinh độ mới",IF(OR(O135&lt;12.5,O135&gt;15,P135&lt;107,P135&gt;109.6),"Toạ độ ngoài Gia Lai (đảo vĩ/kinh độ?)",IF(Q135="","Chọn cách xác định",IF(U135&gt;20000,"Dời hơn 20 km – kiểm tra lại","OK")))),IF(AND(N135&lt;&gt;"Sửa vị trí",OR(O135&lt;&gt;"",P135&lt;&gt;"")),"Có toạ độ mới nhưng kết quả không phải Sửa vị trí","OK")))</f>
        <v/>
      </c>
    </row>
    <row r="136">
      <c r="A136" s="9" t="n">
        <v>132</v>
      </c>
      <c r="B136" s="9" t="inlineStr">
        <is>
          <t>eb397dce-48b2-7173-e851-0467c15c0765</t>
        </is>
      </c>
      <c r="C136" s="9" t="inlineStr">
        <is>
          <t>Thấp</t>
        </is>
      </c>
      <c r="D136" s="10" t="inlineStr">
        <is>
          <t>ATM Vietcombank – Trụ sở Chi nhánh</t>
        </is>
      </c>
      <c r="E136" s="9" t="inlineStr">
        <is>
          <t>ATM</t>
        </is>
      </c>
      <c r="F136" s="9" t="inlineStr">
        <is>
          <t>Website Vietcombank</t>
        </is>
      </c>
      <c r="G136" s="10" t="inlineStr">
        <is>
          <t>737 Phạm Văn Đồng, Thống Nhất, Gia Lai, Phường Thống Nhất, Gia Lai</t>
        </is>
      </c>
      <c r="H136" s="9" t="inlineStr">
        <is>
          <t>Phường Thống Nhất</t>
        </is>
      </c>
      <c r="I136" s="11" t="n">
        <v>14.028108</v>
      </c>
      <c r="J136" s="11" t="n">
        <v>107.989695</v>
      </c>
      <c r="K136" s="9" t="inlineStr">
        <is>
          <t>Đã đối chiếu</t>
        </is>
      </c>
      <c r="L136" s="10" t="n"/>
      <c r="M136" s="12" t="inlineStr">
        <is>
          <t>Bản đồ</t>
        </is>
      </c>
      <c r="N136" s="13" t="n"/>
      <c r="O136" s="14" t="n"/>
      <c r="P136" s="14" t="n"/>
      <c r="Q136" s="13" t="n"/>
      <c r="R136" s="15" t="n"/>
      <c r="S136" s="13" t="n"/>
      <c r="T136" s="13" t="n"/>
      <c r="U136" s="16">
        <f>IF(AND(ISNUMBER(O136),ISNUMBER(P136)),ROUND(SQRT(((P136-J136)*111320*COS(RADIANS(I136)))^2+((O136-I136)*110540)^2),0),"")</f>
        <v/>
      </c>
      <c r="V136" s="17">
        <f>IF(N136="","",IF(N136="Sửa vị trí",IF(OR(O136="",P136=""),"Thiếu vĩ độ / kinh độ mới",IF(OR(O136&lt;12.5,O136&gt;15,P136&lt;107,P136&gt;109.6),"Toạ độ ngoài Gia Lai (đảo vĩ/kinh độ?)",IF(Q136="","Chọn cách xác định",IF(U136&gt;20000,"Dời hơn 20 km – kiểm tra lại","OK")))),IF(AND(N136&lt;&gt;"Sửa vị trí",OR(O136&lt;&gt;"",P136&lt;&gt;"")),"Có toạ độ mới nhưng kết quả không phải Sửa vị trí","OK")))</f>
        <v/>
      </c>
    </row>
    <row r="137">
      <c r="A137" s="9" t="n">
        <v>133</v>
      </c>
      <c r="B137" s="9" t="inlineStr">
        <is>
          <t>662d2fb4-8fc2-41d4-8b0e-9146134f573f</t>
        </is>
      </c>
      <c r="C137" s="9" t="inlineStr">
        <is>
          <t>Thấp</t>
        </is>
      </c>
      <c r="D137" s="10" t="inlineStr">
        <is>
          <t>R-ATM Vietcombank – Trụ Sở Chi Nhánh Bắc Gia Lai</t>
        </is>
      </c>
      <c r="E137" s="9" t="inlineStr">
        <is>
          <t>ATM</t>
        </is>
      </c>
      <c r="F137" s="9" t="inlineStr">
        <is>
          <t>Website Vietcombank</t>
        </is>
      </c>
      <c r="G137" s="10" t="inlineStr">
        <is>
          <t>737 Phạm Văn Đồng, Phường Thống Nhất, Tỉnh Gia Lai, Phường Thống Nhất, Gia Lai</t>
        </is>
      </c>
      <c r="H137" s="9" t="inlineStr">
        <is>
          <t>Phường Thống Nhất</t>
        </is>
      </c>
      <c r="I137" s="11" t="n">
        <v>14.028108</v>
      </c>
      <c r="J137" s="11" t="n">
        <v>107.989695</v>
      </c>
      <c r="K137" s="9" t="inlineStr">
        <is>
          <t>Đã đối chiếu</t>
        </is>
      </c>
      <c r="L137" s="10" t="n"/>
      <c r="M137" s="12" t="inlineStr">
        <is>
          <t>Bản đồ</t>
        </is>
      </c>
      <c r="N137" s="13" t="n"/>
      <c r="O137" s="14" t="n"/>
      <c r="P137" s="14" t="n"/>
      <c r="Q137" s="13" t="n"/>
      <c r="R137" s="15" t="n"/>
      <c r="S137" s="13" t="n"/>
      <c r="T137" s="13" t="n"/>
      <c r="U137" s="16">
        <f>IF(AND(ISNUMBER(O137),ISNUMBER(P137)),ROUND(SQRT(((P137-J137)*111320*COS(RADIANS(I137)))^2+((O137-I137)*110540)^2),0),"")</f>
        <v/>
      </c>
      <c r="V137" s="17">
        <f>IF(N137="","",IF(N137="Sửa vị trí",IF(OR(O137="",P137=""),"Thiếu vĩ độ / kinh độ mới",IF(OR(O137&lt;12.5,O137&gt;15,P137&lt;107,P137&gt;109.6),"Toạ độ ngoài Gia Lai (đảo vĩ/kinh độ?)",IF(Q137="","Chọn cách xác định",IF(U137&gt;20000,"Dời hơn 20 km – kiểm tra lại","OK")))),IF(AND(N137&lt;&gt;"Sửa vị trí",OR(O137&lt;&gt;"",P137&lt;&gt;"")),"Có toạ độ mới nhưng kết quả không phải Sửa vị trí","OK")))</f>
        <v/>
      </c>
    </row>
    <row r="138">
      <c r="A138" s="9" t="n">
        <v>134</v>
      </c>
      <c r="B138" s="9" t="inlineStr">
        <is>
          <t>3c045b71-398c-6cb9-5589-7683e1e41be8</t>
        </is>
      </c>
      <c r="C138" s="9" t="inlineStr">
        <is>
          <t>Thấp</t>
        </is>
      </c>
      <c r="D138" s="10" t="inlineStr">
        <is>
          <t>ATM Sư đoàn 320 (MB)</t>
        </is>
      </c>
      <c r="E138" s="9" t="inlineStr">
        <is>
          <t>ATM</t>
        </is>
      </c>
      <c r="F138" s="9" t="inlineStr">
        <is>
          <t>Trang bản đồ MB</t>
        </is>
      </c>
      <c r="G138" s="10" t="inlineStr">
        <is>
          <t>Đường Ngô Quyền, phường Thống Nhất, tỉnh Gia Lai, Xã Biển Hồ, Gia Lai</t>
        </is>
      </c>
      <c r="H138" s="9" t="inlineStr">
        <is>
          <t>Xã Biển Hồ</t>
        </is>
      </c>
      <c r="I138" s="11" t="n">
        <v>14.03674</v>
      </c>
      <c r="J138" s="11" t="n">
        <v>108.014189</v>
      </c>
      <c r="K138" s="9" t="inlineStr">
        <is>
          <t>Đã đối chiếu</t>
        </is>
      </c>
      <c r="L138" s="10" t="n"/>
      <c r="M138" s="12" t="inlineStr">
        <is>
          <t>Bản đồ</t>
        </is>
      </c>
      <c r="N138" s="13" t="n"/>
      <c r="O138" s="14" t="n"/>
      <c r="P138" s="14" t="n"/>
      <c r="Q138" s="13" t="n"/>
      <c r="R138" s="15" t="n"/>
      <c r="S138" s="13" t="n"/>
      <c r="T138" s="13" t="n"/>
      <c r="U138" s="16">
        <f>IF(AND(ISNUMBER(O138),ISNUMBER(P138)),ROUND(SQRT(((P138-J138)*111320*COS(RADIANS(I138)))^2+((O138-I138)*110540)^2),0),"")</f>
        <v/>
      </c>
      <c r="V138" s="17">
        <f>IF(N138="","",IF(N138="Sửa vị trí",IF(OR(O138="",P138=""),"Thiếu vĩ độ / kinh độ mới",IF(OR(O138&lt;12.5,O138&gt;15,P138&lt;107,P138&gt;109.6),"Toạ độ ngoài Gia Lai (đảo vĩ/kinh độ?)",IF(Q138="","Chọn cách xác định",IF(U138&gt;20000,"Dời hơn 20 km – kiểm tra lại","OK")))),IF(AND(N138&lt;&gt;"Sửa vị trí",OR(O138&lt;&gt;"",P138&lt;&gt;"")),"Có toạ độ mới nhưng kết quả không phải Sửa vị trí","OK")))</f>
        <v/>
      </c>
    </row>
    <row r="139">
      <c r="A139" s="9" t="n">
        <v>135</v>
      </c>
      <c r="B139" s="9" t="inlineStr">
        <is>
          <t>2b4b2de7-d447-d2a2-2ae2-271518850951</t>
        </is>
      </c>
      <c r="C139" s="9" t="inlineStr">
        <is>
          <t>Thấp</t>
        </is>
      </c>
      <c r="D139" s="10" t="inlineStr">
        <is>
          <t>ATM Vietcombank – 02 Ngô Quyền</t>
        </is>
      </c>
      <c r="E139" s="9" t="inlineStr">
        <is>
          <t>ATM</t>
        </is>
      </c>
      <c r="F139" s="9" t="inlineStr">
        <is>
          <t>Website Vietcombank</t>
        </is>
      </c>
      <c r="G139" s="10" t="inlineStr">
        <is>
          <t>02 Ngô Quyền, Biển Hồ, Gia Lai, Xã Biển Hồ, Gia Lai</t>
        </is>
      </c>
      <c r="H139" s="9" t="inlineStr">
        <is>
          <t>Xã Biển Hồ</t>
        </is>
      </c>
      <c r="I139" s="11" t="n">
        <v>14.036728</v>
      </c>
      <c r="J139" s="11" t="n">
        <v>108.014311</v>
      </c>
      <c r="K139" s="9" t="inlineStr">
        <is>
          <t>Đã đối chiếu</t>
        </is>
      </c>
      <c r="L139" s="10" t="n"/>
      <c r="M139" s="12" t="inlineStr">
        <is>
          <t>Bản đồ</t>
        </is>
      </c>
      <c r="N139" s="13" t="n"/>
      <c r="O139" s="14" t="n"/>
      <c r="P139" s="14" t="n"/>
      <c r="Q139" s="13" t="n"/>
      <c r="R139" s="15" t="n"/>
      <c r="S139" s="13" t="n"/>
      <c r="T139" s="13" t="n"/>
      <c r="U139" s="16">
        <f>IF(AND(ISNUMBER(O139),ISNUMBER(P139)),ROUND(SQRT(((P139-J139)*111320*COS(RADIANS(I139)))^2+((O139-I139)*110540)^2),0),"")</f>
        <v/>
      </c>
      <c r="V139" s="17">
        <f>IF(N139="","",IF(N139="Sửa vị trí",IF(OR(O139="",P139=""),"Thiếu vĩ độ / kinh độ mới",IF(OR(O139&lt;12.5,O139&gt;15,P139&lt;107,P139&gt;109.6),"Toạ độ ngoài Gia Lai (đảo vĩ/kinh độ?)",IF(Q139="","Chọn cách xác định",IF(U139&gt;20000,"Dời hơn 20 km – kiểm tra lại","OK")))),IF(AND(N139&lt;&gt;"Sửa vị trí",OR(O139&lt;&gt;"",P139&lt;&gt;"")),"Có toạ độ mới nhưng kết quả không phải Sửa vị trí","OK")))</f>
        <v/>
      </c>
    </row>
    <row r="140">
      <c r="A140" s="9" t="n">
        <v>136</v>
      </c>
      <c r="B140" s="9" t="inlineStr">
        <is>
          <t>37393624-b721-441a-a136-dc5d81e5d9bc</t>
        </is>
      </c>
      <c r="C140" s="9" t="inlineStr">
        <is>
          <t>Thấp</t>
        </is>
      </c>
      <c r="D140" s="10" t="inlineStr">
        <is>
          <t>Chợ trung tâm thành phố Pleiku</t>
        </is>
      </c>
      <c r="E140" s="9" t="inlineStr">
        <is>
          <t>Chợ</t>
        </is>
      </c>
      <c r="F140" s="9" t="inlineStr">
        <is>
          <t>Dữ liệu gialai-travel</t>
        </is>
      </c>
      <c r="G140" s="10" t="inlineStr">
        <is>
          <t>49 Ngô Gia Tự, Diên Hồng, Gia Lai 600000, Việt Nam</t>
        </is>
      </c>
      <c r="H140" s="9" t="inlineStr">
        <is>
          <t>Phường Diên Hồng</t>
        </is>
      </c>
      <c r="I140" s="11" t="n">
        <v>13.978982</v>
      </c>
      <c r="J140" s="11" t="n">
        <v>107.996099</v>
      </c>
      <c r="K140" s="9" t="inlineStr">
        <is>
          <t>Đã đối chiếu</t>
        </is>
      </c>
      <c r="L140" s="10" t="n"/>
      <c r="M140" s="12" t="inlineStr">
        <is>
          <t>Bản đồ</t>
        </is>
      </c>
      <c r="N140" s="13" t="n"/>
      <c r="O140" s="14" t="n"/>
      <c r="P140" s="14" t="n"/>
      <c r="Q140" s="13" t="n"/>
      <c r="R140" s="15" t="n"/>
      <c r="S140" s="13" t="n"/>
      <c r="T140" s="13" t="n"/>
      <c r="U140" s="16">
        <f>IF(AND(ISNUMBER(O140),ISNUMBER(P140)),ROUND(SQRT(((P140-J140)*111320*COS(RADIANS(I140)))^2+((O140-I140)*110540)^2),0),"")</f>
        <v/>
      </c>
      <c r="V140" s="17">
        <f>IF(N140="","",IF(N140="Sửa vị trí",IF(OR(O140="",P140=""),"Thiếu vĩ độ / kinh độ mới",IF(OR(O140&lt;12.5,O140&gt;15,P140&lt;107,P140&gt;109.6),"Toạ độ ngoài Gia Lai (đảo vĩ/kinh độ?)",IF(Q140="","Chọn cách xác định",IF(U140&gt;20000,"Dời hơn 20 km – kiểm tra lại","OK")))),IF(AND(N140&lt;&gt;"Sửa vị trí",OR(O140&lt;&gt;"",P140&lt;&gt;"")),"Có toạ độ mới nhưng kết quả không phải Sửa vị trí","OK")))</f>
        <v/>
      </c>
    </row>
    <row r="141">
      <c r="A141" s="9" t="n">
        <v>137</v>
      </c>
      <c r="B141" s="9" t="inlineStr">
        <is>
          <t>6543a49a-532d-4dc7-863d-864c40669825</t>
        </is>
      </c>
      <c r="C141" s="9" t="inlineStr">
        <is>
          <t>Thấp</t>
        </is>
      </c>
      <c r="D141" s="10" t="inlineStr">
        <is>
          <t>Công Viên Diên Hồng</t>
        </is>
      </c>
      <c r="E141" s="9" t="inlineStr">
        <is>
          <t>Danh lam thắng cảnh</t>
        </is>
      </c>
      <c r="F141" s="9" t="inlineStr">
        <is>
          <t>Dữ liệu gialai-travel</t>
        </is>
      </c>
      <c r="G141" s="10" t="inlineStr">
        <is>
          <t>Ngã tư giao giữa đường Thống Nhất và Lê Lợi, Phường Diên Hồng, TP. Pleiku, tỉnh Gia Lai</t>
        </is>
      </c>
      <c r="H141" s="9" t="inlineStr">
        <is>
          <t>Phường Pleiku</t>
        </is>
      </c>
      <c r="I141" s="11" t="n">
        <v>13.968952</v>
      </c>
      <c r="J141" s="11" t="n">
        <v>107.997661</v>
      </c>
      <c r="K141" s="9" t="inlineStr">
        <is>
          <t>Đã đối chiếu</t>
        </is>
      </c>
      <c r="L141" s="10" t="n"/>
      <c r="M141" s="12" t="inlineStr">
        <is>
          <t>Bản đồ</t>
        </is>
      </c>
      <c r="N141" s="13" t="n"/>
      <c r="O141" s="14" t="n"/>
      <c r="P141" s="14" t="n"/>
      <c r="Q141" s="13" t="n"/>
      <c r="R141" s="15" t="n"/>
      <c r="S141" s="13" t="n"/>
      <c r="T141" s="13" t="n"/>
      <c r="U141" s="16">
        <f>IF(AND(ISNUMBER(O141),ISNUMBER(P141)),ROUND(SQRT(((P141-J141)*111320*COS(RADIANS(I141)))^2+((O141-I141)*110540)^2),0),"")</f>
        <v/>
      </c>
      <c r="V141" s="17">
        <f>IF(N141="","",IF(N141="Sửa vị trí",IF(OR(O141="",P141=""),"Thiếu vĩ độ / kinh độ mới",IF(OR(O141&lt;12.5,O141&gt;15,P141&lt;107,P141&gt;109.6),"Toạ độ ngoài Gia Lai (đảo vĩ/kinh độ?)",IF(Q141="","Chọn cách xác định",IF(U141&gt;20000,"Dời hơn 20 km – kiểm tra lại","OK")))),IF(AND(N141&lt;&gt;"Sửa vị trí",OR(O141&lt;&gt;"",P141&lt;&gt;"")),"Có toạ độ mới nhưng kết quả không phải Sửa vị trí","OK")))</f>
        <v/>
      </c>
    </row>
    <row r="142">
      <c r="A142" s="9" t="n">
        <v>138</v>
      </c>
      <c r="B142" s="9" t="inlineStr">
        <is>
          <t>92f6f9c1-675b-41c4-9716-5788acfa0b23</t>
        </is>
      </c>
      <c r="C142" s="9" t="inlineStr">
        <is>
          <t>Thấp</t>
        </is>
      </c>
      <c r="D142" s="10" t="inlineStr">
        <is>
          <t>Lake View Homestay</t>
        </is>
      </c>
      <c r="E142" s="9" t="inlineStr">
        <is>
          <t>Homestay</t>
        </is>
      </c>
      <c r="F142" s="9" t="inlineStr">
        <is>
          <t>Dữ liệu gialai-travel</t>
        </is>
      </c>
      <c r="G142" s="10" t="inlineStr">
        <is>
          <t>42-46B Đống Đa, Diên Hồng, Gia Lai 600000, Việt Nam</t>
        </is>
      </c>
      <c r="H142" s="9" t="inlineStr">
        <is>
          <t>Phường Diên Hồng</t>
        </is>
      </c>
      <c r="I142" s="11" t="n">
        <v>13.969587</v>
      </c>
      <c r="J142" s="11" t="n">
        <v>107.996284</v>
      </c>
      <c r="K142" s="9" t="inlineStr">
        <is>
          <t>Đã đối chiếu</t>
        </is>
      </c>
      <c r="L142" s="10" t="n"/>
      <c r="M142" s="12" t="inlineStr">
        <is>
          <t>Bản đồ</t>
        </is>
      </c>
      <c r="N142" s="13" t="n"/>
      <c r="O142" s="14" t="n"/>
      <c r="P142" s="14" t="n"/>
      <c r="Q142" s="13" t="n"/>
      <c r="R142" s="15" t="n"/>
      <c r="S142" s="13" t="n"/>
      <c r="T142" s="13" t="n"/>
      <c r="U142" s="16">
        <f>IF(AND(ISNUMBER(O142),ISNUMBER(P142)),ROUND(SQRT(((P142-J142)*111320*COS(RADIANS(I142)))^2+((O142-I142)*110540)^2),0),"")</f>
        <v/>
      </c>
      <c r="V142" s="17">
        <f>IF(N142="","",IF(N142="Sửa vị trí",IF(OR(O142="",P142=""),"Thiếu vĩ độ / kinh độ mới",IF(OR(O142&lt;12.5,O142&gt;15,P142&lt;107,P142&gt;109.6),"Toạ độ ngoài Gia Lai (đảo vĩ/kinh độ?)",IF(Q142="","Chọn cách xác định",IF(U142&gt;20000,"Dời hơn 20 km – kiểm tra lại","OK")))),IF(AND(N142&lt;&gt;"Sửa vị trí",OR(O142&lt;&gt;"",P142&lt;&gt;"")),"Có toạ độ mới nhưng kết quả không phải Sửa vị trí","OK")))</f>
        <v/>
      </c>
    </row>
    <row r="143">
      <c r="A143" s="9" t="n">
        <v>139</v>
      </c>
      <c r="B143" s="9" t="inlineStr">
        <is>
          <t>76a702a3-ec2f-da5e-0257-effbda7af25b</t>
        </is>
      </c>
      <c r="C143" s="9" t="inlineStr">
        <is>
          <t>Thấp</t>
        </is>
      </c>
      <c r="D143" s="10" t="inlineStr">
        <is>
          <t>Agribank – Chi nhánh Gia Lai</t>
        </is>
      </c>
      <c r="E143" s="9" t="inlineStr">
        <is>
          <t>Ngân hàng</t>
        </is>
      </c>
      <c r="F143" s="9" t="inlineStr">
        <is>
          <t>Website Agribank</t>
        </is>
      </c>
      <c r="G143" s="10" t="inlineStr">
        <is>
          <t>Số 25 Tăng Bạt Hổ, phường Diên Hồng, tỉnh Gia Lai, Việt Nam., Phường Diên Hồng, Gia Lai</t>
        </is>
      </c>
      <c r="H143" s="9" t="inlineStr">
        <is>
          <t>Phường Diên Hồng</t>
        </is>
      </c>
      <c r="I143" s="11" t="n">
        <v>13.979466</v>
      </c>
      <c r="J143" s="11" t="n">
        <v>107.993135</v>
      </c>
      <c r="K143" s="9" t="inlineStr">
        <is>
          <t>Đã đối chiếu</t>
        </is>
      </c>
      <c r="L143" s="10" t="n"/>
      <c r="M143" s="12" t="inlineStr">
        <is>
          <t>Bản đồ</t>
        </is>
      </c>
      <c r="N143" s="13" t="n"/>
      <c r="O143" s="14" t="n"/>
      <c r="P143" s="14" t="n"/>
      <c r="Q143" s="13" t="n"/>
      <c r="R143" s="15" t="n"/>
      <c r="S143" s="13" t="n"/>
      <c r="T143" s="13" t="n"/>
      <c r="U143" s="16">
        <f>IF(AND(ISNUMBER(O143),ISNUMBER(P143)),ROUND(SQRT(((P143-J143)*111320*COS(RADIANS(I143)))^2+((O143-I143)*110540)^2),0),"")</f>
        <v/>
      </c>
      <c r="V143" s="17">
        <f>IF(N143="","",IF(N143="Sửa vị trí",IF(OR(O143="",P143=""),"Thiếu vĩ độ / kinh độ mới",IF(OR(O143&lt;12.5,O143&gt;15,P143&lt;107,P143&gt;109.6),"Toạ độ ngoài Gia Lai (đảo vĩ/kinh độ?)",IF(Q143="","Chọn cách xác định",IF(U143&gt;20000,"Dời hơn 20 km – kiểm tra lại","OK")))),IF(AND(N143&lt;&gt;"Sửa vị trí",OR(O143&lt;&gt;"",P143&lt;&gt;"")),"Có toạ độ mới nhưng kết quả không phải Sửa vị trí","OK")))</f>
        <v/>
      </c>
    </row>
    <row r="144">
      <c r="A144" s="9" t="n">
        <v>140</v>
      </c>
      <c r="B144" s="9" t="inlineStr">
        <is>
          <t>3c1a8197-ae4b-754c-9dd8-8c4d82293f10</t>
        </is>
      </c>
      <c r="C144" s="9" t="inlineStr">
        <is>
          <t>Thấp</t>
        </is>
      </c>
      <c r="D144" s="10" t="inlineStr">
        <is>
          <t>Vietcombank – Bắc Gia Lai - PGD Pleiku</t>
        </is>
      </c>
      <c r="E144" s="9" t="inlineStr">
        <is>
          <t>Ngân hàng</t>
        </is>
      </c>
      <c r="F144" s="9" t="inlineStr">
        <is>
          <t>Website Vietcombank</t>
        </is>
      </c>
      <c r="G144" s="10" t="inlineStr">
        <is>
          <t>156 Hai Bà Trưng, Phường Diên Hồng, Tỉnh Gia Lai, Phường Diên Hồng, Gia Lai</t>
        </is>
      </c>
      <c r="H144" s="9" t="inlineStr">
        <is>
          <t>Phường Diên Hồng</t>
        </is>
      </c>
      <c r="I144" s="11" t="n">
        <v>13.97994</v>
      </c>
      <c r="J144" s="11" t="n">
        <v>107.99347</v>
      </c>
      <c r="K144" s="9" t="inlineStr">
        <is>
          <t>Đã đối chiếu</t>
        </is>
      </c>
      <c r="L144" s="10" t="n"/>
      <c r="M144" s="12" t="inlineStr">
        <is>
          <t>Bản đồ</t>
        </is>
      </c>
      <c r="N144" s="13" t="n"/>
      <c r="O144" s="14" t="n"/>
      <c r="P144" s="14" t="n"/>
      <c r="Q144" s="13" t="n"/>
      <c r="R144" s="15" t="n"/>
      <c r="S144" s="13" t="n"/>
      <c r="T144" s="13" t="n"/>
      <c r="U144" s="16">
        <f>IF(AND(ISNUMBER(O144),ISNUMBER(P144)),ROUND(SQRT(((P144-J144)*111320*COS(RADIANS(I144)))^2+((O144-I144)*110540)^2),0),"")</f>
        <v/>
      </c>
      <c r="V144" s="17">
        <f>IF(N144="","",IF(N144="Sửa vị trí",IF(OR(O144="",P144=""),"Thiếu vĩ độ / kinh độ mới",IF(OR(O144&lt;12.5,O144&gt;15,P144&lt;107,P144&gt;109.6),"Toạ độ ngoài Gia Lai (đảo vĩ/kinh độ?)",IF(Q144="","Chọn cách xác định",IF(U144&gt;20000,"Dời hơn 20 km – kiểm tra lại","OK")))),IF(AND(N144&lt;&gt;"Sửa vị trí",OR(O144&lt;&gt;"",P144&lt;&gt;"")),"Có toạ độ mới nhưng kết quả không phải Sửa vị trí","OK")))</f>
        <v/>
      </c>
    </row>
    <row r="145">
      <c r="A145" s="9" t="n">
        <v>141</v>
      </c>
      <c r="B145" s="9" t="inlineStr">
        <is>
          <t>23166802-2af6-d28c-a35d-343cf5cd677c</t>
        </is>
      </c>
      <c r="C145" s="9" t="inlineStr">
        <is>
          <t>Thấp</t>
        </is>
      </c>
      <c r="D145" s="10" t="inlineStr">
        <is>
          <t>Vietcombank – Gia Lai - PGD Hoa Lư</t>
        </is>
      </c>
      <c r="E145" s="9" t="inlineStr">
        <is>
          <t>Ngân hàng</t>
        </is>
      </c>
      <c r="F145" s="9" t="inlineStr">
        <is>
          <t>Website Vietcombank</t>
        </is>
      </c>
      <c r="G145" s="10" t="inlineStr">
        <is>
          <t>Số 56, đường Nguyễn Tất Thành, phường Pleiku, tỉnh Gia Lai, Phường Diên Hồng, Gia Lai</t>
        </is>
      </c>
      <c r="H145" s="9" t="inlineStr">
        <is>
          <t>Phường Diên Hồng</t>
        </is>
      </c>
      <c r="I145" s="11" t="n">
        <v>13.97994</v>
      </c>
      <c r="J145" s="11" t="n">
        <v>107.99347</v>
      </c>
      <c r="K145" s="9" t="inlineStr">
        <is>
          <t>Đã đối chiếu</t>
        </is>
      </c>
      <c r="L145" s="10" t="n"/>
      <c r="M145" s="12" t="inlineStr">
        <is>
          <t>Bản đồ</t>
        </is>
      </c>
      <c r="N145" s="13" t="n"/>
      <c r="O145" s="14" t="n"/>
      <c r="P145" s="14" t="n"/>
      <c r="Q145" s="13" t="n"/>
      <c r="R145" s="15" t="n"/>
      <c r="S145" s="13" t="n"/>
      <c r="T145" s="13" t="n"/>
      <c r="U145" s="16">
        <f>IF(AND(ISNUMBER(O145),ISNUMBER(P145)),ROUND(SQRT(((P145-J145)*111320*COS(RADIANS(I145)))^2+((O145-I145)*110540)^2),0),"")</f>
        <v/>
      </c>
      <c r="V145" s="17">
        <f>IF(N145="","",IF(N145="Sửa vị trí",IF(OR(O145="",P145=""),"Thiếu vĩ độ / kinh độ mới",IF(OR(O145&lt;12.5,O145&gt;15,P145&lt;107,P145&gt;109.6),"Toạ độ ngoài Gia Lai (đảo vĩ/kinh độ?)",IF(Q145="","Chọn cách xác định",IF(U145&gt;20000,"Dời hơn 20 km – kiểm tra lại","OK")))),IF(AND(N145&lt;&gt;"Sửa vị trí",OR(O145&lt;&gt;"",P145&lt;&gt;"")),"Có toạ độ mới nhưng kết quả không phải Sửa vị trí","OK")))</f>
        <v/>
      </c>
    </row>
    <row r="146">
      <c r="A146" s="9" t="n">
        <v>142</v>
      </c>
      <c r="B146" s="9" t="inlineStr">
        <is>
          <t>0ea15b4e-419f-0e4c-2fb8-d94e9b99e548</t>
        </is>
      </c>
      <c r="C146" s="9" t="inlineStr">
        <is>
          <t>Thấp</t>
        </is>
      </c>
      <c r="D146" s="10" t="inlineStr">
        <is>
          <t>MB – CN Gia Lai</t>
        </is>
      </c>
      <c r="E146" s="9" t="inlineStr">
        <is>
          <t>Ngân hàng</t>
        </is>
      </c>
      <c r="F146" s="9" t="inlineStr">
        <is>
          <t>Trang bản đồ MB</t>
        </is>
      </c>
      <c r="G146" s="10" t="inlineStr">
        <is>
          <t>Số 08 Lê Lai, phường Tây Sơn, thành phố Pleiku, tỉnh Gia Lai., Phường Pleiku, Gia Lai</t>
        </is>
      </c>
      <c r="H146" s="9" t="inlineStr">
        <is>
          <t>Phường Pleiku</t>
        </is>
      </c>
      <c r="I146" s="11" t="n">
        <v>13.977683</v>
      </c>
      <c r="J146" s="11" t="n">
        <v>107.9995</v>
      </c>
      <c r="K146" s="9" t="inlineStr">
        <is>
          <t>Đã đối chiếu</t>
        </is>
      </c>
      <c r="L146" s="10" t="n"/>
      <c r="M146" s="12" t="inlineStr">
        <is>
          <t>Bản đồ</t>
        </is>
      </c>
      <c r="N146" s="13" t="n"/>
      <c r="O146" s="14" t="n"/>
      <c r="P146" s="14" t="n"/>
      <c r="Q146" s="13" t="n"/>
      <c r="R146" s="15" t="n"/>
      <c r="S146" s="13" t="n"/>
      <c r="T146" s="13" t="n"/>
      <c r="U146" s="16">
        <f>IF(AND(ISNUMBER(O146),ISNUMBER(P146)),ROUND(SQRT(((P146-J146)*111320*COS(RADIANS(I146)))^2+((O146-I146)*110540)^2),0),"")</f>
        <v/>
      </c>
      <c r="V146" s="17">
        <f>IF(N146="","",IF(N146="Sửa vị trí",IF(OR(O146="",P146=""),"Thiếu vĩ độ / kinh độ mới",IF(OR(O146&lt;12.5,O146&gt;15,P146&lt;107,P146&gt;109.6),"Toạ độ ngoài Gia Lai (đảo vĩ/kinh độ?)",IF(Q146="","Chọn cách xác định",IF(U146&gt;20000,"Dời hơn 20 km – kiểm tra lại","OK")))),IF(AND(N146&lt;&gt;"Sửa vị trí",OR(O146&lt;&gt;"",P146&lt;&gt;"")),"Có toạ độ mới nhưng kết quả không phải Sửa vị trí","OK")))</f>
        <v/>
      </c>
    </row>
    <row r="147">
      <c r="A147" s="9" t="n">
        <v>143</v>
      </c>
      <c r="B147" s="9" t="inlineStr">
        <is>
          <t>4adf4ad8-198d-cc87-0946-5ffaefbba1b8</t>
        </is>
      </c>
      <c r="C147" s="9" t="inlineStr">
        <is>
          <t>Thấp</t>
        </is>
      </c>
      <c r="D147" s="10" t="inlineStr">
        <is>
          <t>MB – MB Pleiku</t>
        </is>
      </c>
      <c r="E147" s="9" t="inlineStr">
        <is>
          <t>Ngân hàng</t>
        </is>
      </c>
      <c r="F147" s="9" t="inlineStr">
        <is>
          <t>Trang bản đồ MB</t>
        </is>
      </c>
      <c r="G147" s="10" t="inlineStr">
        <is>
          <t>Số 145 Nguyễn Tất Thành, phường Phù Đổng, thành phố Pleiku, tỉnh Gia Lai, Phường Pleiku, Gia Lai</t>
        </is>
      </c>
      <c r="H147" s="9" t="inlineStr">
        <is>
          <t>Phường Pleiku</t>
        </is>
      </c>
      <c r="I147" s="11" t="n">
        <v>13.978745</v>
      </c>
      <c r="J147" s="11" t="n">
        <v>108.012487</v>
      </c>
      <c r="K147" s="9" t="inlineStr">
        <is>
          <t>Đã đối chiếu</t>
        </is>
      </c>
      <c r="L147" s="10" t="n"/>
      <c r="M147" s="12" t="inlineStr">
        <is>
          <t>Bản đồ</t>
        </is>
      </c>
      <c r="N147" s="13" t="n"/>
      <c r="O147" s="14" t="n"/>
      <c r="P147" s="14" t="n"/>
      <c r="Q147" s="13" t="n"/>
      <c r="R147" s="15" t="n"/>
      <c r="S147" s="13" t="n"/>
      <c r="T147" s="13" t="n"/>
      <c r="U147" s="16">
        <f>IF(AND(ISNUMBER(O147),ISNUMBER(P147)),ROUND(SQRT(((P147-J147)*111320*COS(RADIANS(I147)))^2+((O147-I147)*110540)^2),0),"")</f>
        <v/>
      </c>
      <c r="V147" s="17">
        <f>IF(N147="","",IF(N147="Sửa vị trí",IF(OR(O147="",P147=""),"Thiếu vĩ độ / kinh độ mới",IF(OR(O147&lt;12.5,O147&gt;15,P147&lt;107,P147&gt;109.6),"Toạ độ ngoài Gia Lai (đảo vĩ/kinh độ?)",IF(Q147="","Chọn cách xác định",IF(U147&gt;20000,"Dời hơn 20 km – kiểm tra lại","OK")))),IF(AND(N147&lt;&gt;"Sửa vị trí",OR(O147&lt;&gt;"",P147&lt;&gt;"")),"Có toạ độ mới nhưng kết quả không phải Sửa vị trí","OK")))</f>
        <v/>
      </c>
    </row>
    <row r="148">
      <c r="A148" s="9" t="n">
        <v>144</v>
      </c>
      <c r="B148" s="9" t="inlineStr">
        <is>
          <t>b89fb591-abb2-a2b0-3a52-e2a4e7d58525</t>
        </is>
      </c>
      <c r="C148" s="9" t="inlineStr">
        <is>
          <t>Thấp</t>
        </is>
      </c>
      <c r="D148" s="10" t="inlineStr">
        <is>
          <t>Vietcombank – Gia Lai - PGD Diên Hồng</t>
        </is>
      </c>
      <c r="E148" s="9" t="inlineStr">
        <is>
          <t>Ngân hàng</t>
        </is>
      </c>
      <c r="F148" s="9" t="inlineStr">
        <is>
          <t>Website Vietcombank</t>
        </is>
      </c>
      <c r="G148" s="10" t="inlineStr">
        <is>
          <t>Số 150, đường Trần Phú, phường Diên Hồng, tỉnh Gia Lai, Phường Pleiku, Gia Lai</t>
        </is>
      </c>
      <c r="H148" s="9" t="inlineStr">
        <is>
          <t>Phường Pleiku</t>
        </is>
      </c>
      <c r="I148" s="11" t="n">
        <v>13.98213</v>
      </c>
      <c r="J148" s="11" t="n">
        <v>108.009505</v>
      </c>
      <c r="K148" s="9" t="inlineStr">
        <is>
          <t>Đã đối chiếu</t>
        </is>
      </c>
      <c r="L148" s="10" t="n"/>
      <c r="M148" s="12" t="inlineStr">
        <is>
          <t>Bản đồ</t>
        </is>
      </c>
      <c r="N148" s="13" t="n"/>
      <c r="O148" s="14" t="n"/>
      <c r="P148" s="14" t="n"/>
      <c r="Q148" s="13" t="n"/>
      <c r="R148" s="15" t="n"/>
      <c r="S148" s="13" t="n"/>
      <c r="T148" s="13" t="n"/>
      <c r="U148" s="16">
        <f>IF(AND(ISNUMBER(O148),ISNUMBER(P148)),ROUND(SQRT(((P148-J148)*111320*COS(RADIANS(I148)))^2+((O148-I148)*110540)^2),0),"")</f>
        <v/>
      </c>
      <c r="V148" s="17">
        <f>IF(N148="","",IF(N148="Sửa vị trí",IF(OR(O148="",P148=""),"Thiếu vĩ độ / kinh độ mới",IF(OR(O148&lt;12.5,O148&gt;15,P148&lt;107,P148&gt;109.6),"Toạ độ ngoài Gia Lai (đảo vĩ/kinh độ?)",IF(Q148="","Chọn cách xác định",IF(U148&gt;20000,"Dời hơn 20 km – kiểm tra lại","OK")))),IF(AND(N148&lt;&gt;"Sửa vị trí",OR(O148&lt;&gt;"",P148&lt;&gt;"")),"Có toạ độ mới nhưng kết quả không phải Sửa vị trí","OK")))</f>
        <v/>
      </c>
    </row>
    <row r="149">
      <c r="A149" s="9" t="n">
        <v>145</v>
      </c>
      <c r="B149" s="9" t="inlineStr">
        <is>
          <t>6946c438-70d2-038c-d70c-136f7330d168</t>
        </is>
      </c>
      <c r="C149" s="9" t="inlineStr">
        <is>
          <t>Thấp</t>
        </is>
      </c>
      <c r="D149" s="10" t="inlineStr">
        <is>
          <t>Vietcombank – Gia Lai - PGD Trà Bá</t>
        </is>
      </c>
      <c r="E149" s="9" t="inlineStr">
        <is>
          <t>Ngân hàng</t>
        </is>
      </c>
      <c r="F149" s="9" t="inlineStr">
        <is>
          <t>Website Vietcombank</t>
        </is>
      </c>
      <c r="G149" s="10" t="inlineStr">
        <is>
          <t>Số 133, đường Trường Chinh, phường Hội Phú, tỉnh Gia Lai, Phường Pleiku, Gia Lai</t>
        </is>
      </c>
      <c r="H149" s="9" t="inlineStr">
        <is>
          <t>Phường Pleiku</t>
        </is>
      </c>
      <c r="I149" s="11" t="n">
        <v>13.977135</v>
      </c>
      <c r="J149" s="11" t="n">
        <v>108.003431</v>
      </c>
      <c r="K149" s="9" t="inlineStr">
        <is>
          <t>Đã đối chiếu</t>
        </is>
      </c>
      <c r="L149" s="10" t="n"/>
      <c r="M149" s="12" t="inlineStr">
        <is>
          <t>Bản đồ</t>
        </is>
      </c>
      <c r="N149" s="13" t="n"/>
      <c r="O149" s="14" t="n"/>
      <c r="P149" s="14" t="n"/>
      <c r="Q149" s="13" t="n"/>
      <c r="R149" s="15" t="n"/>
      <c r="S149" s="13" t="n"/>
      <c r="T149" s="13" t="n"/>
      <c r="U149" s="16">
        <f>IF(AND(ISNUMBER(O149),ISNUMBER(P149)),ROUND(SQRT(((P149-J149)*111320*COS(RADIANS(I149)))^2+((O149-I149)*110540)^2),0),"")</f>
        <v/>
      </c>
      <c r="V149" s="17">
        <f>IF(N149="","",IF(N149="Sửa vị trí",IF(OR(O149="",P149=""),"Thiếu vĩ độ / kinh độ mới",IF(OR(O149&lt;12.5,O149&gt;15,P149&lt;107,P149&gt;109.6),"Toạ độ ngoài Gia Lai (đảo vĩ/kinh độ?)",IF(Q149="","Chọn cách xác định",IF(U149&gt;20000,"Dời hơn 20 km – kiểm tra lại","OK")))),IF(AND(N149&lt;&gt;"Sửa vị trí",OR(O149&lt;&gt;"",P149&lt;&gt;"")),"Có toạ độ mới nhưng kết quả không phải Sửa vị trí","OK")))</f>
        <v/>
      </c>
    </row>
    <row r="150">
      <c r="A150" s="9" t="n">
        <v>146</v>
      </c>
      <c r="B150" s="9" t="inlineStr">
        <is>
          <t>ad80cfa8-375b-6d2d-a204-f1e4110f8f82</t>
        </is>
      </c>
      <c r="C150" s="9" t="inlineStr">
        <is>
          <t>Thấp</t>
        </is>
      </c>
      <c r="D150" s="10" t="inlineStr">
        <is>
          <t>Vietcombank – Bắc Gia Lai - Trụ sở Chi nhánh</t>
        </is>
      </c>
      <c r="E150" s="9" t="inlineStr">
        <is>
          <t>Ngân hàng</t>
        </is>
      </c>
      <c r="F150" s="9" t="inlineStr">
        <is>
          <t>Website Vietcombank</t>
        </is>
      </c>
      <c r="G150" s="10" t="inlineStr">
        <is>
          <t>737 Phạm Văn Đồng, Phường Thống Nhất, Tỉnh Gia Lai, Phường Thống Nhất, Gia Lai</t>
        </is>
      </c>
      <c r="H150" s="9" t="inlineStr">
        <is>
          <t>Phường Thống Nhất</t>
        </is>
      </c>
      <c r="I150" s="11" t="n">
        <v>14.028142</v>
      </c>
      <c r="J150" s="11" t="n">
        <v>107.989501</v>
      </c>
      <c r="K150" s="9" t="inlineStr">
        <is>
          <t>Đã đối chiếu</t>
        </is>
      </c>
      <c r="L150" s="10" t="n"/>
      <c r="M150" s="12" t="inlineStr">
        <is>
          <t>Bản đồ</t>
        </is>
      </c>
      <c r="N150" s="13" t="n"/>
      <c r="O150" s="14" t="n"/>
      <c r="P150" s="14" t="n"/>
      <c r="Q150" s="13" t="n"/>
      <c r="R150" s="15" t="n"/>
      <c r="S150" s="13" t="n"/>
      <c r="T150" s="13" t="n"/>
      <c r="U150" s="16">
        <f>IF(AND(ISNUMBER(O150),ISNUMBER(P150)),ROUND(SQRT(((P150-J150)*111320*COS(RADIANS(I150)))^2+((O150-I150)*110540)^2),0),"")</f>
        <v/>
      </c>
      <c r="V150" s="17">
        <f>IF(N150="","",IF(N150="Sửa vị trí",IF(OR(O150="",P150=""),"Thiếu vĩ độ / kinh độ mới",IF(OR(O150&lt;12.5,O150&gt;15,P150&lt;107,P150&gt;109.6),"Toạ độ ngoài Gia Lai (đảo vĩ/kinh độ?)",IF(Q150="","Chọn cách xác định",IF(U150&gt;20000,"Dời hơn 20 km – kiểm tra lại","OK")))),IF(AND(N150&lt;&gt;"Sửa vị trí",OR(O150&lt;&gt;"",P150&lt;&gt;"")),"Có toạ độ mới nhưng kết quả không phải Sửa vị trí","OK")))</f>
        <v/>
      </c>
    </row>
    <row r="151">
      <c r="A151" s="9" t="n">
        <v>147</v>
      </c>
      <c r="B151" s="9" t="inlineStr">
        <is>
          <t>d507d8d3-7958-3c27-a56f-d1dcc1bbebc2</t>
        </is>
      </c>
      <c r="C151" s="9" t="inlineStr">
        <is>
          <t>Thấp</t>
        </is>
      </c>
      <c r="D151" s="10" t="inlineStr">
        <is>
          <t>Vietcombank – Gia Lai - Trụ sở Chi nhánh</t>
        </is>
      </c>
      <c r="E151" s="9" t="inlineStr">
        <is>
          <t>Ngân hàng</t>
        </is>
      </c>
      <c r="F151" s="9" t="inlineStr">
        <is>
          <t>Website Vietcombank</t>
        </is>
      </c>
      <c r="G151" s="10" t="inlineStr">
        <is>
          <t>Số 33, đường Quang Trung, phường Pleiku, tỉnh Gia Lai, Phường Thống Nhất, Gia Lai</t>
        </is>
      </c>
      <c r="H151" s="9" t="inlineStr">
        <is>
          <t>Phường Thống Nhất</t>
        </is>
      </c>
      <c r="I151" s="11" t="n">
        <v>14.028142</v>
      </c>
      <c r="J151" s="11" t="n">
        <v>107.989501</v>
      </c>
      <c r="K151" s="9" t="inlineStr">
        <is>
          <t>Đã đối chiếu</t>
        </is>
      </c>
      <c r="L151" s="10" t="n"/>
      <c r="M151" s="12" t="inlineStr">
        <is>
          <t>Bản đồ</t>
        </is>
      </c>
      <c r="N151" s="13" t="n"/>
      <c r="O151" s="14" t="n"/>
      <c r="P151" s="14" t="n"/>
      <c r="Q151" s="13" t="n"/>
      <c r="R151" s="15" t="n"/>
      <c r="S151" s="13" t="n"/>
      <c r="T151" s="13" t="n"/>
      <c r="U151" s="16">
        <f>IF(AND(ISNUMBER(O151),ISNUMBER(P151)),ROUND(SQRT(((P151-J151)*111320*COS(RADIANS(I151)))^2+((O151-I151)*110540)^2),0),"")</f>
        <v/>
      </c>
      <c r="V151" s="17">
        <f>IF(N151="","",IF(N151="Sửa vị trí",IF(OR(O151="",P151=""),"Thiếu vĩ độ / kinh độ mới",IF(OR(O151&lt;12.5,O151&gt;15,P151&lt;107,P151&gt;109.6),"Toạ độ ngoài Gia Lai (đảo vĩ/kinh độ?)",IF(Q151="","Chọn cách xác định",IF(U151&gt;20000,"Dời hơn 20 km – kiểm tra lại","OK")))),IF(AND(N151&lt;&gt;"Sửa vị trí",OR(O151&lt;&gt;"",P151&lt;&gt;"")),"Có toạ độ mới nhưng kết quả không phải Sửa vị trí","OK")))</f>
        <v/>
      </c>
    </row>
    <row r="152">
      <c r="A152" s="9" t="n">
        <v>148</v>
      </c>
      <c r="B152" s="9" t="inlineStr">
        <is>
          <t>e7baad35-8b48-4ae5-8cd3-782062365bb2</t>
        </is>
      </c>
      <c r="C152" s="9" t="inlineStr">
        <is>
          <t>Thấp</t>
        </is>
      </c>
      <c r="D152" s="10" t="inlineStr">
        <is>
          <t>Bảo tàng Pleiku</t>
        </is>
      </c>
      <c r="E152" s="9" t="inlineStr">
        <is>
          <t>Địa danh văn hóa</t>
        </is>
      </c>
      <c r="F152" s="9" t="inlineStr">
        <is>
          <t>Dữ liệu gialai-travel</t>
        </is>
      </c>
      <c r="G152" s="10" t="inlineStr">
        <is>
          <t>6 Phan Đình Phùng, Phường Pleiku, Gia Lai</t>
        </is>
      </c>
      <c r="H152" s="9" t="inlineStr">
        <is>
          <t>Phường Pleiku</t>
        </is>
      </c>
      <c r="I152" s="11" t="n">
        <v>13.986153</v>
      </c>
      <c r="J152" s="11" t="n">
        <v>108.00597</v>
      </c>
      <c r="K152" s="9" t="inlineStr">
        <is>
          <t>Đã đối chiếu</t>
        </is>
      </c>
      <c r="L152" s="10" t="n"/>
      <c r="M152" s="12" t="inlineStr">
        <is>
          <t>Bản đồ</t>
        </is>
      </c>
      <c r="N152" s="13" t="n"/>
      <c r="O152" s="14" t="n"/>
      <c r="P152" s="14" t="n"/>
      <c r="Q152" s="13" t="n"/>
      <c r="R152" s="15" t="n"/>
      <c r="S152" s="13" t="n"/>
      <c r="T152" s="13" t="n"/>
      <c r="U152" s="16">
        <f>IF(AND(ISNUMBER(O152),ISNUMBER(P152)),ROUND(SQRT(((P152-J152)*111320*COS(RADIANS(I152)))^2+((O152-I152)*110540)^2),0),"")</f>
        <v/>
      </c>
      <c r="V152" s="17">
        <f>IF(N152="","",IF(N152="Sửa vị trí",IF(OR(O152="",P152=""),"Thiếu vĩ độ / kinh độ mới",IF(OR(O152&lt;12.5,O152&gt;15,P152&lt;107,P152&gt;109.6),"Toạ độ ngoài Gia Lai (đảo vĩ/kinh độ?)",IF(Q152="","Chọn cách xác định",IF(U152&gt;20000,"Dời hơn 20 km – kiểm tra lại","OK")))),IF(AND(N152&lt;&gt;"Sửa vị trí",OR(O152&lt;&gt;"",P152&lt;&gt;"")),"Có toạ độ mới nhưng kết quả không phải Sửa vị trí","OK")))</f>
        <v/>
      </c>
    </row>
  </sheetData>
  <autoFilter ref="A4:V152"/>
  <conditionalFormatting sqref="V5:V152">
    <cfRule type="expression" priority="1" dxfId="0">
      <formula>V5="OK"</formula>
    </cfRule>
    <cfRule type="expression" priority="2" dxfId="1">
      <formula>AND(V5&lt;&gt;"",V5&lt;&gt;"OK")</formula>
    </cfRule>
  </conditionalFormatting>
  <conditionalFormatting sqref="C5:C152">
    <cfRule type="expression" priority="3" dxfId="1">
      <formula>C5="Cao"</formula>
    </cfRule>
  </conditionalFormatting>
  <dataValidations count="5">
    <dataValidation sqref="N5:N152" showDropDown="0" showInputMessage="0" showErrorMessage="1" allowBlank="1" error="Chọn kết quả trong danh sách." type="list">
      <formula1>"Vị trí đúng,Sửa vị trí,Địa điểm không tồn tại,Đã chuyển đi (chưa rõ nơi mới)"</formula1>
    </dataValidation>
    <dataValidation sqref="O5:O152" showDropDown="0" showInputMessage="0" showErrorMessage="1" allowBlank="0" error="Vĩ độ Gia Lai: 12,5 – 15,0 (vd 13.981234)." type="decimal" operator="between">
      <formula1>12.5</formula1>
      <formula2>15</formula2>
    </dataValidation>
    <dataValidation sqref="P5:P152" showDropDown="0" showInputMessage="0" showErrorMessage="1" allowBlank="0" error="Kinh độ Gia Lai: 107,0 – 109,6 (vd 108.004567)." type="decimal" operator="between">
      <formula1>107</formula1>
      <formula2>109.6</formula2>
    </dataValidation>
    <dataValidation sqref="Q5:Q152" showDropDown="0" showInputMessage="0" showErrorMessage="0" allowBlank="1" type="list">
      <formula1>"Đo GPS tại chỗ,Chọn trên ảnh vệ tinh,Khác"</formula1>
    </dataValidation>
    <dataValidation sqref="R5:R152" showDropDown="0" showInputMessage="0" showErrorMessage="1" allowBlank="0" error="Nhập ngày dd/mm/yyyy." type="date" operator="between">
      <formula1>DATE(2025,1,1)</formula1>
      <formula2>DATE(2030,12,31)</formula2>
    </dataValidation>
  </dataValidations>
  <hyperlinks>
    <hyperlink xmlns:r="http://schemas.openxmlformats.org/officeDocument/2006/relationships" ref="M5" r:id="rId1"/>
    <hyperlink xmlns:r="http://schemas.openxmlformats.org/officeDocument/2006/relationships" ref="M6" r:id="rId2"/>
    <hyperlink xmlns:r="http://schemas.openxmlformats.org/officeDocument/2006/relationships" ref="M7" r:id="rId3"/>
    <hyperlink xmlns:r="http://schemas.openxmlformats.org/officeDocument/2006/relationships" ref="M8" r:id="rId4"/>
    <hyperlink xmlns:r="http://schemas.openxmlformats.org/officeDocument/2006/relationships" ref="M9" r:id="rId5"/>
    <hyperlink xmlns:r="http://schemas.openxmlformats.org/officeDocument/2006/relationships" ref="M10" r:id="rId6"/>
    <hyperlink xmlns:r="http://schemas.openxmlformats.org/officeDocument/2006/relationships" ref="M11" r:id="rId7"/>
    <hyperlink xmlns:r="http://schemas.openxmlformats.org/officeDocument/2006/relationships" ref="M12" r:id="rId8"/>
    <hyperlink xmlns:r="http://schemas.openxmlformats.org/officeDocument/2006/relationships" ref="M13" r:id="rId9"/>
    <hyperlink xmlns:r="http://schemas.openxmlformats.org/officeDocument/2006/relationships" ref="M14" r:id="rId10"/>
    <hyperlink xmlns:r="http://schemas.openxmlformats.org/officeDocument/2006/relationships" ref="M15" r:id="rId11"/>
    <hyperlink xmlns:r="http://schemas.openxmlformats.org/officeDocument/2006/relationships" ref="M16" r:id="rId12"/>
    <hyperlink xmlns:r="http://schemas.openxmlformats.org/officeDocument/2006/relationships" ref="M17" r:id="rId13"/>
    <hyperlink xmlns:r="http://schemas.openxmlformats.org/officeDocument/2006/relationships" ref="M18" r:id="rId14"/>
    <hyperlink xmlns:r="http://schemas.openxmlformats.org/officeDocument/2006/relationships" ref="M19" r:id="rId15"/>
    <hyperlink xmlns:r="http://schemas.openxmlformats.org/officeDocument/2006/relationships" ref="M20" r:id="rId16"/>
    <hyperlink xmlns:r="http://schemas.openxmlformats.org/officeDocument/2006/relationships" ref="M21" r:id="rId17"/>
    <hyperlink xmlns:r="http://schemas.openxmlformats.org/officeDocument/2006/relationships" ref="M22" r:id="rId18"/>
    <hyperlink xmlns:r="http://schemas.openxmlformats.org/officeDocument/2006/relationships" ref="M23" r:id="rId19"/>
    <hyperlink xmlns:r="http://schemas.openxmlformats.org/officeDocument/2006/relationships" ref="M24" r:id="rId20"/>
    <hyperlink xmlns:r="http://schemas.openxmlformats.org/officeDocument/2006/relationships" ref="M25" r:id="rId21"/>
    <hyperlink xmlns:r="http://schemas.openxmlformats.org/officeDocument/2006/relationships" ref="M26" r:id="rId22"/>
    <hyperlink xmlns:r="http://schemas.openxmlformats.org/officeDocument/2006/relationships" ref="M27" r:id="rId23"/>
    <hyperlink xmlns:r="http://schemas.openxmlformats.org/officeDocument/2006/relationships" ref="M28" r:id="rId24"/>
    <hyperlink xmlns:r="http://schemas.openxmlformats.org/officeDocument/2006/relationships" ref="M29" r:id="rId25"/>
    <hyperlink xmlns:r="http://schemas.openxmlformats.org/officeDocument/2006/relationships" ref="M30" r:id="rId26"/>
    <hyperlink xmlns:r="http://schemas.openxmlformats.org/officeDocument/2006/relationships" ref="M31" r:id="rId27"/>
    <hyperlink xmlns:r="http://schemas.openxmlformats.org/officeDocument/2006/relationships" ref="M32" r:id="rId28"/>
    <hyperlink xmlns:r="http://schemas.openxmlformats.org/officeDocument/2006/relationships" ref="M33" r:id="rId29"/>
    <hyperlink xmlns:r="http://schemas.openxmlformats.org/officeDocument/2006/relationships" ref="M34" r:id="rId30"/>
    <hyperlink xmlns:r="http://schemas.openxmlformats.org/officeDocument/2006/relationships" ref="M35" r:id="rId31"/>
    <hyperlink xmlns:r="http://schemas.openxmlformats.org/officeDocument/2006/relationships" ref="M36" r:id="rId32"/>
    <hyperlink xmlns:r="http://schemas.openxmlformats.org/officeDocument/2006/relationships" ref="M37" r:id="rId33"/>
    <hyperlink xmlns:r="http://schemas.openxmlformats.org/officeDocument/2006/relationships" ref="M38" r:id="rId34"/>
    <hyperlink xmlns:r="http://schemas.openxmlformats.org/officeDocument/2006/relationships" ref="M39" r:id="rId35"/>
    <hyperlink xmlns:r="http://schemas.openxmlformats.org/officeDocument/2006/relationships" ref="M40" r:id="rId36"/>
    <hyperlink xmlns:r="http://schemas.openxmlformats.org/officeDocument/2006/relationships" ref="M41" r:id="rId37"/>
    <hyperlink xmlns:r="http://schemas.openxmlformats.org/officeDocument/2006/relationships" ref="M42" r:id="rId38"/>
    <hyperlink xmlns:r="http://schemas.openxmlformats.org/officeDocument/2006/relationships" ref="M43" r:id="rId39"/>
    <hyperlink xmlns:r="http://schemas.openxmlformats.org/officeDocument/2006/relationships" ref="M44" r:id="rId40"/>
    <hyperlink xmlns:r="http://schemas.openxmlformats.org/officeDocument/2006/relationships" ref="M45" r:id="rId41"/>
    <hyperlink xmlns:r="http://schemas.openxmlformats.org/officeDocument/2006/relationships" ref="M46" r:id="rId42"/>
    <hyperlink xmlns:r="http://schemas.openxmlformats.org/officeDocument/2006/relationships" ref="M47" r:id="rId43"/>
    <hyperlink xmlns:r="http://schemas.openxmlformats.org/officeDocument/2006/relationships" ref="M48" r:id="rId44"/>
    <hyperlink xmlns:r="http://schemas.openxmlformats.org/officeDocument/2006/relationships" ref="M49" r:id="rId45"/>
    <hyperlink xmlns:r="http://schemas.openxmlformats.org/officeDocument/2006/relationships" ref="M50" r:id="rId46"/>
    <hyperlink xmlns:r="http://schemas.openxmlformats.org/officeDocument/2006/relationships" ref="M51" r:id="rId47"/>
    <hyperlink xmlns:r="http://schemas.openxmlformats.org/officeDocument/2006/relationships" ref="M52" r:id="rId48"/>
    <hyperlink xmlns:r="http://schemas.openxmlformats.org/officeDocument/2006/relationships" ref="M53" r:id="rId49"/>
    <hyperlink xmlns:r="http://schemas.openxmlformats.org/officeDocument/2006/relationships" ref="M54" r:id="rId50"/>
    <hyperlink xmlns:r="http://schemas.openxmlformats.org/officeDocument/2006/relationships" ref="M55" r:id="rId51"/>
    <hyperlink xmlns:r="http://schemas.openxmlformats.org/officeDocument/2006/relationships" ref="M56" r:id="rId52"/>
    <hyperlink xmlns:r="http://schemas.openxmlformats.org/officeDocument/2006/relationships" ref="M57" r:id="rId53"/>
    <hyperlink xmlns:r="http://schemas.openxmlformats.org/officeDocument/2006/relationships" ref="M58" r:id="rId54"/>
    <hyperlink xmlns:r="http://schemas.openxmlformats.org/officeDocument/2006/relationships" ref="M59" r:id="rId55"/>
    <hyperlink xmlns:r="http://schemas.openxmlformats.org/officeDocument/2006/relationships" ref="M60" r:id="rId56"/>
    <hyperlink xmlns:r="http://schemas.openxmlformats.org/officeDocument/2006/relationships" ref="M61" r:id="rId57"/>
    <hyperlink xmlns:r="http://schemas.openxmlformats.org/officeDocument/2006/relationships" ref="M62" r:id="rId58"/>
    <hyperlink xmlns:r="http://schemas.openxmlformats.org/officeDocument/2006/relationships" ref="M63" r:id="rId59"/>
    <hyperlink xmlns:r="http://schemas.openxmlformats.org/officeDocument/2006/relationships" ref="M64" r:id="rId60"/>
    <hyperlink xmlns:r="http://schemas.openxmlformats.org/officeDocument/2006/relationships" ref="M65" r:id="rId61"/>
    <hyperlink xmlns:r="http://schemas.openxmlformats.org/officeDocument/2006/relationships" ref="M66" r:id="rId62"/>
    <hyperlink xmlns:r="http://schemas.openxmlformats.org/officeDocument/2006/relationships" ref="M67" r:id="rId63"/>
    <hyperlink xmlns:r="http://schemas.openxmlformats.org/officeDocument/2006/relationships" ref="M68" r:id="rId64"/>
    <hyperlink xmlns:r="http://schemas.openxmlformats.org/officeDocument/2006/relationships" ref="M69" r:id="rId65"/>
    <hyperlink xmlns:r="http://schemas.openxmlformats.org/officeDocument/2006/relationships" ref="M70" r:id="rId66"/>
    <hyperlink xmlns:r="http://schemas.openxmlformats.org/officeDocument/2006/relationships" ref="M71" r:id="rId67"/>
    <hyperlink xmlns:r="http://schemas.openxmlformats.org/officeDocument/2006/relationships" ref="M72" r:id="rId68"/>
    <hyperlink xmlns:r="http://schemas.openxmlformats.org/officeDocument/2006/relationships" ref="M73" r:id="rId69"/>
    <hyperlink xmlns:r="http://schemas.openxmlformats.org/officeDocument/2006/relationships" ref="M74" r:id="rId70"/>
    <hyperlink xmlns:r="http://schemas.openxmlformats.org/officeDocument/2006/relationships" ref="M75" r:id="rId71"/>
    <hyperlink xmlns:r="http://schemas.openxmlformats.org/officeDocument/2006/relationships" ref="M76" r:id="rId72"/>
    <hyperlink xmlns:r="http://schemas.openxmlformats.org/officeDocument/2006/relationships" ref="M77" r:id="rId73"/>
    <hyperlink xmlns:r="http://schemas.openxmlformats.org/officeDocument/2006/relationships" ref="M78" r:id="rId74"/>
    <hyperlink xmlns:r="http://schemas.openxmlformats.org/officeDocument/2006/relationships" ref="M79" r:id="rId75"/>
    <hyperlink xmlns:r="http://schemas.openxmlformats.org/officeDocument/2006/relationships" ref="M80" r:id="rId76"/>
    <hyperlink xmlns:r="http://schemas.openxmlformats.org/officeDocument/2006/relationships" ref="M81" r:id="rId77"/>
    <hyperlink xmlns:r="http://schemas.openxmlformats.org/officeDocument/2006/relationships" ref="M82" r:id="rId78"/>
    <hyperlink xmlns:r="http://schemas.openxmlformats.org/officeDocument/2006/relationships" ref="M83" r:id="rId79"/>
    <hyperlink xmlns:r="http://schemas.openxmlformats.org/officeDocument/2006/relationships" ref="M84" r:id="rId80"/>
    <hyperlink xmlns:r="http://schemas.openxmlformats.org/officeDocument/2006/relationships" ref="M85" r:id="rId81"/>
    <hyperlink xmlns:r="http://schemas.openxmlformats.org/officeDocument/2006/relationships" ref="M86" r:id="rId82"/>
    <hyperlink xmlns:r="http://schemas.openxmlformats.org/officeDocument/2006/relationships" ref="M87" r:id="rId83"/>
    <hyperlink xmlns:r="http://schemas.openxmlformats.org/officeDocument/2006/relationships" ref="M88" r:id="rId84"/>
    <hyperlink xmlns:r="http://schemas.openxmlformats.org/officeDocument/2006/relationships" ref="M89" r:id="rId85"/>
    <hyperlink xmlns:r="http://schemas.openxmlformats.org/officeDocument/2006/relationships" ref="M90" r:id="rId86"/>
    <hyperlink xmlns:r="http://schemas.openxmlformats.org/officeDocument/2006/relationships" ref="M91" r:id="rId87"/>
    <hyperlink xmlns:r="http://schemas.openxmlformats.org/officeDocument/2006/relationships" ref="M92" r:id="rId88"/>
    <hyperlink xmlns:r="http://schemas.openxmlformats.org/officeDocument/2006/relationships" ref="M93" r:id="rId89"/>
    <hyperlink xmlns:r="http://schemas.openxmlformats.org/officeDocument/2006/relationships" ref="M94" r:id="rId90"/>
    <hyperlink xmlns:r="http://schemas.openxmlformats.org/officeDocument/2006/relationships" ref="M95" r:id="rId91"/>
    <hyperlink xmlns:r="http://schemas.openxmlformats.org/officeDocument/2006/relationships" ref="M96" r:id="rId92"/>
    <hyperlink xmlns:r="http://schemas.openxmlformats.org/officeDocument/2006/relationships" ref="M97" r:id="rId93"/>
    <hyperlink xmlns:r="http://schemas.openxmlformats.org/officeDocument/2006/relationships" ref="M98" r:id="rId94"/>
    <hyperlink xmlns:r="http://schemas.openxmlformats.org/officeDocument/2006/relationships" ref="M99" r:id="rId95"/>
    <hyperlink xmlns:r="http://schemas.openxmlformats.org/officeDocument/2006/relationships" ref="M100" r:id="rId96"/>
    <hyperlink xmlns:r="http://schemas.openxmlformats.org/officeDocument/2006/relationships" ref="M101" r:id="rId97"/>
    <hyperlink xmlns:r="http://schemas.openxmlformats.org/officeDocument/2006/relationships" ref="M102" r:id="rId98"/>
    <hyperlink xmlns:r="http://schemas.openxmlformats.org/officeDocument/2006/relationships" ref="M103" r:id="rId99"/>
    <hyperlink xmlns:r="http://schemas.openxmlformats.org/officeDocument/2006/relationships" ref="M104" r:id="rId100"/>
    <hyperlink xmlns:r="http://schemas.openxmlformats.org/officeDocument/2006/relationships" ref="M105" r:id="rId101"/>
    <hyperlink xmlns:r="http://schemas.openxmlformats.org/officeDocument/2006/relationships" ref="M106" r:id="rId102"/>
    <hyperlink xmlns:r="http://schemas.openxmlformats.org/officeDocument/2006/relationships" ref="M107" r:id="rId103"/>
    <hyperlink xmlns:r="http://schemas.openxmlformats.org/officeDocument/2006/relationships" ref="M108" r:id="rId104"/>
    <hyperlink xmlns:r="http://schemas.openxmlformats.org/officeDocument/2006/relationships" ref="M109" r:id="rId105"/>
    <hyperlink xmlns:r="http://schemas.openxmlformats.org/officeDocument/2006/relationships" ref="M110" r:id="rId106"/>
    <hyperlink xmlns:r="http://schemas.openxmlformats.org/officeDocument/2006/relationships" ref="M111" r:id="rId107"/>
    <hyperlink xmlns:r="http://schemas.openxmlformats.org/officeDocument/2006/relationships" ref="M112" r:id="rId108"/>
    <hyperlink xmlns:r="http://schemas.openxmlformats.org/officeDocument/2006/relationships" ref="M113" r:id="rId109"/>
    <hyperlink xmlns:r="http://schemas.openxmlformats.org/officeDocument/2006/relationships" ref="M114" r:id="rId110"/>
    <hyperlink xmlns:r="http://schemas.openxmlformats.org/officeDocument/2006/relationships" ref="M115" r:id="rId111"/>
    <hyperlink xmlns:r="http://schemas.openxmlformats.org/officeDocument/2006/relationships" ref="M116" r:id="rId112"/>
    <hyperlink xmlns:r="http://schemas.openxmlformats.org/officeDocument/2006/relationships" ref="M117" r:id="rId113"/>
    <hyperlink xmlns:r="http://schemas.openxmlformats.org/officeDocument/2006/relationships" ref="M118" r:id="rId114"/>
    <hyperlink xmlns:r="http://schemas.openxmlformats.org/officeDocument/2006/relationships" ref="M119" r:id="rId115"/>
    <hyperlink xmlns:r="http://schemas.openxmlformats.org/officeDocument/2006/relationships" ref="M120" r:id="rId116"/>
    <hyperlink xmlns:r="http://schemas.openxmlformats.org/officeDocument/2006/relationships" ref="M121" r:id="rId117"/>
    <hyperlink xmlns:r="http://schemas.openxmlformats.org/officeDocument/2006/relationships" ref="M122" r:id="rId118"/>
    <hyperlink xmlns:r="http://schemas.openxmlformats.org/officeDocument/2006/relationships" ref="M123" r:id="rId119"/>
    <hyperlink xmlns:r="http://schemas.openxmlformats.org/officeDocument/2006/relationships" ref="M124" r:id="rId120"/>
    <hyperlink xmlns:r="http://schemas.openxmlformats.org/officeDocument/2006/relationships" ref="M125" r:id="rId121"/>
    <hyperlink xmlns:r="http://schemas.openxmlformats.org/officeDocument/2006/relationships" ref="M126" r:id="rId122"/>
    <hyperlink xmlns:r="http://schemas.openxmlformats.org/officeDocument/2006/relationships" ref="M127" r:id="rId123"/>
    <hyperlink xmlns:r="http://schemas.openxmlformats.org/officeDocument/2006/relationships" ref="M128" r:id="rId124"/>
    <hyperlink xmlns:r="http://schemas.openxmlformats.org/officeDocument/2006/relationships" ref="M129" r:id="rId125"/>
    <hyperlink xmlns:r="http://schemas.openxmlformats.org/officeDocument/2006/relationships" ref="M130" r:id="rId126"/>
    <hyperlink xmlns:r="http://schemas.openxmlformats.org/officeDocument/2006/relationships" ref="M131" r:id="rId127"/>
    <hyperlink xmlns:r="http://schemas.openxmlformats.org/officeDocument/2006/relationships" ref="M132" r:id="rId128"/>
    <hyperlink xmlns:r="http://schemas.openxmlformats.org/officeDocument/2006/relationships" ref="M133" r:id="rId129"/>
    <hyperlink xmlns:r="http://schemas.openxmlformats.org/officeDocument/2006/relationships" ref="M134" r:id="rId130"/>
    <hyperlink xmlns:r="http://schemas.openxmlformats.org/officeDocument/2006/relationships" ref="M135" r:id="rId131"/>
    <hyperlink xmlns:r="http://schemas.openxmlformats.org/officeDocument/2006/relationships" ref="M136" r:id="rId132"/>
    <hyperlink xmlns:r="http://schemas.openxmlformats.org/officeDocument/2006/relationships" ref="M137" r:id="rId133"/>
    <hyperlink xmlns:r="http://schemas.openxmlformats.org/officeDocument/2006/relationships" ref="M138" r:id="rId134"/>
    <hyperlink xmlns:r="http://schemas.openxmlformats.org/officeDocument/2006/relationships" ref="M139" r:id="rId135"/>
    <hyperlink xmlns:r="http://schemas.openxmlformats.org/officeDocument/2006/relationships" ref="M140" r:id="rId136"/>
    <hyperlink xmlns:r="http://schemas.openxmlformats.org/officeDocument/2006/relationships" ref="M141" r:id="rId137"/>
    <hyperlink xmlns:r="http://schemas.openxmlformats.org/officeDocument/2006/relationships" ref="M142" r:id="rId138"/>
    <hyperlink xmlns:r="http://schemas.openxmlformats.org/officeDocument/2006/relationships" ref="M143" r:id="rId139"/>
    <hyperlink xmlns:r="http://schemas.openxmlformats.org/officeDocument/2006/relationships" ref="M144" r:id="rId140"/>
    <hyperlink xmlns:r="http://schemas.openxmlformats.org/officeDocument/2006/relationships" ref="M145" r:id="rId141"/>
    <hyperlink xmlns:r="http://schemas.openxmlformats.org/officeDocument/2006/relationships" ref="M146" r:id="rId142"/>
    <hyperlink xmlns:r="http://schemas.openxmlformats.org/officeDocument/2006/relationships" ref="M147" r:id="rId143"/>
    <hyperlink xmlns:r="http://schemas.openxmlformats.org/officeDocument/2006/relationships" ref="M148" r:id="rId144"/>
    <hyperlink xmlns:r="http://schemas.openxmlformats.org/officeDocument/2006/relationships" ref="M149" r:id="rId145"/>
    <hyperlink xmlns:r="http://schemas.openxmlformats.org/officeDocument/2006/relationships" ref="M150" r:id="rId146"/>
    <hyperlink xmlns:r="http://schemas.openxmlformats.org/officeDocument/2006/relationships" ref="M151" r:id="rId147"/>
    <hyperlink xmlns:r="http://schemas.openxmlformats.org/officeDocument/2006/relationships" ref="M152" r:id="rId148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11" customWidth="1" min="4" max="4"/>
    <col width="11" customWidth="1" min="5" max="5"/>
    <col width="10" customWidth="1" min="6" max="6"/>
    <col width="16" customWidth="1" min="7" max="7"/>
    <col width="9" customWidth="1" min="8" max="8"/>
    <col width="12" customWidth="1" min="9" max="9"/>
  </cols>
  <sheetData>
    <row r="1">
      <c r="A1" s="18" t="inlineStr">
        <is>
          <t>TIẾN ĐỘ KIỂM TRA THEO DANH MỤC</t>
        </is>
      </c>
    </row>
    <row r="3">
      <c r="A3" s="6" t="inlineStr">
        <is>
          <t>Danh mục</t>
        </is>
      </c>
      <c r="B3" s="6" t="inlineStr">
        <is>
          <t>Tổng</t>
        </is>
      </c>
      <c r="C3" s="6" t="inlineStr">
        <is>
          <t>Ưu tiên Cao</t>
        </is>
      </c>
      <c r="D3" s="6" t="inlineStr">
        <is>
          <t>Đã kiểm tra</t>
        </is>
      </c>
      <c r="E3" s="6" t="inlineStr">
        <is>
          <t>Vị trí đúng</t>
        </is>
      </c>
      <c r="F3" s="6" t="inlineStr">
        <is>
          <t>Sửa vị trí</t>
        </is>
      </c>
      <c r="G3" s="6" t="inlineStr">
        <is>
          <t>Không tồn tại / chuyển đi</t>
        </is>
      </c>
      <c r="H3" s="6" t="inlineStr">
        <is>
          <t>Dòng lỗi</t>
        </is>
      </c>
      <c r="I3" s="6" t="inlineStr">
        <is>
          <t>% đã kiểm tra</t>
        </is>
      </c>
    </row>
    <row r="4">
      <c r="A4" s="19" t="inlineStr">
        <is>
          <t>ATM</t>
        </is>
      </c>
      <c r="B4" s="19">
        <f>COUNTIF('Danh sách kiểm tra'!$E$5:$E$152,A4)</f>
        <v/>
      </c>
      <c r="C4" s="19">
        <f>COUNTIFS('Danh sách kiểm tra'!$E$5:$E$152,A4,'Danh sách kiểm tra'!$C$5:$C$152,"Cao")</f>
        <v/>
      </c>
      <c r="D4" s="19">
        <f>COUNTIFS('Danh sách kiểm tra'!$E$5:$E$152,A4,'Danh sách kiểm tra'!$N$5:$N$152,"&lt;&gt;")</f>
        <v/>
      </c>
      <c r="E4" s="19">
        <f>COUNTIFS('Danh sách kiểm tra'!$E$5:$E$152,A4,'Danh sách kiểm tra'!$N$5:$N$152,"Vị trí đúng")</f>
        <v/>
      </c>
      <c r="F4" s="19">
        <f>COUNTIFS('Danh sách kiểm tra'!$E$5:$E$152,A4,'Danh sách kiểm tra'!$N$5:$N$152,"Sửa vị trí")</f>
        <v/>
      </c>
      <c r="G4" s="19">
        <f>COUNTIFS('Danh sách kiểm tra'!$E$5:$E$152,A4,'Danh sách kiểm tra'!$N$5:$N$152,"Địa điểm không tồn tại")+COUNTIFS('Danh sách kiểm tra'!$E$5:$E$152,A4,'Danh sách kiểm tra'!$N$5:$N$152,"Đã chuyển đi (chưa rõ nơi mới)")</f>
        <v/>
      </c>
      <c r="H4" s="19">
        <f>COUNTIFS('Danh sách kiểm tra'!$E$5:$E$152,A4,'Danh sách kiểm tra'!$V$5:$V$152,"&lt;&gt;OK",'Danh sách kiểm tra'!$N$5:$N$152,"&lt;&gt;")</f>
        <v/>
      </c>
      <c r="I4" s="20">
        <f>IF(B4=0,0,D4/B4)</f>
        <v/>
      </c>
    </row>
    <row r="5">
      <c r="A5" s="19" t="inlineStr">
        <is>
          <t>Khách sạn</t>
        </is>
      </c>
      <c r="B5" s="19">
        <f>COUNTIF('Danh sách kiểm tra'!$E$5:$E$152,A5)</f>
        <v/>
      </c>
      <c r="C5" s="19">
        <f>COUNTIFS('Danh sách kiểm tra'!$E$5:$E$152,A5,'Danh sách kiểm tra'!$C$5:$C$152,"Cao")</f>
        <v/>
      </c>
      <c r="D5" s="19">
        <f>COUNTIFS('Danh sách kiểm tra'!$E$5:$E$152,A5,'Danh sách kiểm tra'!$N$5:$N$152,"&lt;&gt;")</f>
        <v/>
      </c>
      <c r="E5" s="19">
        <f>COUNTIFS('Danh sách kiểm tra'!$E$5:$E$152,A5,'Danh sách kiểm tra'!$N$5:$N$152,"Vị trí đúng")</f>
        <v/>
      </c>
      <c r="F5" s="19">
        <f>COUNTIFS('Danh sách kiểm tra'!$E$5:$E$152,A5,'Danh sách kiểm tra'!$N$5:$N$152,"Sửa vị trí")</f>
        <v/>
      </c>
      <c r="G5" s="19">
        <f>COUNTIFS('Danh sách kiểm tra'!$E$5:$E$152,A5,'Danh sách kiểm tra'!$N$5:$N$152,"Địa điểm không tồn tại")+COUNTIFS('Danh sách kiểm tra'!$E$5:$E$152,A5,'Danh sách kiểm tra'!$N$5:$N$152,"Đã chuyển đi (chưa rõ nơi mới)")</f>
        <v/>
      </c>
      <c r="H5" s="19">
        <f>COUNTIFS('Danh sách kiểm tra'!$E$5:$E$152,A5,'Danh sách kiểm tra'!$V$5:$V$152,"&lt;&gt;OK",'Danh sách kiểm tra'!$N$5:$N$152,"&lt;&gt;")</f>
        <v/>
      </c>
      <c r="I5" s="20">
        <f>IF(B5=0,0,D5/B5)</f>
        <v/>
      </c>
    </row>
    <row r="6">
      <c r="A6" s="19" t="inlineStr">
        <is>
          <t>Cây xăng</t>
        </is>
      </c>
      <c r="B6" s="19">
        <f>COUNTIF('Danh sách kiểm tra'!$E$5:$E$152,A6)</f>
        <v/>
      </c>
      <c r="C6" s="19">
        <f>COUNTIFS('Danh sách kiểm tra'!$E$5:$E$152,A6,'Danh sách kiểm tra'!$C$5:$C$152,"Cao")</f>
        <v/>
      </c>
      <c r="D6" s="19">
        <f>COUNTIFS('Danh sách kiểm tra'!$E$5:$E$152,A6,'Danh sách kiểm tra'!$N$5:$N$152,"&lt;&gt;")</f>
        <v/>
      </c>
      <c r="E6" s="19">
        <f>COUNTIFS('Danh sách kiểm tra'!$E$5:$E$152,A6,'Danh sách kiểm tra'!$N$5:$N$152,"Vị trí đúng")</f>
        <v/>
      </c>
      <c r="F6" s="19">
        <f>COUNTIFS('Danh sách kiểm tra'!$E$5:$E$152,A6,'Danh sách kiểm tra'!$N$5:$N$152,"Sửa vị trí")</f>
        <v/>
      </c>
      <c r="G6" s="19">
        <f>COUNTIFS('Danh sách kiểm tra'!$E$5:$E$152,A6,'Danh sách kiểm tra'!$N$5:$N$152,"Địa điểm không tồn tại")+COUNTIFS('Danh sách kiểm tra'!$E$5:$E$152,A6,'Danh sách kiểm tra'!$N$5:$N$152,"Đã chuyển đi (chưa rõ nơi mới)")</f>
        <v/>
      </c>
      <c r="H6" s="19">
        <f>COUNTIFS('Danh sách kiểm tra'!$E$5:$E$152,A6,'Danh sách kiểm tra'!$V$5:$V$152,"&lt;&gt;OK",'Danh sách kiểm tra'!$N$5:$N$152,"&lt;&gt;")</f>
        <v/>
      </c>
      <c r="I6" s="20">
        <f>IF(B6=0,0,D6/B6)</f>
        <v/>
      </c>
    </row>
    <row r="7">
      <c r="A7" s="19" t="inlineStr">
        <is>
          <t>Nhà nghỉ</t>
        </is>
      </c>
      <c r="B7" s="19">
        <f>COUNTIF('Danh sách kiểm tra'!$E$5:$E$152,A7)</f>
        <v/>
      </c>
      <c r="C7" s="19">
        <f>COUNTIFS('Danh sách kiểm tra'!$E$5:$E$152,A7,'Danh sách kiểm tra'!$C$5:$C$152,"Cao")</f>
        <v/>
      </c>
      <c r="D7" s="19">
        <f>COUNTIFS('Danh sách kiểm tra'!$E$5:$E$152,A7,'Danh sách kiểm tra'!$N$5:$N$152,"&lt;&gt;")</f>
        <v/>
      </c>
      <c r="E7" s="19">
        <f>COUNTIFS('Danh sách kiểm tra'!$E$5:$E$152,A7,'Danh sách kiểm tra'!$N$5:$N$152,"Vị trí đúng")</f>
        <v/>
      </c>
      <c r="F7" s="19">
        <f>COUNTIFS('Danh sách kiểm tra'!$E$5:$E$152,A7,'Danh sách kiểm tra'!$N$5:$N$152,"Sửa vị trí")</f>
        <v/>
      </c>
      <c r="G7" s="19">
        <f>COUNTIFS('Danh sách kiểm tra'!$E$5:$E$152,A7,'Danh sách kiểm tra'!$N$5:$N$152,"Địa điểm không tồn tại")+COUNTIFS('Danh sách kiểm tra'!$E$5:$E$152,A7,'Danh sách kiểm tra'!$N$5:$N$152,"Đã chuyển đi (chưa rõ nơi mới)")</f>
        <v/>
      </c>
      <c r="H7" s="19">
        <f>COUNTIFS('Danh sách kiểm tra'!$E$5:$E$152,A7,'Danh sách kiểm tra'!$V$5:$V$152,"&lt;&gt;OK",'Danh sách kiểm tra'!$N$5:$N$152,"&lt;&gt;")</f>
        <v/>
      </c>
      <c r="I7" s="20">
        <f>IF(B7=0,0,D7/B7)</f>
        <v/>
      </c>
    </row>
    <row r="8">
      <c r="A8" s="19" t="inlineStr">
        <is>
          <t>Ngân hàng</t>
        </is>
      </c>
      <c r="B8" s="19">
        <f>COUNTIF('Danh sách kiểm tra'!$E$5:$E$152,A8)</f>
        <v/>
      </c>
      <c r="C8" s="19">
        <f>COUNTIFS('Danh sách kiểm tra'!$E$5:$E$152,A8,'Danh sách kiểm tra'!$C$5:$C$152,"Cao")</f>
        <v/>
      </c>
      <c r="D8" s="19">
        <f>COUNTIFS('Danh sách kiểm tra'!$E$5:$E$152,A8,'Danh sách kiểm tra'!$N$5:$N$152,"&lt;&gt;")</f>
        <v/>
      </c>
      <c r="E8" s="19">
        <f>COUNTIFS('Danh sách kiểm tra'!$E$5:$E$152,A8,'Danh sách kiểm tra'!$N$5:$N$152,"Vị trí đúng")</f>
        <v/>
      </c>
      <c r="F8" s="19">
        <f>COUNTIFS('Danh sách kiểm tra'!$E$5:$E$152,A8,'Danh sách kiểm tra'!$N$5:$N$152,"Sửa vị trí")</f>
        <v/>
      </c>
      <c r="G8" s="19">
        <f>COUNTIFS('Danh sách kiểm tra'!$E$5:$E$152,A8,'Danh sách kiểm tra'!$N$5:$N$152,"Địa điểm không tồn tại")+COUNTIFS('Danh sách kiểm tra'!$E$5:$E$152,A8,'Danh sách kiểm tra'!$N$5:$N$152,"Đã chuyển đi (chưa rõ nơi mới)")</f>
        <v/>
      </c>
      <c r="H8" s="19">
        <f>COUNTIFS('Danh sách kiểm tra'!$E$5:$E$152,A8,'Danh sách kiểm tra'!$V$5:$V$152,"&lt;&gt;OK",'Danh sách kiểm tra'!$N$5:$N$152,"&lt;&gt;")</f>
        <v/>
      </c>
      <c r="I8" s="20">
        <f>IF(B8=0,0,D8/B8)</f>
        <v/>
      </c>
    </row>
    <row r="9">
      <c r="A9" s="19" t="inlineStr">
        <is>
          <t>Địa danh văn hóa</t>
        </is>
      </c>
      <c r="B9" s="19">
        <f>COUNTIF('Danh sách kiểm tra'!$E$5:$E$152,A9)</f>
        <v/>
      </c>
      <c r="C9" s="19">
        <f>COUNTIFS('Danh sách kiểm tra'!$E$5:$E$152,A9,'Danh sách kiểm tra'!$C$5:$C$152,"Cao")</f>
        <v/>
      </c>
      <c r="D9" s="19">
        <f>COUNTIFS('Danh sách kiểm tra'!$E$5:$E$152,A9,'Danh sách kiểm tra'!$N$5:$N$152,"&lt;&gt;")</f>
        <v/>
      </c>
      <c r="E9" s="19">
        <f>COUNTIFS('Danh sách kiểm tra'!$E$5:$E$152,A9,'Danh sách kiểm tra'!$N$5:$N$152,"Vị trí đúng")</f>
        <v/>
      </c>
      <c r="F9" s="19">
        <f>COUNTIFS('Danh sách kiểm tra'!$E$5:$E$152,A9,'Danh sách kiểm tra'!$N$5:$N$152,"Sửa vị trí")</f>
        <v/>
      </c>
      <c r="G9" s="19">
        <f>COUNTIFS('Danh sách kiểm tra'!$E$5:$E$152,A9,'Danh sách kiểm tra'!$N$5:$N$152,"Địa điểm không tồn tại")+COUNTIFS('Danh sách kiểm tra'!$E$5:$E$152,A9,'Danh sách kiểm tra'!$N$5:$N$152,"Đã chuyển đi (chưa rõ nơi mới)")</f>
        <v/>
      </c>
      <c r="H9" s="19">
        <f>COUNTIFS('Danh sách kiểm tra'!$E$5:$E$152,A9,'Danh sách kiểm tra'!$V$5:$V$152,"&lt;&gt;OK",'Danh sách kiểm tra'!$N$5:$N$152,"&lt;&gt;")</f>
        <v/>
      </c>
      <c r="I9" s="20">
        <f>IF(B9=0,0,D9/B9)</f>
        <v/>
      </c>
    </row>
    <row r="10">
      <c r="A10" s="19" t="inlineStr">
        <is>
          <t>Chợ</t>
        </is>
      </c>
      <c r="B10" s="19">
        <f>COUNTIF('Danh sách kiểm tra'!$E$5:$E$152,A10)</f>
        <v/>
      </c>
      <c r="C10" s="19">
        <f>COUNTIFS('Danh sách kiểm tra'!$E$5:$E$152,A10,'Danh sách kiểm tra'!$C$5:$C$152,"Cao")</f>
        <v/>
      </c>
      <c r="D10" s="19">
        <f>COUNTIFS('Danh sách kiểm tra'!$E$5:$E$152,A10,'Danh sách kiểm tra'!$N$5:$N$152,"&lt;&gt;")</f>
        <v/>
      </c>
      <c r="E10" s="19">
        <f>COUNTIFS('Danh sách kiểm tra'!$E$5:$E$152,A10,'Danh sách kiểm tra'!$N$5:$N$152,"Vị trí đúng")</f>
        <v/>
      </c>
      <c r="F10" s="19">
        <f>COUNTIFS('Danh sách kiểm tra'!$E$5:$E$152,A10,'Danh sách kiểm tra'!$N$5:$N$152,"Sửa vị trí")</f>
        <v/>
      </c>
      <c r="G10" s="19">
        <f>COUNTIFS('Danh sách kiểm tra'!$E$5:$E$152,A10,'Danh sách kiểm tra'!$N$5:$N$152,"Địa điểm không tồn tại")+COUNTIFS('Danh sách kiểm tra'!$E$5:$E$152,A10,'Danh sách kiểm tra'!$N$5:$N$152,"Đã chuyển đi (chưa rõ nơi mới)")</f>
        <v/>
      </c>
      <c r="H10" s="19">
        <f>COUNTIFS('Danh sách kiểm tra'!$E$5:$E$152,A10,'Danh sách kiểm tra'!$V$5:$V$152,"&lt;&gt;OK",'Danh sách kiểm tra'!$N$5:$N$152,"&lt;&gt;")</f>
        <v/>
      </c>
      <c r="I10" s="20">
        <f>IF(B10=0,0,D10/B10)</f>
        <v/>
      </c>
    </row>
    <row r="11">
      <c r="A11" s="19" t="inlineStr">
        <is>
          <t>Danh lam thắng cảnh</t>
        </is>
      </c>
      <c r="B11" s="19">
        <f>COUNTIF('Danh sách kiểm tra'!$E$5:$E$152,A11)</f>
        <v/>
      </c>
      <c r="C11" s="19">
        <f>COUNTIFS('Danh sách kiểm tra'!$E$5:$E$152,A11,'Danh sách kiểm tra'!$C$5:$C$152,"Cao")</f>
        <v/>
      </c>
      <c r="D11" s="19">
        <f>COUNTIFS('Danh sách kiểm tra'!$E$5:$E$152,A11,'Danh sách kiểm tra'!$N$5:$N$152,"&lt;&gt;")</f>
        <v/>
      </c>
      <c r="E11" s="19">
        <f>COUNTIFS('Danh sách kiểm tra'!$E$5:$E$152,A11,'Danh sách kiểm tra'!$N$5:$N$152,"Vị trí đúng")</f>
        <v/>
      </c>
      <c r="F11" s="19">
        <f>COUNTIFS('Danh sách kiểm tra'!$E$5:$E$152,A11,'Danh sách kiểm tra'!$N$5:$N$152,"Sửa vị trí")</f>
        <v/>
      </c>
      <c r="G11" s="19">
        <f>COUNTIFS('Danh sách kiểm tra'!$E$5:$E$152,A11,'Danh sách kiểm tra'!$N$5:$N$152,"Địa điểm không tồn tại")+COUNTIFS('Danh sách kiểm tra'!$E$5:$E$152,A11,'Danh sách kiểm tra'!$N$5:$N$152,"Đã chuyển đi (chưa rõ nơi mới)")</f>
        <v/>
      </c>
      <c r="H11" s="19">
        <f>COUNTIFS('Danh sách kiểm tra'!$E$5:$E$152,A11,'Danh sách kiểm tra'!$V$5:$V$152,"&lt;&gt;OK",'Danh sách kiểm tra'!$N$5:$N$152,"&lt;&gt;")</f>
        <v/>
      </c>
      <c r="I11" s="20">
        <f>IF(B11=0,0,D11/B11)</f>
        <v/>
      </c>
    </row>
    <row r="12">
      <c r="A12" s="19" t="inlineStr">
        <is>
          <t>Homestay</t>
        </is>
      </c>
      <c r="B12" s="19">
        <f>COUNTIF('Danh sách kiểm tra'!$E$5:$E$152,A12)</f>
        <v/>
      </c>
      <c r="C12" s="19">
        <f>COUNTIFS('Danh sách kiểm tra'!$E$5:$E$152,A12,'Danh sách kiểm tra'!$C$5:$C$152,"Cao")</f>
        <v/>
      </c>
      <c r="D12" s="19">
        <f>COUNTIFS('Danh sách kiểm tra'!$E$5:$E$152,A12,'Danh sách kiểm tra'!$N$5:$N$152,"&lt;&gt;")</f>
        <v/>
      </c>
      <c r="E12" s="19">
        <f>COUNTIFS('Danh sách kiểm tra'!$E$5:$E$152,A12,'Danh sách kiểm tra'!$N$5:$N$152,"Vị trí đúng")</f>
        <v/>
      </c>
      <c r="F12" s="19">
        <f>COUNTIFS('Danh sách kiểm tra'!$E$5:$E$152,A12,'Danh sách kiểm tra'!$N$5:$N$152,"Sửa vị trí")</f>
        <v/>
      </c>
      <c r="G12" s="19">
        <f>COUNTIFS('Danh sách kiểm tra'!$E$5:$E$152,A12,'Danh sách kiểm tra'!$N$5:$N$152,"Địa điểm không tồn tại")+COUNTIFS('Danh sách kiểm tra'!$E$5:$E$152,A12,'Danh sách kiểm tra'!$N$5:$N$152,"Đã chuyển đi (chưa rõ nơi mới)")</f>
        <v/>
      </c>
      <c r="H12" s="19">
        <f>COUNTIFS('Danh sách kiểm tra'!$E$5:$E$152,A12,'Danh sách kiểm tra'!$V$5:$V$152,"&lt;&gt;OK",'Danh sách kiểm tra'!$N$5:$N$152,"&lt;&gt;")</f>
        <v/>
      </c>
      <c r="I12" s="20">
        <f>IF(B12=0,0,D12/B12)</f>
        <v/>
      </c>
    </row>
    <row r="13">
      <c r="A13" s="19" t="inlineStr">
        <is>
          <t>Địa điểm check-in</t>
        </is>
      </c>
      <c r="B13" s="19">
        <f>COUNTIF('Danh sách kiểm tra'!$E$5:$E$152,A13)</f>
        <v/>
      </c>
      <c r="C13" s="19">
        <f>COUNTIFS('Danh sách kiểm tra'!$E$5:$E$152,A13,'Danh sách kiểm tra'!$C$5:$C$152,"Cao")</f>
        <v/>
      </c>
      <c r="D13" s="19">
        <f>COUNTIFS('Danh sách kiểm tra'!$E$5:$E$152,A13,'Danh sách kiểm tra'!$N$5:$N$152,"&lt;&gt;")</f>
        <v/>
      </c>
      <c r="E13" s="19">
        <f>COUNTIFS('Danh sách kiểm tra'!$E$5:$E$152,A13,'Danh sách kiểm tra'!$N$5:$N$152,"Vị trí đúng")</f>
        <v/>
      </c>
      <c r="F13" s="19">
        <f>COUNTIFS('Danh sách kiểm tra'!$E$5:$E$152,A13,'Danh sách kiểm tra'!$N$5:$N$152,"Sửa vị trí")</f>
        <v/>
      </c>
      <c r="G13" s="19">
        <f>COUNTIFS('Danh sách kiểm tra'!$E$5:$E$152,A13,'Danh sách kiểm tra'!$N$5:$N$152,"Địa điểm không tồn tại")+COUNTIFS('Danh sách kiểm tra'!$E$5:$E$152,A13,'Danh sách kiểm tra'!$N$5:$N$152,"Đã chuyển đi (chưa rõ nơi mới)")</f>
        <v/>
      </c>
      <c r="H13" s="19">
        <f>COUNTIFS('Danh sách kiểm tra'!$E$5:$E$152,A13,'Danh sách kiểm tra'!$V$5:$V$152,"&lt;&gt;OK",'Danh sách kiểm tra'!$N$5:$N$152,"&lt;&gt;")</f>
        <v/>
      </c>
      <c r="I13" s="20">
        <f>IF(B13=0,0,D13/B13)</f>
        <v/>
      </c>
    </row>
    <row r="14">
      <c r="A14" s="19" t="inlineStr">
        <is>
          <t>Trạm sạc</t>
        </is>
      </c>
      <c r="B14" s="19">
        <f>COUNTIF('Danh sách kiểm tra'!$E$5:$E$152,A14)</f>
        <v/>
      </c>
      <c r="C14" s="19">
        <f>COUNTIFS('Danh sách kiểm tra'!$E$5:$E$152,A14,'Danh sách kiểm tra'!$C$5:$C$152,"Cao")</f>
        <v/>
      </c>
      <c r="D14" s="19">
        <f>COUNTIFS('Danh sách kiểm tra'!$E$5:$E$152,A14,'Danh sách kiểm tra'!$N$5:$N$152,"&lt;&gt;")</f>
        <v/>
      </c>
      <c r="E14" s="19">
        <f>COUNTIFS('Danh sách kiểm tra'!$E$5:$E$152,A14,'Danh sách kiểm tra'!$N$5:$N$152,"Vị trí đúng")</f>
        <v/>
      </c>
      <c r="F14" s="19">
        <f>COUNTIFS('Danh sách kiểm tra'!$E$5:$E$152,A14,'Danh sách kiểm tra'!$N$5:$N$152,"Sửa vị trí")</f>
        <v/>
      </c>
      <c r="G14" s="19">
        <f>COUNTIFS('Danh sách kiểm tra'!$E$5:$E$152,A14,'Danh sách kiểm tra'!$N$5:$N$152,"Địa điểm không tồn tại")+COUNTIFS('Danh sách kiểm tra'!$E$5:$E$152,A14,'Danh sách kiểm tra'!$N$5:$N$152,"Đã chuyển đi (chưa rõ nơi mới)")</f>
        <v/>
      </c>
      <c r="H14" s="19">
        <f>COUNTIFS('Danh sách kiểm tra'!$E$5:$E$152,A14,'Danh sách kiểm tra'!$V$5:$V$152,"&lt;&gt;OK",'Danh sách kiểm tra'!$N$5:$N$152,"&lt;&gt;")</f>
        <v/>
      </c>
      <c r="I14" s="20">
        <f>IF(B14=0,0,D14/B14)</f>
        <v/>
      </c>
    </row>
    <row r="15">
      <c r="A15" s="17" t="inlineStr">
        <is>
          <t>Tổng</t>
        </is>
      </c>
      <c r="B15" s="17">
        <f>SUM(B4:B14)</f>
        <v/>
      </c>
      <c r="C15" s="17">
        <f>SUM(C4:C14)</f>
        <v/>
      </c>
      <c r="D15" s="17">
        <f>SUM(D4:D14)</f>
        <v/>
      </c>
      <c r="E15" s="17">
        <f>SUM(E4:E14)</f>
        <v/>
      </c>
      <c r="F15" s="17">
        <f>SUM(F4:F14)</f>
        <v/>
      </c>
      <c r="G15" s="17">
        <f>SUM(G4:G14)</f>
        <v/>
      </c>
      <c r="H15" s="17">
        <f>SUM(H4:H14)</f>
        <v/>
      </c>
      <c r="I15" s="21">
        <f>IF(B15=0,0,D15/B15)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2026-10-17T04:04:16Z</dcterms:created>
  <dcterms:modified xmlns:dcterms="http://purl.org/dc/terms/" xmlns:xsi="http://www.w3.org/2001/XMLSchema-instance" xsi:type="dcterms:W3CDTF">2026-10-17T04:04:16Z</dcterms:modified>
</cp:coreProperties>
</file>