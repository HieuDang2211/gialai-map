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Danh sách khảo sát" sheetId="2" state="visible" r:id="rId2"/>
    <sheet xmlns:r="http://schemas.openxmlformats.org/officeDocument/2006/relationships" name="Quán phát hiện thêm" sheetId="3" state="visible" r:id="rId3"/>
    <sheet xmlns:r="http://schemas.openxmlformats.org/officeDocument/2006/relationships" name="Tiến độ" sheetId="4" state="visible" r:id="rId4"/>
    <sheet xmlns:r="http://schemas.openxmlformats.org/officeDocument/2006/relationships" name="Phiếu cung cấp thông tin" sheetId="5" state="visible" r:id="rId5"/>
    <sheet xmlns:r="http://schemas.openxmlformats.org/officeDocument/2006/relationships" name="Đã loại" sheetId="6" state="visible" r:id="rId6"/>
  </sheets>
  <definedNames>
    <definedName name="_xlnm._FilterDatabase" localSheetId="1" hidden="1">'Danh sách khảo sát'!$A$4:$R$388</definedName>
    <definedName name="_xlnm.Print_Titles" localSheetId="1">'Danh sách khảo sát'!$4:$4</definedName>
    <definedName name="_xlnm.Print_Titles" localSheetId="2">'Quán phát hiện thêm'!$4:$4</definedName>
    <definedName name="_xlnm.Print_Area" localSheetId="4">'Phiếu cung cấp thông tin'!$A$1:$H$39</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0F766E"/>
      <sz val="14"/>
    </font>
    <font>
      <name val="Arial"/>
      <i val="1"/>
      <color rgb="00475569"/>
      <sz val="9"/>
    </font>
    <font>
      <name val="Arial"/>
      <b val="1"/>
      <color rgb="00FFFFFF"/>
      <sz val="10"/>
    </font>
    <font>
      <name val="Arial"/>
      <sz val="10"/>
    </font>
    <font>
      <name val="Arial"/>
      <color rgb="001D4ED8"/>
      <sz val="10"/>
      <u val="single"/>
    </font>
    <font>
      <name val="Arial"/>
      <b val="1"/>
      <color rgb="000F766E"/>
      <sz val="13"/>
    </font>
    <font>
      <name val="Arial"/>
      <b val="1"/>
      <sz val="10"/>
    </font>
    <font>
      <name val="Arial"/>
      <b val="1"/>
      <color rgb="000F766E"/>
      <sz val="11"/>
    </font>
  </fonts>
  <fills count="6">
    <fill>
      <patternFill/>
    </fill>
    <fill>
      <patternFill patternType="gray125"/>
    </fill>
    <fill>
      <patternFill patternType="solid">
        <fgColor rgb="000F766E"/>
      </patternFill>
    </fill>
    <fill>
      <patternFill patternType="solid">
        <fgColor rgb="00B45309"/>
      </patternFill>
    </fill>
    <fill>
      <patternFill patternType="solid">
        <fgColor rgb="00FEF3C7"/>
      </patternFill>
    </fill>
    <fill>
      <patternFill patternType="solid">
        <fgColor rgb="00FFFBEB"/>
      </patternFill>
    </fill>
  </fills>
  <borders count="2">
    <border>
      <left/>
      <right/>
      <top/>
      <bottom/>
      <diagonal/>
    </border>
    <border>
      <left style="thin">
        <color rgb="0094A3B8"/>
      </left>
      <right style="thin">
        <color rgb="0094A3B8"/>
      </right>
      <top style="thin">
        <color rgb="0094A3B8"/>
      </top>
      <bottom style="thin">
        <color rgb="0094A3B8"/>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xf>
    <xf numFmtId="164" fontId="4" fillId="5" borderId="1" pivotButton="0" quotePrefix="0" xfId="0"/>
    <xf numFmtId="0" fontId="4" fillId="5" borderId="1" pivotButton="0" quotePrefix="0" xfId="0"/>
    <xf numFmtId="0" fontId="6" fillId="0" borderId="0" pivotButton="0" quotePrefix="0" xfId="0"/>
    <xf numFmtId="0" fontId="4" fillId="0" borderId="1" pivotButton="0" quotePrefix="0" xfId="0"/>
    <xf numFmtId="9" fontId="4" fillId="0" borderId="1" pivotButton="0" quotePrefix="0" xfId="0"/>
    <xf numFmtId="0" fontId="7" fillId="0" borderId="1" pivotButton="0" quotePrefix="0" xfId="0"/>
    <xf numFmtId="9" fontId="7" fillId="0" borderId="1" pivotButton="0" quotePrefix="0" xfId="0"/>
    <xf numFmtId="0" fontId="1" fillId="0" borderId="0" applyAlignment="1" pivotButton="0" quotePrefix="0" xfId="0">
      <alignment horizontal="center" vertical="center"/>
    </xf>
    <xf numFmtId="0" fontId="4" fillId="0" borderId="0" pivotButton="0" quotePrefix="0" xfId="0"/>
    <xf numFmtId="0" fontId="8" fillId="0" borderId="0" applyAlignment="1" pivotButton="0" quotePrefix="0" xfId="0">
      <alignment horizontal="left" vertical="center"/>
    </xf>
    <xf numFmtId="0" fontId="7" fillId="0" borderId="1" applyAlignment="1" pivotButton="0" quotePrefix="0" xfId="0">
      <alignment vertical="center" wrapText="1"/>
    </xf>
    <xf numFmtId="0" fontId="0" fillId="0" borderId="1" pivotButton="0" quotePrefix="0" xfId="0"/>
    <xf numFmtId="0" fontId="4" fillId="0" borderId="1" applyAlignment="1" pivotButton="0" quotePrefix="0" xfId="0">
      <alignment vertical="center" wrapText="1"/>
    </xf>
    <xf numFmtId="0" fontId="7" fillId="0" borderId="1" applyAlignment="1" pivotButton="0" quotePrefix="0" xfId="0">
      <alignment horizontal="center"/>
    </xf>
    <xf numFmtId="0" fontId="7" fillId="0" borderId="0" pivotButton="0" quotePrefix="0" xfId="0"/>
  </cellXfs>
  <cellStyles count="1">
    <cellStyle name="Normal" xfId="0" builtinId="0" hidden="0"/>
  </cellStyles>
  <dxfs count="2">
    <dxf>
      <font>
        <name val="Arial"/>
        <b val="1"/>
        <color rgb="0015803D"/>
      </font>
      <fill>
        <patternFill patternType="solid">
          <fgColor rgb="00DCFCE7"/>
        </patternFill>
      </fill>
    </dxf>
    <dxf>
      <font>
        <name val="Arial"/>
        <color rgb="00B91C1C"/>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penstreetmap.org/?mlat=13.978421&amp;mlon=108.009942#map=19/13.978421/108.009942" TargetMode="External" Id="rId1"/><Relationship Type="http://schemas.openxmlformats.org/officeDocument/2006/relationships/hyperlink" Target="https://www.openstreetmap.org/?mlat=13.978556&amp;mlon=108.009966#map=19/13.978556/108.009966" TargetMode="External" Id="rId2"/><Relationship Type="http://schemas.openxmlformats.org/officeDocument/2006/relationships/hyperlink" Target="https://www.openstreetmap.org/?mlat=13.969257&amp;mlon=108.005156#map=19/13.969257/108.005156" TargetMode="External" Id="rId3"/><Relationship Type="http://schemas.openxmlformats.org/officeDocument/2006/relationships/hyperlink" Target="https://www.openstreetmap.org/?mlat=13.974681&amp;mlon=108.010085#map=19/13.974681/108.010085" TargetMode="External" Id="rId4"/><Relationship Type="http://schemas.openxmlformats.org/officeDocument/2006/relationships/hyperlink" Target="https://www.openstreetmap.org/?mlat=13.977063&amp;mlon=108.010390#map=19/13.977063/108.010390" TargetMode="External" Id="rId5"/><Relationship Type="http://schemas.openxmlformats.org/officeDocument/2006/relationships/hyperlink" Target="https://www.openstreetmap.org/?mlat=13.976456&amp;mlon=108.010139#map=19/13.976456/108.010139" TargetMode="External" Id="rId6"/><Relationship Type="http://schemas.openxmlformats.org/officeDocument/2006/relationships/hyperlink" Target="https://www.openstreetmap.org/?mlat=13.966799&amp;mlon=108.003920#map=19/13.966799/108.003920" TargetMode="External" Id="rId7"/><Relationship Type="http://schemas.openxmlformats.org/officeDocument/2006/relationships/hyperlink" Target="https://www.openstreetmap.org/?mlat=13.968439&amp;mlon=108.005009#map=19/13.968439/108.005009" TargetMode="External" Id="rId8"/><Relationship Type="http://schemas.openxmlformats.org/officeDocument/2006/relationships/hyperlink" Target="https://www.openstreetmap.org/?mlat=13.976786&amp;mlon=108.010216#map=19/13.976786/108.010216" TargetMode="External" Id="rId9"/><Relationship Type="http://schemas.openxmlformats.org/officeDocument/2006/relationships/hyperlink" Target="https://www.openstreetmap.org/?mlat=13.978543&amp;mlon=108.010002#map=19/13.978543/108.010002" TargetMode="External" Id="rId10"/><Relationship Type="http://schemas.openxmlformats.org/officeDocument/2006/relationships/hyperlink" Target="https://www.openstreetmap.org/?mlat=13.977784&amp;mlon=108.010916#map=19/13.977784/108.010916" TargetMode="External" Id="rId11"/><Relationship Type="http://schemas.openxmlformats.org/officeDocument/2006/relationships/hyperlink" Target="https://www.openstreetmap.org/?mlat=13.975497&amp;mlon=108.010085#map=19/13.975497/108.010085" TargetMode="External" Id="rId12"/><Relationship Type="http://schemas.openxmlformats.org/officeDocument/2006/relationships/hyperlink" Target="https://www.openstreetmap.org/?mlat=13.977961&amp;mlon=108.010949#map=19/13.977961/108.010949" TargetMode="External" Id="rId13"/><Relationship Type="http://schemas.openxmlformats.org/officeDocument/2006/relationships/hyperlink" Target="https://www.openstreetmap.org/?mlat=13.977831&amp;mlon=108.009714#map=19/13.977831/108.009714" TargetMode="External" Id="rId14"/><Relationship Type="http://schemas.openxmlformats.org/officeDocument/2006/relationships/hyperlink" Target="https://www.openstreetmap.org/?mlat=13.992810&amp;mlon=108.015800#map=19/13.992810/108.015800" TargetMode="External" Id="rId15"/><Relationship Type="http://schemas.openxmlformats.org/officeDocument/2006/relationships/hyperlink" Target="https://www.openstreetmap.org/?mlat=13.992769&amp;mlon=108.015970#map=19/13.992769/108.015970" TargetMode="External" Id="rId16"/><Relationship Type="http://schemas.openxmlformats.org/officeDocument/2006/relationships/hyperlink" Target="https://www.openstreetmap.org/?mlat=13.993375&amp;mlon=108.016533#map=19/13.993375/108.016533" TargetMode="External" Id="rId17"/><Relationship Type="http://schemas.openxmlformats.org/officeDocument/2006/relationships/hyperlink" Target="https://www.openstreetmap.org/?mlat=13.990079&amp;mlon=108.021927#map=19/13.990079/108.021927" TargetMode="External" Id="rId18"/><Relationship Type="http://schemas.openxmlformats.org/officeDocument/2006/relationships/hyperlink" Target="https://www.openstreetmap.org/?mlat=13.979126&amp;mlon=108.000280#map=19/13.979126/108.000280" TargetMode="External" Id="rId19"/><Relationship Type="http://schemas.openxmlformats.org/officeDocument/2006/relationships/hyperlink" Target="https://www.openstreetmap.org/?mlat=13.987381&amp;mlon=108.008105#map=19/13.987381/108.008105" TargetMode="External" Id="rId20"/><Relationship Type="http://schemas.openxmlformats.org/officeDocument/2006/relationships/hyperlink" Target="https://www.openstreetmap.org/?mlat=13.987931&amp;mlon=108.013291#map=19/13.987931/108.013291" TargetMode="External" Id="rId21"/><Relationship Type="http://schemas.openxmlformats.org/officeDocument/2006/relationships/hyperlink" Target="https://www.openstreetmap.org/?mlat=13.987143&amp;mlon=108.015244#map=19/13.987143/108.015244" TargetMode="External" Id="rId22"/><Relationship Type="http://schemas.openxmlformats.org/officeDocument/2006/relationships/hyperlink" Target="https://www.openstreetmap.org/?mlat=13.987039&amp;mlon=108.017244#map=19/13.987039/108.017244" TargetMode="External" Id="rId23"/><Relationship Type="http://schemas.openxmlformats.org/officeDocument/2006/relationships/hyperlink" Target="https://www.openstreetmap.org/?mlat=13.987190&amp;mlon=108.027392#map=19/13.987190/108.027392" TargetMode="External" Id="rId24"/><Relationship Type="http://schemas.openxmlformats.org/officeDocument/2006/relationships/hyperlink" Target="https://www.openstreetmap.org/?mlat=13.985914&amp;mlon=108.024779#map=19/13.985914/108.024779" TargetMode="External" Id="rId25"/><Relationship Type="http://schemas.openxmlformats.org/officeDocument/2006/relationships/hyperlink" Target="https://www.openstreetmap.org/?mlat=13.986790&amp;mlon=108.027977#map=19/13.986790/108.027977" TargetMode="External" Id="rId26"/><Relationship Type="http://schemas.openxmlformats.org/officeDocument/2006/relationships/hyperlink" Target="https://www.openstreetmap.org/?mlat=13.973624&amp;mlon=108.013999#map=19/13.973624/108.013999" TargetMode="External" Id="rId27"/><Relationship Type="http://schemas.openxmlformats.org/officeDocument/2006/relationships/hyperlink" Target="https://www.openstreetmap.org/?mlat=13.979530&amp;mlon=108.005863#map=19/13.979530/108.005863" TargetMode="External" Id="rId28"/><Relationship Type="http://schemas.openxmlformats.org/officeDocument/2006/relationships/hyperlink" Target="https://www.openstreetmap.org/?mlat=13.982603&amp;mlon=108.009120#map=19/13.982603/108.009120" TargetMode="External" Id="rId29"/><Relationship Type="http://schemas.openxmlformats.org/officeDocument/2006/relationships/hyperlink" Target="https://www.openstreetmap.org/?mlat=13.978142&amp;mlon=108.004993#map=19/13.978142/108.004993" TargetMode="External" Id="rId30"/><Relationship Type="http://schemas.openxmlformats.org/officeDocument/2006/relationships/hyperlink" Target="https://www.openstreetmap.org/?mlat=13.975901&amp;mlon=108.007150#map=19/13.975901/108.007150" TargetMode="External" Id="rId31"/><Relationship Type="http://schemas.openxmlformats.org/officeDocument/2006/relationships/hyperlink" Target="https://www.openstreetmap.org/?mlat=13.976654&amp;mlon=108.004401#map=19/13.976654/108.004401" TargetMode="External" Id="rId32"/><Relationship Type="http://schemas.openxmlformats.org/officeDocument/2006/relationships/hyperlink" Target="https://www.openstreetmap.org/?mlat=13.975903&amp;mlon=108.007155#map=19/13.975903/108.007155" TargetMode="External" Id="rId33"/><Relationship Type="http://schemas.openxmlformats.org/officeDocument/2006/relationships/hyperlink" Target="https://www.openstreetmap.org/?mlat=13.975202&amp;mlon=108.008160#map=19/13.975202/108.008160" TargetMode="External" Id="rId34"/><Relationship Type="http://schemas.openxmlformats.org/officeDocument/2006/relationships/hyperlink" Target="https://www.openstreetmap.org/?mlat=13.989950&amp;mlon=107.997022#map=19/13.989950/107.997022" TargetMode="External" Id="rId35"/><Relationship Type="http://schemas.openxmlformats.org/officeDocument/2006/relationships/hyperlink" Target="https://www.openstreetmap.org/?mlat=13.975259&amp;mlon=108.012808#map=19/13.975259/108.012808" TargetMode="External" Id="rId36"/><Relationship Type="http://schemas.openxmlformats.org/officeDocument/2006/relationships/hyperlink" Target="https://www.openstreetmap.org/?mlat=13.969606&amp;mlon=108.005048#map=19/13.969606/108.005048" TargetMode="External" Id="rId37"/><Relationship Type="http://schemas.openxmlformats.org/officeDocument/2006/relationships/hyperlink" Target="https://www.openstreetmap.org/?mlat=13.988107&amp;mlon=108.019225#map=19/13.988107/108.019225" TargetMode="External" Id="rId38"/><Relationship Type="http://schemas.openxmlformats.org/officeDocument/2006/relationships/hyperlink" Target="https://www.openstreetmap.org/?mlat=13.972749&amp;mlon=108.017294#map=19/13.972749/108.017294" TargetMode="External" Id="rId39"/><Relationship Type="http://schemas.openxmlformats.org/officeDocument/2006/relationships/hyperlink" Target="https://www.openstreetmap.org/?mlat=13.987801&amp;mlon=108.039076#map=19/13.987801/108.039076" TargetMode="External" Id="rId40"/><Relationship Type="http://schemas.openxmlformats.org/officeDocument/2006/relationships/hyperlink" Target="https://www.openstreetmap.org/?mlat=13.993757&amp;mlon=108.021311#map=19/13.993757/108.021311" TargetMode="External" Id="rId41"/><Relationship Type="http://schemas.openxmlformats.org/officeDocument/2006/relationships/hyperlink" Target="https://www.openstreetmap.org/?mlat=13.978085&amp;mlon=108.011104#map=19/13.978085/108.011104" TargetMode="External" Id="rId42"/><Relationship Type="http://schemas.openxmlformats.org/officeDocument/2006/relationships/hyperlink" Target="https://www.openstreetmap.org/?mlat=13.973579&amp;mlon=108.012074#map=19/13.973579/108.012074" TargetMode="External" Id="rId43"/><Relationship Type="http://schemas.openxmlformats.org/officeDocument/2006/relationships/hyperlink" Target="https://www.openstreetmap.org/?mlat=13.972477&amp;mlon=108.012903#map=19/13.972477/108.012903" TargetMode="External" Id="rId44"/><Relationship Type="http://schemas.openxmlformats.org/officeDocument/2006/relationships/hyperlink" Target="https://www.openstreetmap.org/?mlat=13.980406&amp;mlon=108.014590#map=19/13.980406/108.014590" TargetMode="External" Id="rId45"/><Relationship Type="http://schemas.openxmlformats.org/officeDocument/2006/relationships/hyperlink" Target="https://www.openstreetmap.org/?mlat=13.985984&amp;mlon=108.014415#map=19/13.985984/108.014415" TargetMode="External" Id="rId46"/><Relationship Type="http://schemas.openxmlformats.org/officeDocument/2006/relationships/hyperlink" Target="https://www.openstreetmap.org/?mlat=13.994226&amp;mlon=108.022078#map=19/13.994226/108.022078" TargetMode="External" Id="rId47"/><Relationship Type="http://schemas.openxmlformats.org/officeDocument/2006/relationships/hyperlink" Target="https://www.openstreetmap.org/?mlat=13.986970&amp;mlon=108.020461#map=19/13.986970/108.020461" TargetMode="External" Id="rId48"/><Relationship Type="http://schemas.openxmlformats.org/officeDocument/2006/relationships/hyperlink" Target="https://www.openstreetmap.org/?mlat=13.977911&amp;mlon=108.000943#map=19/13.977911/108.000943" TargetMode="External" Id="rId49"/><Relationship Type="http://schemas.openxmlformats.org/officeDocument/2006/relationships/hyperlink" Target="https://www.openstreetmap.org/?mlat=13.982848&amp;mlon=108.002414#map=19/13.982848/108.002414" TargetMode="External" Id="rId50"/><Relationship Type="http://schemas.openxmlformats.org/officeDocument/2006/relationships/hyperlink" Target="https://www.openstreetmap.org/?mlat=13.988344&amp;mlon=108.010735#map=19/13.988344/108.010735" TargetMode="External" Id="rId51"/><Relationship Type="http://schemas.openxmlformats.org/officeDocument/2006/relationships/hyperlink" Target="https://www.openstreetmap.org/?mlat=13.972071&amp;mlon=108.016394#map=19/13.972071/108.016394" TargetMode="External" Id="rId52"/><Relationship Type="http://schemas.openxmlformats.org/officeDocument/2006/relationships/hyperlink" Target="https://www.openstreetmap.org/?mlat=13.971772&amp;mlon=108.016762#map=19/13.971772/108.016762" TargetMode="External" Id="rId53"/><Relationship Type="http://schemas.openxmlformats.org/officeDocument/2006/relationships/hyperlink" Target="https://www.openstreetmap.org/?mlat=13.970020&amp;mlon=108.020468#map=19/13.970020/108.020468" TargetMode="External" Id="rId54"/><Relationship Type="http://schemas.openxmlformats.org/officeDocument/2006/relationships/hyperlink" Target="https://www.openstreetmap.org/?mlat=13.977125&amp;mlon=108.008129#map=19/13.977125/108.008129" TargetMode="External" Id="rId55"/><Relationship Type="http://schemas.openxmlformats.org/officeDocument/2006/relationships/hyperlink" Target="https://www.openstreetmap.org/?mlat=13.982989&amp;mlon=108.007375#map=19/13.982989/108.007375" TargetMode="External" Id="rId56"/><Relationship Type="http://schemas.openxmlformats.org/officeDocument/2006/relationships/hyperlink" Target="https://www.openstreetmap.org/?mlat=13.974519&amp;mlon=108.016321#map=19/13.974519/108.016321" TargetMode="External" Id="rId57"/><Relationship Type="http://schemas.openxmlformats.org/officeDocument/2006/relationships/hyperlink" Target="https://www.openstreetmap.org/?mlat=13.969356&amp;mlon=108.018626#map=19/13.969356/108.018626" TargetMode="External" Id="rId58"/><Relationship Type="http://schemas.openxmlformats.org/officeDocument/2006/relationships/hyperlink" Target="https://www.openstreetmap.org/?mlat=13.983591&amp;mlon=108.004392#map=19/13.983591/108.004392" TargetMode="External" Id="rId59"/><Relationship Type="http://schemas.openxmlformats.org/officeDocument/2006/relationships/hyperlink" Target="https://www.openstreetmap.org/?mlat=13.984971&amp;mlon=108.004237#map=19/13.984971/108.004237" TargetMode="External" Id="rId60"/><Relationship Type="http://schemas.openxmlformats.org/officeDocument/2006/relationships/hyperlink" Target="https://www.openstreetmap.org/?mlat=14.008647&amp;mlon=108.045789#map=19/14.008647/108.045789" TargetMode="External" Id="rId61"/><Relationship Type="http://schemas.openxmlformats.org/officeDocument/2006/relationships/hyperlink" Target="https://www.openstreetmap.org/?mlat=14.008351&amp;mlon=108.045851#map=19/14.008351/108.045851" TargetMode="External" Id="rId62"/><Relationship Type="http://schemas.openxmlformats.org/officeDocument/2006/relationships/hyperlink" Target="https://www.openstreetmap.org/?mlat=13.972298&amp;mlon=108.024491#map=19/13.972298/108.024491" TargetMode="External" Id="rId63"/><Relationship Type="http://schemas.openxmlformats.org/officeDocument/2006/relationships/hyperlink" Target="https://www.openstreetmap.org/?mlat=13.980419&amp;mlon=108.023724#map=19/13.980419/108.023724" TargetMode="External" Id="rId64"/><Relationship Type="http://schemas.openxmlformats.org/officeDocument/2006/relationships/hyperlink" Target="https://www.openstreetmap.org/?mlat=13.988532&amp;mlon=108.010329#map=19/13.988532/108.010329" TargetMode="External" Id="rId65"/><Relationship Type="http://schemas.openxmlformats.org/officeDocument/2006/relationships/hyperlink" Target="https://www.openstreetmap.org/?mlat=13.982208&amp;mlon=108.002967#map=19/13.982208/108.002967" TargetMode="External" Id="rId66"/><Relationship Type="http://schemas.openxmlformats.org/officeDocument/2006/relationships/hyperlink" Target="https://www.openstreetmap.org/?mlat=13.981563&amp;mlon=108.002225#map=19/13.981563/108.002225" TargetMode="External" Id="rId67"/><Relationship Type="http://schemas.openxmlformats.org/officeDocument/2006/relationships/hyperlink" Target="https://www.openstreetmap.org/?mlat=13.981807&amp;mlon=108.002318#map=19/13.981807/108.002318" TargetMode="External" Id="rId68"/><Relationship Type="http://schemas.openxmlformats.org/officeDocument/2006/relationships/hyperlink" Target="https://www.openstreetmap.org/?mlat=13.981990&amp;mlon=108.002756#map=19/13.981990/108.002756" TargetMode="External" Id="rId69"/><Relationship Type="http://schemas.openxmlformats.org/officeDocument/2006/relationships/hyperlink" Target="https://www.openstreetmap.org/?mlat=13.982296&amp;mlon=108.002344#map=19/13.982296/108.002344" TargetMode="External" Id="rId70"/><Relationship Type="http://schemas.openxmlformats.org/officeDocument/2006/relationships/hyperlink" Target="https://www.openstreetmap.org/?mlat=13.982599&amp;mlon=108.002450#map=19/13.982599/108.002450" TargetMode="External" Id="rId71"/><Relationship Type="http://schemas.openxmlformats.org/officeDocument/2006/relationships/hyperlink" Target="https://www.openstreetmap.org/?mlat=13.980077&amp;mlon=108.004564#map=19/13.980077/108.004564" TargetMode="External" Id="rId72"/><Relationship Type="http://schemas.openxmlformats.org/officeDocument/2006/relationships/hyperlink" Target="https://www.openstreetmap.org/?mlat=13.979648&amp;mlon=108.005752#map=19/13.979648/108.005752" TargetMode="External" Id="rId73"/><Relationship Type="http://schemas.openxmlformats.org/officeDocument/2006/relationships/hyperlink" Target="https://www.openstreetmap.org/?mlat=13.979292&amp;mlon=108.005814#map=19/13.979292/108.005814" TargetMode="External" Id="rId74"/><Relationship Type="http://schemas.openxmlformats.org/officeDocument/2006/relationships/hyperlink" Target="https://www.openstreetmap.org/?mlat=13.979550&amp;mlon=108.010654#map=19/13.979550/108.010654" TargetMode="External" Id="rId75"/><Relationship Type="http://schemas.openxmlformats.org/officeDocument/2006/relationships/hyperlink" Target="https://www.openstreetmap.org/?mlat=13.983631&amp;mlon=108.008264#map=19/13.983631/108.008264" TargetMode="External" Id="rId76"/><Relationship Type="http://schemas.openxmlformats.org/officeDocument/2006/relationships/hyperlink" Target="https://www.openstreetmap.org/?mlat=13.979908&amp;mlon=108.011610#map=19/13.979908/108.011610" TargetMode="External" Id="rId77"/><Relationship Type="http://schemas.openxmlformats.org/officeDocument/2006/relationships/hyperlink" Target="https://www.openstreetmap.org/?mlat=13.977136&amp;mlon=108.012907#map=19/13.977136/108.012907" TargetMode="External" Id="rId78"/><Relationship Type="http://schemas.openxmlformats.org/officeDocument/2006/relationships/hyperlink" Target="https://www.openstreetmap.org/?mlat=13.977036&amp;mlon=108.003765#map=19/13.977036/108.003765" TargetMode="External" Id="rId79"/><Relationship Type="http://schemas.openxmlformats.org/officeDocument/2006/relationships/hyperlink" Target="https://www.openstreetmap.org/?mlat=13.977185&amp;mlon=108.003828#map=19/13.977185/108.003828" TargetMode="External" Id="rId80"/><Relationship Type="http://schemas.openxmlformats.org/officeDocument/2006/relationships/hyperlink" Target="https://www.openstreetmap.org/?mlat=13.977011&amp;mlon=108.003749#map=19/13.977011/108.003749" TargetMode="External" Id="rId81"/><Relationship Type="http://schemas.openxmlformats.org/officeDocument/2006/relationships/hyperlink" Target="https://www.openstreetmap.org/?mlat=13.976214&amp;mlon=108.003616#map=19/13.976214/108.003616" TargetMode="External" Id="rId82"/><Relationship Type="http://schemas.openxmlformats.org/officeDocument/2006/relationships/hyperlink" Target="https://www.openstreetmap.org/?mlat=13.976062&amp;mlon=108.003622#map=19/13.976062/108.003622" TargetMode="External" Id="rId83"/><Relationship Type="http://schemas.openxmlformats.org/officeDocument/2006/relationships/hyperlink" Target="https://www.openstreetmap.org/?mlat=13.974590&amp;mlon=108.003743#map=19/13.974590/108.003743" TargetMode="External" Id="rId84"/><Relationship Type="http://schemas.openxmlformats.org/officeDocument/2006/relationships/hyperlink" Target="https://www.openstreetmap.org/?mlat=13.973388&amp;mlon=108.003985#map=19/13.973388/108.003985" TargetMode="External" Id="rId85"/><Relationship Type="http://schemas.openxmlformats.org/officeDocument/2006/relationships/hyperlink" Target="https://www.openstreetmap.org/?mlat=13.972611&amp;mlon=108.022329#map=19/13.972611/108.022329" TargetMode="External" Id="rId86"/><Relationship Type="http://schemas.openxmlformats.org/officeDocument/2006/relationships/hyperlink" Target="https://www.openstreetmap.org/?mlat=13.985500&amp;mlon=108.016500#map=19/13.985500/108.016500" TargetMode="External" Id="rId87"/><Relationship Type="http://schemas.openxmlformats.org/officeDocument/2006/relationships/hyperlink" Target="https://www.openstreetmap.org/?mlat=13.972886&amp;mlon=108.006034#map=19/13.972886/108.006034" TargetMode="External" Id="rId88"/><Relationship Type="http://schemas.openxmlformats.org/officeDocument/2006/relationships/hyperlink" Target="https://www.openstreetmap.org/?mlat=13.977777&amp;mlon=108.002852#map=19/13.977777/108.002852" TargetMode="External" Id="rId89"/><Relationship Type="http://schemas.openxmlformats.org/officeDocument/2006/relationships/hyperlink" Target="https://www.openstreetmap.org/?mlat=13.977777&amp;mlon=108.002852#map=19/13.977777/108.002852" TargetMode="External" Id="rId90"/><Relationship Type="http://schemas.openxmlformats.org/officeDocument/2006/relationships/hyperlink" Target="https://www.openstreetmap.org/?mlat=13.977906&amp;mlon=108.003812#map=19/13.977906/108.003812" TargetMode="External" Id="rId91"/><Relationship Type="http://schemas.openxmlformats.org/officeDocument/2006/relationships/hyperlink" Target="https://www.openstreetmap.org/?mlat=13.977754&amp;mlon=108.003133#map=19/13.977754/108.003133" TargetMode="External" Id="rId92"/><Relationship Type="http://schemas.openxmlformats.org/officeDocument/2006/relationships/hyperlink" Target="https://www.openstreetmap.org/?mlat=13.977795&amp;mlon=108.003192#map=19/13.977795/108.003192" TargetMode="External" Id="rId93"/><Relationship Type="http://schemas.openxmlformats.org/officeDocument/2006/relationships/hyperlink" Target="https://www.openstreetmap.org/?mlat=13.986589&amp;mlon=108.006857#map=19/13.986589/108.006857" TargetMode="External" Id="rId94"/><Relationship Type="http://schemas.openxmlformats.org/officeDocument/2006/relationships/hyperlink" Target="https://www.openstreetmap.org/?mlat=13.991942&amp;mlon=108.011408#map=19/13.991942/108.011408" TargetMode="External" Id="rId95"/><Relationship Type="http://schemas.openxmlformats.org/officeDocument/2006/relationships/hyperlink" Target="https://www.openstreetmap.org/?mlat=13.991416&amp;mlon=108.006049#map=19/13.991416/108.006049" TargetMode="External" Id="rId96"/><Relationship Type="http://schemas.openxmlformats.org/officeDocument/2006/relationships/hyperlink" Target="https://www.openstreetmap.org/?mlat=13.977550&amp;mlon=108.005212#map=19/13.977550/108.005212" TargetMode="External" Id="rId97"/><Relationship Type="http://schemas.openxmlformats.org/officeDocument/2006/relationships/hyperlink" Target="https://www.openstreetmap.org/?mlat=13.977258&amp;mlon=108.005151#map=19/13.977258/108.005151" TargetMode="External" Id="rId98"/><Relationship Type="http://schemas.openxmlformats.org/officeDocument/2006/relationships/hyperlink" Target="https://www.openstreetmap.org/?mlat=13.976789&amp;mlon=108.005096#map=19/13.976789/108.005096" TargetMode="External" Id="rId99"/><Relationship Type="http://schemas.openxmlformats.org/officeDocument/2006/relationships/hyperlink" Target="https://www.openstreetmap.org/?mlat=13.974458&amp;mlon=108.005108#map=19/13.974458/108.005108" TargetMode="External" Id="rId100"/><Relationship Type="http://schemas.openxmlformats.org/officeDocument/2006/relationships/hyperlink" Target="https://www.openstreetmap.org/?mlat=13.985577&amp;mlon=108.008452#map=19/13.985577/108.008452" TargetMode="External" Id="rId101"/><Relationship Type="http://schemas.openxmlformats.org/officeDocument/2006/relationships/hyperlink" Target="https://www.openstreetmap.org/?mlat=13.987863&amp;mlon=108.008619#map=19/13.987863/108.008619" TargetMode="External" Id="rId102"/><Relationship Type="http://schemas.openxmlformats.org/officeDocument/2006/relationships/hyperlink" Target="https://www.openstreetmap.org/?mlat=13.982221&amp;mlon=108.008529#map=19/13.982221/108.008529" TargetMode="External" Id="rId103"/><Relationship Type="http://schemas.openxmlformats.org/officeDocument/2006/relationships/hyperlink" Target="https://www.openstreetmap.org/?mlat=13.988619&amp;mlon=108.011210#map=19/13.988619/108.011210" TargetMode="External" Id="rId104"/><Relationship Type="http://schemas.openxmlformats.org/officeDocument/2006/relationships/hyperlink" Target="https://www.openstreetmap.org/?mlat=13.985935&amp;mlon=108.005264#map=19/13.985935/108.005264" TargetMode="External" Id="rId105"/><Relationship Type="http://schemas.openxmlformats.org/officeDocument/2006/relationships/hyperlink" Target="https://www.openstreetmap.org/?mlat=13.985499&amp;mlon=108.004689#map=19/13.985499/108.004689" TargetMode="External" Id="rId106"/><Relationship Type="http://schemas.openxmlformats.org/officeDocument/2006/relationships/hyperlink" Target="https://www.openstreetmap.org/?mlat=13.984841&amp;mlon=108.002847#map=19/13.984841/108.002847" TargetMode="External" Id="rId107"/><Relationship Type="http://schemas.openxmlformats.org/officeDocument/2006/relationships/hyperlink" Target="https://www.openstreetmap.org/?mlat=13.983057&amp;mlon=108.001207#map=19/13.983057/108.001207" TargetMode="External" Id="rId108"/><Relationship Type="http://schemas.openxmlformats.org/officeDocument/2006/relationships/hyperlink" Target="https://www.openstreetmap.org/?mlat=13.983057&amp;mlon=108.001207#map=19/13.983057/108.001207" TargetMode="External" Id="rId109"/><Relationship Type="http://schemas.openxmlformats.org/officeDocument/2006/relationships/hyperlink" Target="https://www.openstreetmap.org/?mlat=13.985331&amp;mlon=108.002752#map=19/13.985331/108.002752" TargetMode="External" Id="rId110"/><Relationship Type="http://schemas.openxmlformats.org/officeDocument/2006/relationships/hyperlink" Target="https://www.openstreetmap.org/?mlat=13.983627&amp;mlon=107.999804#map=19/13.983627/107.999804" TargetMode="External" Id="rId111"/><Relationship Type="http://schemas.openxmlformats.org/officeDocument/2006/relationships/hyperlink" Target="https://www.openstreetmap.org/?mlat=13.981971&amp;mlon=107.999581#map=19/13.981971/107.999581" TargetMode="External" Id="rId112"/><Relationship Type="http://schemas.openxmlformats.org/officeDocument/2006/relationships/hyperlink" Target="https://www.openstreetmap.org/?mlat=13.981656&amp;mlon=107.998833#map=19/13.981656/107.998833" TargetMode="External" Id="rId113"/><Relationship Type="http://schemas.openxmlformats.org/officeDocument/2006/relationships/hyperlink" Target="https://www.openstreetmap.org/?mlat=13.981535&amp;mlon=107.997856#map=19/13.981535/107.997856" TargetMode="External" Id="rId114"/><Relationship Type="http://schemas.openxmlformats.org/officeDocument/2006/relationships/hyperlink" Target="https://www.openstreetmap.org/?mlat=13.973656&amp;mlon=108.014532#map=19/13.973656/108.014532" TargetMode="External" Id="rId115"/><Relationship Type="http://schemas.openxmlformats.org/officeDocument/2006/relationships/hyperlink" Target="https://www.openstreetmap.org/?mlat=13.977036&amp;mlon=108.014766#map=19/13.977036/108.014766" TargetMode="External" Id="rId116"/><Relationship Type="http://schemas.openxmlformats.org/officeDocument/2006/relationships/hyperlink" Target="https://www.openstreetmap.org/?mlat=13.977358&amp;mlon=108.014748#map=19/13.977358/108.014748" TargetMode="External" Id="rId117"/><Relationship Type="http://schemas.openxmlformats.org/officeDocument/2006/relationships/hyperlink" Target="https://www.openstreetmap.org/?mlat=13.977873&amp;mlon=108.014572#map=19/13.977873/108.014572" TargetMode="External" Id="rId118"/><Relationship Type="http://schemas.openxmlformats.org/officeDocument/2006/relationships/hyperlink" Target="https://www.openstreetmap.org/?mlat=13.977879&amp;mlon=108.014758#map=19/13.977879/108.014758" TargetMode="External" Id="rId119"/><Relationship Type="http://schemas.openxmlformats.org/officeDocument/2006/relationships/hyperlink" Target="https://www.openstreetmap.org/?mlat=13.977877&amp;mlon=108.014710#map=19/13.977877/108.014710" TargetMode="External" Id="rId120"/><Relationship Type="http://schemas.openxmlformats.org/officeDocument/2006/relationships/hyperlink" Target="https://www.openstreetmap.org/?mlat=13.978516&amp;mlon=108.014713#map=19/13.978516/108.014713" TargetMode="External" Id="rId121"/><Relationship Type="http://schemas.openxmlformats.org/officeDocument/2006/relationships/hyperlink" Target="https://www.openstreetmap.org/?mlat=13.976087&amp;mlon=108.014988#map=19/13.976087/108.014988" TargetMode="External" Id="rId122"/><Relationship Type="http://schemas.openxmlformats.org/officeDocument/2006/relationships/hyperlink" Target="https://www.openstreetmap.org/?mlat=13.978812&amp;mlon=108.014680#map=19/13.978812/108.014680" TargetMode="External" Id="rId123"/><Relationship Type="http://schemas.openxmlformats.org/officeDocument/2006/relationships/hyperlink" Target="https://www.openstreetmap.org/?mlat=13.978406&amp;mlon=108.014916#map=19/13.978406/108.014916" TargetMode="External" Id="rId124"/><Relationship Type="http://schemas.openxmlformats.org/officeDocument/2006/relationships/hyperlink" Target="https://www.openstreetmap.org/?mlat=13.984203&amp;mlon=108.014623#map=19/13.984203/108.014623" TargetMode="External" Id="rId125"/><Relationship Type="http://schemas.openxmlformats.org/officeDocument/2006/relationships/hyperlink" Target="https://www.openstreetmap.org/?mlat=13.986194&amp;mlon=108.014099#map=19/13.986194/108.014099" TargetMode="External" Id="rId126"/><Relationship Type="http://schemas.openxmlformats.org/officeDocument/2006/relationships/hyperlink" Target="https://www.openstreetmap.org/?mlat=13.979565&amp;mlon=108.006838#map=19/13.979565/108.006838" TargetMode="External" Id="rId127"/><Relationship Type="http://schemas.openxmlformats.org/officeDocument/2006/relationships/hyperlink" Target="https://www.openstreetmap.org/?mlat=13.979801&amp;mlon=108.006648#map=19/13.979801/108.006648" TargetMode="External" Id="rId128"/><Relationship Type="http://schemas.openxmlformats.org/officeDocument/2006/relationships/hyperlink" Target="https://www.openstreetmap.org/?mlat=13.979436&amp;mlon=108.006742#map=19/13.979436/108.006742" TargetMode="External" Id="rId129"/><Relationship Type="http://schemas.openxmlformats.org/officeDocument/2006/relationships/hyperlink" Target="https://www.openstreetmap.org/?mlat=13.979748&amp;mlon=108.007029#map=19/13.979748/108.007029" TargetMode="External" Id="rId130"/><Relationship Type="http://schemas.openxmlformats.org/officeDocument/2006/relationships/hyperlink" Target="https://www.openstreetmap.org/?mlat=13.978188&amp;mlon=108.009776#map=19/13.978188/108.009776" TargetMode="External" Id="rId131"/><Relationship Type="http://schemas.openxmlformats.org/officeDocument/2006/relationships/hyperlink" Target="https://www.openstreetmap.org/?mlat=13.977078&amp;mlon=108.005652#map=19/13.977078/108.005652" TargetMode="External" Id="rId132"/><Relationship Type="http://schemas.openxmlformats.org/officeDocument/2006/relationships/hyperlink" Target="https://www.openstreetmap.org/?mlat=13.978014&amp;mlon=108.005134#map=19/13.978014/108.005134" TargetMode="External" Id="rId133"/><Relationship Type="http://schemas.openxmlformats.org/officeDocument/2006/relationships/hyperlink" Target="https://www.openstreetmap.org/?mlat=13.978115&amp;mlon=108.004943#map=19/13.978115/108.004943" TargetMode="External" Id="rId134"/><Relationship Type="http://schemas.openxmlformats.org/officeDocument/2006/relationships/hyperlink" Target="https://www.openstreetmap.org/?mlat=13.978386&amp;mlon=108.004029#map=19/13.978386/108.004029" TargetMode="External" Id="rId135"/><Relationship Type="http://schemas.openxmlformats.org/officeDocument/2006/relationships/hyperlink" Target="https://www.openstreetmap.org/?mlat=13.978547&amp;mlon=108.003870#map=19/13.978547/108.003870" TargetMode="External" Id="rId136"/><Relationship Type="http://schemas.openxmlformats.org/officeDocument/2006/relationships/hyperlink" Target="https://www.openstreetmap.org/?mlat=13.967230&amp;mlon=108.003736#map=19/13.967230/108.003736" TargetMode="External" Id="rId137"/><Relationship Type="http://schemas.openxmlformats.org/officeDocument/2006/relationships/hyperlink" Target="https://www.openstreetmap.org/?mlat=13.972550&amp;mlon=108.005012#map=19/13.972550/108.005012" TargetMode="External" Id="rId138"/><Relationship Type="http://schemas.openxmlformats.org/officeDocument/2006/relationships/hyperlink" Target="https://www.openstreetmap.org/?mlat=13.975780&amp;mlon=108.010052#map=19/13.975780/108.010052" TargetMode="External" Id="rId139"/><Relationship Type="http://schemas.openxmlformats.org/officeDocument/2006/relationships/hyperlink" Target="https://www.openstreetmap.org/?mlat=13.982172&amp;mlon=108.011378#map=19/13.982172/108.011378" TargetMode="External" Id="rId140"/><Relationship Type="http://schemas.openxmlformats.org/officeDocument/2006/relationships/hyperlink" Target="https://www.openstreetmap.org/?mlat=13.981523&amp;mlon=108.011132#map=19/13.981523/108.011132" TargetMode="External" Id="rId141"/><Relationship Type="http://schemas.openxmlformats.org/officeDocument/2006/relationships/hyperlink" Target="https://www.openstreetmap.org/?mlat=13.981964&amp;mlon=108.011938#map=19/13.981964/108.011938" TargetMode="External" Id="rId142"/><Relationship Type="http://schemas.openxmlformats.org/officeDocument/2006/relationships/hyperlink" Target="https://www.openstreetmap.org/?mlat=13.976104&amp;mlon=108.001401#map=19/13.976104/108.001401" TargetMode="External" Id="rId143"/><Relationship Type="http://schemas.openxmlformats.org/officeDocument/2006/relationships/hyperlink" Target="https://www.openstreetmap.org/?mlat=13.976002&amp;mlon=108.001258#map=19/13.976002/108.001258" TargetMode="External" Id="rId144"/><Relationship Type="http://schemas.openxmlformats.org/officeDocument/2006/relationships/hyperlink" Target="https://www.openstreetmap.org/?mlat=13.975686&amp;mlon=108.000982#map=19/13.975686/108.000982" TargetMode="External" Id="rId145"/><Relationship Type="http://schemas.openxmlformats.org/officeDocument/2006/relationships/hyperlink" Target="https://www.openstreetmap.org/?mlat=13.975560&amp;mlon=108.000794#map=19/13.975560/108.000794" TargetMode="External" Id="rId146"/><Relationship Type="http://schemas.openxmlformats.org/officeDocument/2006/relationships/hyperlink" Target="https://www.openstreetmap.org/?mlat=13.975188&amp;mlon=108.000085#map=19/13.975188/108.000085" TargetMode="External" Id="rId147"/><Relationship Type="http://schemas.openxmlformats.org/officeDocument/2006/relationships/hyperlink" Target="https://www.openstreetmap.org/?mlat=14.001352&amp;mlon=108.020792#map=19/14.001352/108.020792" TargetMode="External" Id="rId148"/><Relationship Type="http://schemas.openxmlformats.org/officeDocument/2006/relationships/hyperlink" Target="https://www.openstreetmap.org/?mlat=13.989382&amp;mlon=108.008381#map=19/13.989382/108.008381" TargetMode="External" Id="rId149"/><Relationship Type="http://schemas.openxmlformats.org/officeDocument/2006/relationships/hyperlink" Target="https://www.openstreetmap.org/?mlat=13.989404&amp;mlon=108.010155#map=19/13.989404/108.010155" TargetMode="External" Id="rId150"/><Relationship Type="http://schemas.openxmlformats.org/officeDocument/2006/relationships/hyperlink" Target="https://www.openstreetmap.org/?mlat=13.989980&amp;mlon=108.012981#map=19/13.989980/108.012981" TargetMode="External" Id="rId151"/><Relationship Type="http://schemas.openxmlformats.org/officeDocument/2006/relationships/hyperlink" Target="https://www.openstreetmap.org/?mlat=13.989043&amp;mlon=108.017142#map=19/13.989043/108.017142" TargetMode="External" Id="rId152"/><Relationship Type="http://schemas.openxmlformats.org/officeDocument/2006/relationships/hyperlink" Target="https://www.openstreetmap.org/?mlat=13.972561&amp;mlon=108.025444#map=19/13.972561/108.025444" TargetMode="External" Id="rId153"/><Relationship Type="http://schemas.openxmlformats.org/officeDocument/2006/relationships/hyperlink" Target="https://www.openstreetmap.org/?mlat=13.973392&amp;mlon=108.025590#map=19/13.973392/108.025590" TargetMode="External" Id="rId154"/><Relationship Type="http://schemas.openxmlformats.org/officeDocument/2006/relationships/hyperlink" Target="https://www.openstreetmap.org/?mlat=13.973409&amp;mlon=108.025708#map=19/13.973409/108.025708" TargetMode="External" Id="rId155"/><Relationship Type="http://schemas.openxmlformats.org/officeDocument/2006/relationships/hyperlink" Target="https://www.openstreetmap.org/?mlat=13.975152&amp;mlon=108.025600#map=19/13.975152/108.025600" TargetMode="External" Id="rId156"/><Relationship Type="http://schemas.openxmlformats.org/officeDocument/2006/relationships/hyperlink" Target="https://www.openstreetmap.org/?mlat=13.978159&amp;mlon=107.999396#map=19/13.978159/107.999396" TargetMode="External" Id="rId157"/><Relationship Type="http://schemas.openxmlformats.org/officeDocument/2006/relationships/hyperlink" Target="https://www.openstreetmap.org/?mlat=13.984094&amp;mlon=107.996000#map=19/13.984094/107.996000" TargetMode="External" Id="rId158"/><Relationship Type="http://schemas.openxmlformats.org/officeDocument/2006/relationships/hyperlink" Target="https://www.openstreetmap.org/?mlat=13.972897&amp;mlon=108.026181#map=19/13.972897/108.026181" TargetMode="External" Id="rId159"/><Relationship Type="http://schemas.openxmlformats.org/officeDocument/2006/relationships/hyperlink" Target="https://www.openstreetmap.org/?mlat=13.978746&amp;mlon=108.027262#map=19/13.978746/108.027262" TargetMode="External" Id="rId160"/><Relationship Type="http://schemas.openxmlformats.org/officeDocument/2006/relationships/hyperlink" Target="https://www.openstreetmap.org/?mlat=13.969876&amp;mlon=108.015533#map=19/13.969876/108.015533" TargetMode="External" Id="rId161"/><Relationship Type="http://schemas.openxmlformats.org/officeDocument/2006/relationships/hyperlink" Target="https://www.openstreetmap.org/?mlat=13.974510&amp;mlon=108.003151#map=19/13.974510/108.003151" TargetMode="External" Id="rId162"/><Relationship Type="http://schemas.openxmlformats.org/officeDocument/2006/relationships/hyperlink" Target="https://www.openstreetmap.org/?mlat=13.974787&amp;mlon=108.003183#map=19/13.974787/108.003183" TargetMode="External" Id="rId163"/><Relationship Type="http://schemas.openxmlformats.org/officeDocument/2006/relationships/hyperlink" Target="https://www.openstreetmap.org/?mlat=13.970726&amp;mlon=108.013753#map=19/13.970726/108.013753" TargetMode="External" Id="rId164"/><Relationship Type="http://schemas.openxmlformats.org/officeDocument/2006/relationships/hyperlink" Target="https://www.openstreetmap.org/?mlat=13.978477&amp;mlon=108.009967#map=19/13.978477/108.009967" TargetMode="External" Id="rId165"/><Relationship Type="http://schemas.openxmlformats.org/officeDocument/2006/relationships/hyperlink" Target="https://www.openstreetmap.org/?mlat=13.988266&amp;mlon=108.011451#map=19/13.988266/108.011451" TargetMode="External" Id="rId166"/><Relationship Type="http://schemas.openxmlformats.org/officeDocument/2006/relationships/hyperlink" Target="https://www.openstreetmap.org/?mlat=13.990427&amp;mlon=108.009057#map=19/13.990427/108.009057" TargetMode="External" Id="rId167"/><Relationship Type="http://schemas.openxmlformats.org/officeDocument/2006/relationships/hyperlink" Target="https://www.openstreetmap.org/?mlat=13.992904&amp;mlon=108.020522#map=19/13.992904/108.020522" TargetMode="External" Id="rId168"/><Relationship Type="http://schemas.openxmlformats.org/officeDocument/2006/relationships/hyperlink" Target="https://www.openstreetmap.org/?mlat=13.996257&amp;mlon=108.016462#map=19/13.996257/108.016462" TargetMode="External" Id="rId169"/><Relationship Type="http://schemas.openxmlformats.org/officeDocument/2006/relationships/hyperlink" Target="https://www.openstreetmap.org/?mlat=13.989860&amp;mlon=107.997213#map=19/13.989860/107.997213" TargetMode="External" Id="rId170"/><Relationship Type="http://schemas.openxmlformats.org/officeDocument/2006/relationships/hyperlink" Target="https://www.openstreetmap.org/?mlat=13.980112&amp;mlon=107.992583#map=19/13.980112/107.992583" TargetMode="External" Id="rId171"/><Relationship Type="http://schemas.openxmlformats.org/officeDocument/2006/relationships/hyperlink" Target="https://www.openstreetmap.org/?mlat=13.982259&amp;mlon=107.993913#map=19/13.982259/107.993913" TargetMode="External" Id="rId172"/><Relationship Type="http://schemas.openxmlformats.org/officeDocument/2006/relationships/hyperlink" Target="https://www.openstreetmap.org/?mlat=13.982050&amp;mlon=107.992695#map=19/13.982050/107.992695" TargetMode="External" Id="rId173"/><Relationship Type="http://schemas.openxmlformats.org/officeDocument/2006/relationships/hyperlink" Target="https://www.openstreetmap.org/?mlat=13.980553&amp;mlon=107.991981#map=19/13.980553/107.991981" TargetMode="External" Id="rId174"/><Relationship Type="http://schemas.openxmlformats.org/officeDocument/2006/relationships/hyperlink" Target="https://www.openstreetmap.org/?mlat=13.966503&amp;mlon=107.996156#map=19/13.966503/107.996156" TargetMode="External" Id="rId175"/><Relationship Type="http://schemas.openxmlformats.org/officeDocument/2006/relationships/hyperlink" Target="https://www.openstreetmap.org/?mlat=13.972339&amp;mlon=107.999734#map=19/13.972339/107.999734" TargetMode="External" Id="rId176"/><Relationship Type="http://schemas.openxmlformats.org/officeDocument/2006/relationships/hyperlink" Target="https://www.openstreetmap.org/?mlat=13.979711&amp;mlon=107.986060#map=19/13.979711/107.986060" TargetMode="External" Id="rId177"/><Relationship Type="http://schemas.openxmlformats.org/officeDocument/2006/relationships/hyperlink" Target="https://www.openstreetmap.org/?mlat=13.980293&amp;mlon=107.994294#map=19/13.980293/107.994294" TargetMode="External" Id="rId178"/><Relationship Type="http://schemas.openxmlformats.org/officeDocument/2006/relationships/hyperlink" Target="https://www.openstreetmap.org/?mlat=13.972954&amp;mlon=107.996572#map=19/13.972954/107.996572" TargetMode="External" Id="rId179"/><Relationship Type="http://schemas.openxmlformats.org/officeDocument/2006/relationships/hyperlink" Target="https://www.openstreetmap.org/?mlat=13.979625&amp;mlon=107.995085#map=19/13.979625/107.995085" TargetMode="External" Id="rId180"/><Relationship Type="http://schemas.openxmlformats.org/officeDocument/2006/relationships/hyperlink" Target="https://www.openstreetmap.org/?mlat=13.976139&amp;mlon=107.990352#map=19/13.976139/107.990352" TargetMode="External" Id="rId181"/><Relationship Type="http://schemas.openxmlformats.org/officeDocument/2006/relationships/hyperlink" Target="https://www.openstreetmap.org/?mlat=13.967309&amp;mlon=107.992850#map=19/13.967309/107.992850" TargetMode="External" Id="rId182"/><Relationship Type="http://schemas.openxmlformats.org/officeDocument/2006/relationships/hyperlink" Target="https://www.openstreetmap.org/?mlat=13.961363&amp;mlon=107.984130#map=19/13.961363/107.984130" TargetMode="External" Id="rId183"/><Relationship Type="http://schemas.openxmlformats.org/officeDocument/2006/relationships/hyperlink" Target="https://www.openstreetmap.org/?mlat=13.974489&amp;mlon=108.000941#map=19/13.974489/108.000941" TargetMode="External" Id="rId184"/><Relationship Type="http://schemas.openxmlformats.org/officeDocument/2006/relationships/hyperlink" Target="https://www.openstreetmap.org/?mlat=13.976243&amp;mlon=107.999826#map=19/13.976243/107.999826" TargetMode="External" Id="rId185"/><Relationship Type="http://schemas.openxmlformats.org/officeDocument/2006/relationships/hyperlink" Target="https://www.openstreetmap.org/?mlat=13.965618&amp;mlon=107.991774#map=19/13.965618/107.991774" TargetMode="External" Id="rId186"/><Relationship Type="http://schemas.openxmlformats.org/officeDocument/2006/relationships/hyperlink" Target="https://www.openstreetmap.org/?mlat=13.972203&amp;mlon=107.999546#map=19/13.972203/107.999546" TargetMode="External" Id="rId187"/><Relationship Type="http://schemas.openxmlformats.org/officeDocument/2006/relationships/hyperlink" Target="https://www.openstreetmap.org/?mlat=13.968003&amp;mlon=107.993955#map=19/13.968003/107.993955" TargetMode="External" Id="rId188"/><Relationship Type="http://schemas.openxmlformats.org/officeDocument/2006/relationships/hyperlink" Target="https://www.openstreetmap.org/?mlat=13.964864&amp;mlon=107.991657#map=19/13.964864/107.991657" TargetMode="External" Id="rId189"/><Relationship Type="http://schemas.openxmlformats.org/officeDocument/2006/relationships/hyperlink" Target="https://www.openstreetmap.org/?mlat=13.964659&amp;mlon=107.991899#map=19/13.964659/107.991899" TargetMode="External" Id="rId190"/><Relationship Type="http://schemas.openxmlformats.org/officeDocument/2006/relationships/hyperlink" Target="https://www.openstreetmap.org/?mlat=13.964547&amp;mlon=107.991657#map=19/13.964547/107.991657" TargetMode="External" Id="rId191"/><Relationship Type="http://schemas.openxmlformats.org/officeDocument/2006/relationships/hyperlink" Target="https://www.openstreetmap.org/?mlat=13.978175&amp;mlon=107.987219#map=19/13.978175/107.987219" TargetMode="External" Id="rId192"/><Relationship Type="http://schemas.openxmlformats.org/officeDocument/2006/relationships/hyperlink" Target="https://www.openstreetmap.org/?mlat=13.979939&amp;mlon=107.987301#map=19/13.979939/107.987301" TargetMode="External" Id="rId193"/><Relationship Type="http://schemas.openxmlformats.org/officeDocument/2006/relationships/hyperlink" Target="https://www.openstreetmap.org/?mlat=13.977971&amp;mlon=107.993189#map=19/13.977971/107.993189" TargetMode="External" Id="rId194"/><Relationship Type="http://schemas.openxmlformats.org/officeDocument/2006/relationships/hyperlink" Target="https://www.openstreetmap.org/?mlat=13.976068&amp;mlon=107.988347#map=19/13.976068/107.988347" TargetMode="External" Id="rId195"/><Relationship Type="http://schemas.openxmlformats.org/officeDocument/2006/relationships/hyperlink" Target="https://www.openstreetmap.org/?mlat=13.976274&amp;mlon=107.988556#map=19/13.976274/107.988556" TargetMode="External" Id="rId196"/><Relationship Type="http://schemas.openxmlformats.org/officeDocument/2006/relationships/hyperlink" Target="https://www.openstreetmap.org/?mlat=13.976333&amp;mlon=107.988771#map=19/13.976333/107.988771" TargetMode="External" Id="rId197"/><Relationship Type="http://schemas.openxmlformats.org/officeDocument/2006/relationships/hyperlink" Target="https://www.openstreetmap.org/?mlat=13.968331&amp;mlon=107.994140#map=19/13.968331/107.994140" TargetMode="External" Id="rId198"/><Relationship Type="http://schemas.openxmlformats.org/officeDocument/2006/relationships/hyperlink" Target="https://www.openstreetmap.org/?mlat=13.979675&amp;mlon=107.994228#map=19/13.979675/107.994228" TargetMode="External" Id="rId199"/><Relationship Type="http://schemas.openxmlformats.org/officeDocument/2006/relationships/hyperlink" Target="https://www.openstreetmap.org/?mlat=13.968495&amp;mlon=107.987697#map=19/13.968495/107.987697" TargetMode="External" Id="rId200"/><Relationship Type="http://schemas.openxmlformats.org/officeDocument/2006/relationships/hyperlink" Target="https://www.openstreetmap.org/?mlat=13.965535&amp;mlon=107.994837#map=19/13.965535/107.994837" TargetMode="External" Id="rId201"/><Relationship Type="http://schemas.openxmlformats.org/officeDocument/2006/relationships/hyperlink" Target="https://www.openstreetmap.org/?mlat=13.962444&amp;mlon=107.983521#map=19/13.962444/107.983521" TargetMode="External" Id="rId202"/><Relationship Type="http://schemas.openxmlformats.org/officeDocument/2006/relationships/hyperlink" Target="https://www.openstreetmap.org/?mlat=13.977216&amp;mlon=107.993484#map=19/13.977216/107.993484" TargetMode="External" Id="rId203"/><Relationship Type="http://schemas.openxmlformats.org/officeDocument/2006/relationships/hyperlink" Target="https://www.openstreetmap.org/?mlat=13.963524&amp;mlon=107.991459#map=19/13.963524/107.991459" TargetMode="External" Id="rId204"/><Relationship Type="http://schemas.openxmlformats.org/officeDocument/2006/relationships/hyperlink" Target="https://www.openstreetmap.org/?mlat=13.967414&amp;mlon=108.000520#map=19/13.967414/108.000520" TargetMode="External" Id="rId205"/><Relationship Type="http://schemas.openxmlformats.org/officeDocument/2006/relationships/hyperlink" Target="https://www.openstreetmap.org/?mlat=13.980337&amp;mlon=107.989718#map=19/13.980337/107.989718" TargetMode="External" Id="rId206"/><Relationship Type="http://schemas.openxmlformats.org/officeDocument/2006/relationships/hyperlink" Target="https://www.openstreetmap.org/?mlat=13.970556&amp;mlon=107.988577#map=19/13.970556/107.988577" TargetMode="External" Id="rId207"/><Relationship Type="http://schemas.openxmlformats.org/officeDocument/2006/relationships/hyperlink" Target="https://www.openstreetmap.org/?mlat=13.976758&amp;mlon=107.998758#map=19/13.976758/107.998758" TargetMode="External" Id="rId208"/><Relationship Type="http://schemas.openxmlformats.org/officeDocument/2006/relationships/hyperlink" Target="https://www.openstreetmap.org/?mlat=13.966719&amp;mlon=107.996095#map=19/13.966719/107.996095" TargetMode="External" Id="rId209"/><Relationship Type="http://schemas.openxmlformats.org/officeDocument/2006/relationships/hyperlink" Target="https://www.openstreetmap.org/?mlat=13.980913&amp;mlon=107.995027#map=19/13.980913/107.995027" TargetMode="External" Id="rId210"/><Relationship Type="http://schemas.openxmlformats.org/officeDocument/2006/relationships/hyperlink" Target="https://www.openstreetmap.org/?mlat=13.979576&amp;mlon=107.984508#map=19/13.979576/107.984508" TargetMode="External" Id="rId211"/><Relationship Type="http://schemas.openxmlformats.org/officeDocument/2006/relationships/hyperlink" Target="https://www.openstreetmap.org/?mlat=13.968105&amp;mlon=107.993353#map=19/13.968105/107.993353" TargetMode="External" Id="rId212"/><Relationship Type="http://schemas.openxmlformats.org/officeDocument/2006/relationships/hyperlink" Target="https://www.openstreetmap.org/?mlat=13.978516&amp;mlon=107.983922#map=19/13.978516/107.983922" TargetMode="External" Id="rId213"/><Relationship Type="http://schemas.openxmlformats.org/officeDocument/2006/relationships/hyperlink" Target="https://www.openstreetmap.org/?mlat=13.965879&amp;mlon=107.991789#map=19/13.965879/107.991789" TargetMode="External" Id="rId214"/><Relationship Type="http://schemas.openxmlformats.org/officeDocument/2006/relationships/hyperlink" Target="https://www.openstreetmap.org/?mlat=13.972499&amp;mlon=108.000233#map=19/13.972499/108.000233" TargetMode="External" Id="rId215"/><Relationship Type="http://schemas.openxmlformats.org/officeDocument/2006/relationships/hyperlink" Target="https://www.openstreetmap.org/?mlat=13.970472&amp;mlon=107.988698#map=19/13.970472/107.988698" TargetMode="External" Id="rId216"/><Relationship Type="http://schemas.openxmlformats.org/officeDocument/2006/relationships/hyperlink" Target="https://www.openstreetmap.org/?mlat=13.976986&amp;mlon=107.993018#map=19/13.976986/107.993018" TargetMode="External" Id="rId217"/><Relationship Type="http://schemas.openxmlformats.org/officeDocument/2006/relationships/hyperlink" Target="https://www.openstreetmap.org/?mlat=13.964208&amp;mlon=107.991781#map=19/13.964208/107.991781" TargetMode="External" Id="rId218"/><Relationship Type="http://schemas.openxmlformats.org/officeDocument/2006/relationships/hyperlink" Target="https://www.openstreetmap.org/?mlat=13.965492&amp;mlon=107.992154#map=19/13.965492/107.992154" TargetMode="External" Id="rId219"/><Relationship Type="http://schemas.openxmlformats.org/officeDocument/2006/relationships/hyperlink" Target="https://www.openstreetmap.org/?mlat=13.968605&amp;mlon=107.992825#map=19/13.968605/107.992825" TargetMode="External" Id="rId220"/><Relationship Type="http://schemas.openxmlformats.org/officeDocument/2006/relationships/hyperlink" Target="https://www.openstreetmap.org/?mlat=13.965393&amp;mlon=107.992362#map=19/13.965393/107.992362" TargetMode="External" Id="rId221"/><Relationship Type="http://schemas.openxmlformats.org/officeDocument/2006/relationships/hyperlink" Target="https://www.openstreetmap.org/?mlat=13.979243&amp;mlon=107.989556#map=19/13.979243/107.989556" TargetMode="External" Id="rId222"/><Relationship Type="http://schemas.openxmlformats.org/officeDocument/2006/relationships/hyperlink" Target="https://www.openstreetmap.org/?mlat=13.967327&amp;mlon=107.993078#map=19/13.967327/107.993078" TargetMode="External" Id="rId223"/><Relationship Type="http://schemas.openxmlformats.org/officeDocument/2006/relationships/hyperlink" Target="https://www.openstreetmap.org/?mlat=13.973871&amp;mlon=108.000532#map=19/13.973871/108.000532" TargetMode="External" Id="rId224"/><Relationship Type="http://schemas.openxmlformats.org/officeDocument/2006/relationships/hyperlink" Target="https://www.openstreetmap.org/?mlat=13.966301&amp;mlon=107.993384#map=19/13.966301/107.993384" TargetMode="External" Id="rId225"/><Relationship Type="http://schemas.openxmlformats.org/officeDocument/2006/relationships/hyperlink" Target="https://www.openstreetmap.org/?mlat=13.980345&amp;mlon=107.991742#map=19/13.980345/107.991742" TargetMode="External" Id="rId226"/><Relationship Type="http://schemas.openxmlformats.org/officeDocument/2006/relationships/hyperlink" Target="https://www.openstreetmap.org/?mlat=13.980389&amp;mlon=107.991099#map=19/13.980389/107.991099" TargetMode="External" Id="rId227"/><Relationship Type="http://schemas.openxmlformats.org/officeDocument/2006/relationships/hyperlink" Target="https://www.openstreetmap.org/?mlat=13.977292&amp;mlon=107.993744#map=19/13.977292/107.993744" TargetMode="External" Id="rId228"/><Relationship Type="http://schemas.openxmlformats.org/officeDocument/2006/relationships/hyperlink" Target="https://www.openstreetmap.org/?mlat=13.965501&amp;mlon=107.995437#map=19/13.965501/107.995437" TargetMode="External" Id="rId229"/><Relationship Type="http://schemas.openxmlformats.org/officeDocument/2006/relationships/hyperlink" Target="https://www.openstreetmap.org/?mlat=13.982450&amp;mlon=107.995094#map=19/13.982450/107.995094" TargetMode="External" Id="rId230"/><Relationship Type="http://schemas.openxmlformats.org/officeDocument/2006/relationships/hyperlink" Target="https://www.openstreetmap.org/?mlat=13.975562&amp;mlon=107.995032#map=19/13.975562/107.995032" TargetMode="External" Id="rId231"/><Relationship Type="http://schemas.openxmlformats.org/officeDocument/2006/relationships/hyperlink" Target="https://www.openstreetmap.org/?mlat=13.974814&amp;mlon=107.994906#map=19/13.974814/107.994906" TargetMode="External" Id="rId232"/><Relationship Type="http://schemas.openxmlformats.org/officeDocument/2006/relationships/hyperlink" Target="https://www.openstreetmap.org/?mlat=13.976356&amp;mlon=107.998638#map=19/13.976356/107.998638" TargetMode="External" Id="rId233"/><Relationship Type="http://schemas.openxmlformats.org/officeDocument/2006/relationships/hyperlink" Target="https://www.openstreetmap.org/?mlat=13.976356&amp;mlon=107.998638#map=19/13.976356/107.998638" TargetMode="External" Id="rId234"/><Relationship Type="http://schemas.openxmlformats.org/officeDocument/2006/relationships/hyperlink" Target="https://www.openstreetmap.org/?mlat=13.976805&amp;mlon=107.998837#map=19/13.976805/107.998837" TargetMode="External" Id="rId235"/><Relationship Type="http://schemas.openxmlformats.org/officeDocument/2006/relationships/hyperlink" Target="https://www.openstreetmap.org/?mlat=13.978832&amp;mlon=107.994955#map=19/13.978832/107.994955" TargetMode="External" Id="rId236"/><Relationship Type="http://schemas.openxmlformats.org/officeDocument/2006/relationships/hyperlink" Target="https://www.openstreetmap.org/?mlat=13.979400&amp;mlon=107.994825#map=19/13.979400/107.994825" TargetMode="External" Id="rId237"/><Relationship Type="http://schemas.openxmlformats.org/officeDocument/2006/relationships/hyperlink" Target="https://www.openstreetmap.org/?mlat=13.980032&amp;mlon=107.994937#map=19/13.980032/107.994937" TargetMode="External" Id="rId238"/><Relationship Type="http://schemas.openxmlformats.org/officeDocument/2006/relationships/hyperlink" Target="https://www.openstreetmap.org/?mlat=13.981226&amp;mlon=107.994525#map=19/13.981226/107.994525" TargetMode="External" Id="rId239"/><Relationship Type="http://schemas.openxmlformats.org/officeDocument/2006/relationships/hyperlink" Target="https://www.openstreetmap.org/?mlat=13.977040&amp;mlon=107.997124#map=19/13.977040/107.997124" TargetMode="External" Id="rId240"/><Relationship Type="http://schemas.openxmlformats.org/officeDocument/2006/relationships/hyperlink" Target="https://www.openstreetmap.org/?mlat=13.969121&amp;mlon=107.995910#map=19/13.969121/107.995910" TargetMode="External" Id="rId241"/><Relationship Type="http://schemas.openxmlformats.org/officeDocument/2006/relationships/hyperlink" Target="https://www.openstreetmap.org/?mlat=13.970243&amp;mlon=107.997120#map=19/13.970243/107.997120" TargetMode="External" Id="rId242"/><Relationship Type="http://schemas.openxmlformats.org/officeDocument/2006/relationships/hyperlink" Target="https://www.openstreetmap.org/?mlat=13.973744&amp;mlon=108.000939#map=19/13.973744/108.000939" TargetMode="External" Id="rId243"/><Relationship Type="http://schemas.openxmlformats.org/officeDocument/2006/relationships/hyperlink" Target="https://www.openstreetmap.org/?mlat=13.973679&amp;mlon=108.001288#map=19/13.973679/108.001288" TargetMode="External" Id="rId244"/><Relationship Type="http://schemas.openxmlformats.org/officeDocument/2006/relationships/hyperlink" Target="https://www.openstreetmap.org/?mlat=13.974476&amp;mlon=108.002911#map=19/13.974476/108.002911" TargetMode="External" Id="rId245"/><Relationship Type="http://schemas.openxmlformats.org/officeDocument/2006/relationships/hyperlink" Target="https://www.openstreetmap.org/?mlat=13.979615&amp;mlon=107.995342#map=19/13.979615/107.995342" TargetMode="External" Id="rId246"/><Relationship Type="http://schemas.openxmlformats.org/officeDocument/2006/relationships/hyperlink" Target="https://www.openstreetmap.org/?mlat=13.979417&amp;mlon=107.994257#map=19/13.979417/107.994257" TargetMode="External" Id="rId247"/><Relationship Type="http://schemas.openxmlformats.org/officeDocument/2006/relationships/hyperlink" Target="https://www.openstreetmap.org/?mlat=13.979162&amp;mlon=107.992778#map=19/13.979162/107.992778" TargetMode="External" Id="rId248"/><Relationship Type="http://schemas.openxmlformats.org/officeDocument/2006/relationships/hyperlink" Target="https://www.openstreetmap.org/?mlat=13.979776&amp;mlon=107.994158#map=19/13.979776/107.994158" TargetMode="External" Id="rId249"/><Relationship Type="http://schemas.openxmlformats.org/officeDocument/2006/relationships/hyperlink" Target="https://www.openstreetmap.org/?mlat=13.979632&amp;mlon=107.993241#map=19/13.979632/107.993241" TargetMode="External" Id="rId250"/><Relationship Type="http://schemas.openxmlformats.org/officeDocument/2006/relationships/hyperlink" Target="https://www.openstreetmap.org/?mlat=13.973495&amp;mlon=107.998527#map=19/13.973495/107.998527" TargetMode="External" Id="rId251"/><Relationship Type="http://schemas.openxmlformats.org/officeDocument/2006/relationships/hyperlink" Target="https://www.openstreetmap.org/?mlat=13.978418&amp;mlon=107.997772#map=19/13.978418/107.997772" TargetMode="External" Id="rId252"/><Relationship Type="http://schemas.openxmlformats.org/officeDocument/2006/relationships/hyperlink" Target="https://www.openstreetmap.org/?mlat=13.974009&amp;mlon=107.998300#map=19/13.974009/107.998300" TargetMode="External" Id="rId253"/><Relationship Type="http://schemas.openxmlformats.org/officeDocument/2006/relationships/hyperlink" Target="https://www.openstreetmap.org/?mlat=13.975937&amp;mlon=107.997967#map=19/13.975937/107.997967" TargetMode="External" Id="rId254"/><Relationship Type="http://schemas.openxmlformats.org/officeDocument/2006/relationships/hyperlink" Target="https://www.openstreetmap.org/?mlat=13.979349&amp;mlon=107.997123#map=19/13.979349/107.997123" TargetMode="External" Id="rId255"/><Relationship Type="http://schemas.openxmlformats.org/officeDocument/2006/relationships/hyperlink" Target="https://www.openstreetmap.org/?mlat=13.974088&amp;mlon=107.998276#map=19/13.974088/107.998276" TargetMode="External" Id="rId256"/><Relationship Type="http://schemas.openxmlformats.org/officeDocument/2006/relationships/hyperlink" Target="https://www.openstreetmap.org/?mlat=13.974682&amp;mlon=107.995392#map=19/13.974682/107.995392" TargetMode="External" Id="rId257"/><Relationship Type="http://schemas.openxmlformats.org/officeDocument/2006/relationships/hyperlink" Target="https://www.openstreetmap.org/?mlat=13.982435&amp;mlon=107.992768#map=19/13.982435/107.992768" TargetMode="External" Id="rId258"/><Relationship Type="http://schemas.openxmlformats.org/officeDocument/2006/relationships/hyperlink" Target="https://www.openstreetmap.org/?mlat=13.977534&amp;mlon=107.992909#map=19/13.977534/107.992909" TargetMode="External" Id="rId259"/><Relationship Type="http://schemas.openxmlformats.org/officeDocument/2006/relationships/hyperlink" Target="https://www.openstreetmap.org/?mlat=13.976291&amp;mlon=107.997016#map=19/13.976291/107.997016" TargetMode="External" Id="rId260"/><Relationship Type="http://schemas.openxmlformats.org/officeDocument/2006/relationships/hyperlink" Target="https://www.openstreetmap.org/?mlat=13.975591&amp;mlon=107.993363#map=19/13.975591/107.993363" TargetMode="External" Id="rId261"/><Relationship Type="http://schemas.openxmlformats.org/officeDocument/2006/relationships/hyperlink" Target="https://www.openstreetmap.org/?mlat=13.969607&amp;mlon=108.001099#map=19/13.969607/108.001099" TargetMode="External" Id="rId262"/><Relationship Type="http://schemas.openxmlformats.org/officeDocument/2006/relationships/hyperlink" Target="https://www.openstreetmap.org/?mlat=13.969758&amp;mlon=107.999588#map=19/13.969758/107.999588" TargetMode="External" Id="rId263"/><Relationship Type="http://schemas.openxmlformats.org/officeDocument/2006/relationships/hyperlink" Target="https://www.openstreetmap.org/?mlat=13.970465&amp;mlon=107.996033#map=19/13.970465/107.996033" TargetMode="External" Id="rId264"/><Relationship Type="http://schemas.openxmlformats.org/officeDocument/2006/relationships/hyperlink" Target="https://www.openstreetmap.org/?mlat=13.951242&amp;mlon=107.996172#map=19/13.951242/107.996172" TargetMode="External" Id="rId265"/><Relationship Type="http://schemas.openxmlformats.org/officeDocument/2006/relationships/hyperlink" Target="https://www.openstreetmap.org/?mlat=13.981148&amp;mlon=107.992165#map=19/13.981148/107.992165" TargetMode="External" Id="rId266"/><Relationship Type="http://schemas.openxmlformats.org/officeDocument/2006/relationships/hyperlink" Target="https://www.openstreetmap.org/?mlat=13.986977&amp;mlon=107.992704#map=19/13.986977/107.992704" TargetMode="External" Id="rId267"/><Relationship Type="http://schemas.openxmlformats.org/officeDocument/2006/relationships/hyperlink" Target="https://www.openstreetmap.org/?mlat=13.970121&amp;mlon=107.996553#map=19/13.970121/107.996553" TargetMode="External" Id="rId268"/><Relationship Type="http://schemas.openxmlformats.org/officeDocument/2006/relationships/hyperlink" Target="https://www.openstreetmap.org/?mlat=13.970395&amp;mlon=107.997304#map=19/13.970395/107.997304" TargetMode="External" Id="rId269"/><Relationship Type="http://schemas.openxmlformats.org/officeDocument/2006/relationships/hyperlink" Target="https://www.openstreetmap.org/?mlat=13.970473&amp;mlon=107.997540#map=19/13.970473/107.997540" TargetMode="External" Id="rId270"/><Relationship Type="http://schemas.openxmlformats.org/officeDocument/2006/relationships/hyperlink" Target="https://www.openstreetmap.org/?mlat=13.967330&amp;mlon=108.000539#map=19/13.967330/108.000539" TargetMode="External" Id="rId271"/><Relationship Type="http://schemas.openxmlformats.org/officeDocument/2006/relationships/hyperlink" Target="https://www.openstreetmap.org/?mlat=13.965680&amp;mlon=107.996996#map=19/13.965680/107.996996" TargetMode="External" Id="rId272"/><Relationship Type="http://schemas.openxmlformats.org/officeDocument/2006/relationships/hyperlink" Target="https://www.openstreetmap.org/?mlat=13.984157&amp;mlon=107.993532#map=19/13.984157/107.993532" TargetMode="External" Id="rId273"/><Relationship Type="http://schemas.openxmlformats.org/officeDocument/2006/relationships/hyperlink" Target="https://www.openstreetmap.org/?mlat=13.978779&amp;mlon=107.997548#map=19/13.978779/107.997548" TargetMode="External" Id="rId274"/><Relationship Type="http://schemas.openxmlformats.org/officeDocument/2006/relationships/hyperlink" Target="https://www.openstreetmap.org/?mlat=13.979504&amp;mlon=107.998594#map=19/13.979504/107.998594" TargetMode="External" Id="rId275"/><Relationship Type="http://schemas.openxmlformats.org/officeDocument/2006/relationships/hyperlink" Target="https://www.openstreetmap.org/?mlat=13.981329&amp;mlon=107.993857#map=19/13.981329/107.993857" TargetMode="External" Id="rId276"/><Relationship Type="http://schemas.openxmlformats.org/officeDocument/2006/relationships/hyperlink" Target="https://www.openstreetmap.org/?mlat=13.977967&amp;mlon=107.994558#map=19/13.977967/107.994558" TargetMode="External" Id="rId277"/><Relationship Type="http://schemas.openxmlformats.org/officeDocument/2006/relationships/hyperlink" Target="https://www.openstreetmap.org/?mlat=13.977745&amp;mlon=107.994543#map=19/13.977745/107.994543" TargetMode="External" Id="rId278"/><Relationship Type="http://schemas.openxmlformats.org/officeDocument/2006/relationships/hyperlink" Target="https://www.openstreetmap.org/?mlat=13.981000&amp;mlon=107.993510#map=19/13.981000/107.993510" TargetMode="External" Id="rId279"/><Relationship Type="http://schemas.openxmlformats.org/officeDocument/2006/relationships/hyperlink" Target="https://www.openstreetmap.org/?mlat=13.980647&amp;mlon=107.991672#map=19/13.980647/107.991672" TargetMode="External" Id="rId280"/><Relationship Type="http://schemas.openxmlformats.org/officeDocument/2006/relationships/hyperlink" Target="https://www.openstreetmap.org/?mlat=13.980918&amp;mlon=107.995049#map=19/13.980918/107.995049" TargetMode="External" Id="rId281"/><Relationship Type="http://schemas.openxmlformats.org/officeDocument/2006/relationships/hyperlink" Target="https://www.openstreetmap.org/?mlat=13.980804&amp;mlon=107.994167#map=19/13.980804/107.994167" TargetMode="External" Id="rId282"/><Relationship Type="http://schemas.openxmlformats.org/officeDocument/2006/relationships/hyperlink" Target="https://www.openstreetmap.org/?mlat=13.971936&amp;mlon=107.998433#map=19/13.971936/107.998433" TargetMode="External" Id="rId283"/><Relationship Type="http://schemas.openxmlformats.org/officeDocument/2006/relationships/hyperlink" Target="https://www.openstreetmap.org/?mlat=13.972064&amp;mlon=107.999181#map=19/13.972064/107.999181" TargetMode="External" Id="rId284"/><Relationship Type="http://schemas.openxmlformats.org/officeDocument/2006/relationships/hyperlink" Target="https://www.openstreetmap.org/?mlat=13.969810&amp;mlon=107.999258#map=19/13.969810/107.999258" TargetMode="External" Id="rId285"/><Relationship Type="http://schemas.openxmlformats.org/officeDocument/2006/relationships/hyperlink" Target="https://www.openstreetmap.org/?mlat=13.972500&amp;mlon=108.000460#map=19/13.972500/108.000460" TargetMode="External" Id="rId286"/><Relationship Type="http://schemas.openxmlformats.org/officeDocument/2006/relationships/hyperlink" Target="https://www.openstreetmap.org/?mlat=13.972578&amp;mlon=108.000743#map=19/13.972578/108.000743" TargetMode="External" Id="rId287"/><Relationship Type="http://schemas.openxmlformats.org/officeDocument/2006/relationships/hyperlink" Target="https://www.openstreetmap.org/?mlat=13.972679&amp;mlon=108.001142#map=19/13.972679/108.001142" TargetMode="External" Id="rId288"/><Relationship Type="http://schemas.openxmlformats.org/officeDocument/2006/relationships/hyperlink" Target="https://www.openstreetmap.org/?mlat=13.972912&amp;mlon=108.001657#map=19/13.972912/108.001657" TargetMode="External" Id="rId289"/><Relationship Type="http://schemas.openxmlformats.org/officeDocument/2006/relationships/hyperlink" Target="https://www.openstreetmap.org/?mlat=13.972839&amp;mlon=108.002017#map=19/13.972839/108.002017" TargetMode="External" Id="rId290"/><Relationship Type="http://schemas.openxmlformats.org/officeDocument/2006/relationships/hyperlink" Target="https://www.openstreetmap.org/?mlat=13.972961&amp;mlon=108.002448#map=19/13.972961/108.002448" TargetMode="External" Id="rId291"/><Relationship Type="http://schemas.openxmlformats.org/officeDocument/2006/relationships/hyperlink" Target="https://www.openstreetmap.org/?mlat=13.971629&amp;mlon=107.995186#map=19/13.971629/107.995186" TargetMode="External" Id="rId292"/><Relationship Type="http://schemas.openxmlformats.org/officeDocument/2006/relationships/hyperlink" Target="https://www.openstreetmap.org/?mlat=13.980625&amp;mlon=107.996880#map=19/13.980625/107.996880" TargetMode="External" Id="rId293"/><Relationship Type="http://schemas.openxmlformats.org/officeDocument/2006/relationships/hyperlink" Target="https://www.openstreetmap.org/?mlat=13.980594&amp;mlon=107.995071#map=19/13.980594/107.995071" TargetMode="External" Id="rId294"/><Relationship Type="http://schemas.openxmlformats.org/officeDocument/2006/relationships/hyperlink" Target="https://www.openstreetmap.org/?mlat=13.980456&amp;mlon=107.994362#map=19/13.980456/107.994362" TargetMode="External" Id="rId295"/><Relationship Type="http://schemas.openxmlformats.org/officeDocument/2006/relationships/hyperlink" Target="https://www.openstreetmap.org/?mlat=13.980252&amp;mlon=107.994375#map=19/13.980252/107.994375" TargetMode="External" Id="rId296"/><Relationship Type="http://schemas.openxmlformats.org/officeDocument/2006/relationships/hyperlink" Target="https://www.openstreetmap.org/?mlat=13.980210&amp;mlon=107.994326#map=19/13.980210/107.994326" TargetMode="External" Id="rId297"/><Relationship Type="http://schemas.openxmlformats.org/officeDocument/2006/relationships/hyperlink" Target="https://www.openstreetmap.org/?mlat=13.979898&amp;mlon=107.992884#map=19/13.979898/107.992884" TargetMode="External" Id="rId298"/><Relationship Type="http://schemas.openxmlformats.org/officeDocument/2006/relationships/hyperlink" Target="https://www.openstreetmap.org/?mlat=13.979894&amp;mlon=107.992470#map=19/13.979894/107.992470" TargetMode="External" Id="rId299"/><Relationship Type="http://schemas.openxmlformats.org/officeDocument/2006/relationships/hyperlink" Target="https://www.openstreetmap.org/?mlat=13.975441&amp;mlon=108.000217#map=19/13.975441/108.000217" TargetMode="External" Id="rId300"/><Relationship Type="http://schemas.openxmlformats.org/officeDocument/2006/relationships/hyperlink" Target="https://www.openstreetmap.org/?mlat=13.975336&amp;mlon=107.999983#map=19/13.975336/107.999983" TargetMode="External" Id="rId301"/><Relationship Type="http://schemas.openxmlformats.org/officeDocument/2006/relationships/hyperlink" Target="https://www.openstreetmap.org/?mlat=13.973163&amp;mlon=107.999392#map=19/13.973163/107.999392" TargetMode="External" Id="rId302"/><Relationship Type="http://schemas.openxmlformats.org/officeDocument/2006/relationships/hyperlink" Target="https://www.openstreetmap.org/?mlat=13.972049&amp;mlon=107.999469#map=19/13.972049/107.999469" TargetMode="External" Id="rId303"/><Relationship Type="http://schemas.openxmlformats.org/officeDocument/2006/relationships/hyperlink" Target="https://www.openstreetmap.org/?mlat=13.970034&amp;mlon=107.999158#map=19/13.970034/107.999158" TargetMode="External" Id="rId304"/><Relationship Type="http://schemas.openxmlformats.org/officeDocument/2006/relationships/hyperlink" Target="https://www.openstreetmap.org/?mlat=13.977564&amp;mlon=107.996564#map=19/13.977564/107.996564" TargetMode="External" Id="rId305"/><Relationship Type="http://schemas.openxmlformats.org/officeDocument/2006/relationships/hyperlink" Target="https://www.openstreetmap.org/?mlat=13.977123&amp;mlon=107.994395#map=19/13.977123/107.994395" TargetMode="External" Id="rId306"/><Relationship Type="http://schemas.openxmlformats.org/officeDocument/2006/relationships/hyperlink" Target="https://www.openstreetmap.org/?mlat=13.977211&amp;mlon=107.992980#map=19/13.977211/107.992980" TargetMode="External" Id="rId307"/><Relationship Type="http://schemas.openxmlformats.org/officeDocument/2006/relationships/hyperlink" Target="https://www.openstreetmap.org/?mlat=13.977022&amp;mlon=107.993736#map=19/13.977022/107.993736" TargetMode="External" Id="rId308"/><Relationship Type="http://schemas.openxmlformats.org/officeDocument/2006/relationships/hyperlink" Target="https://www.openstreetmap.org/?mlat=13.976009&amp;mlon=107.986086#map=19/13.976009/107.986086" TargetMode="External" Id="rId309"/><Relationship Type="http://schemas.openxmlformats.org/officeDocument/2006/relationships/hyperlink" Target="https://www.openstreetmap.org/?mlat=13.978335&amp;mlon=107.991024#map=19/13.978335/107.991024" TargetMode="External" Id="rId310"/><Relationship Type="http://schemas.openxmlformats.org/officeDocument/2006/relationships/hyperlink" Target="https://www.openstreetmap.org/?mlat=13.975269&amp;mlon=107.997044#map=19/13.975269/107.997044" TargetMode="External" Id="rId311"/><Relationship Type="http://schemas.openxmlformats.org/officeDocument/2006/relationships/hyperlink" Target="https://www.openstreetmap.org/?mlat=13.973633&amp;mlon=107.997360#map=19/13.973633/107.997360" TargetMode="External" Id="rId312"/><Relationship Type="http://schemas.openxmlformats.org/officeDocument/2006/relationships/hyperlink" Target="https://www.openstreetmap.org/?mlat=13.968532&amp;mlon=107.999162#map=19/13.968532/107.999162" TargetMode="External" Id="rId313"/><Relationship Type="http://schemas.openxmlformats.org/officeDocument/2006/relationships/hyperlink" Target="https://www.openstreetmap.org/?mlat=13.973369&amp;mlon=107.998129#map=19/13.973369/107.998129" TargetMode="External" Id="rId314"/><Relationship Type="http://schemas.openxmlformats.org/officeDocument/2006/relationships/hyperlink" Target="https://www.openstreetmap.org/?mlat=13.974180&amp;mlon=108.001577#map=19/13.974180/108.001577" TargetMode="External" Id="rId315"/><Relationship Type="http://schemas.openxmlformats.org/officeDocument/2006/relationships/hyperlink" Target="https://www.openstreetmap.org/?mlat=13.973928&amp;mlon=107.999801#map=19/13.973928/107.999801" TargetMode="External" Id="rId316"/><Relationship Type="http://schemas.openxmlformats.org/officeDocument/2006/relationships/hyperlink" Target="https://www.openstreetmap.org/?mlat=13.974216&amp;mlon=108.000795#map=19/13.974216/108.000795" TargetMode="External" Id="rId317"/><Relationship Type="http://schemas.openxmlformats.org/officeDocument/2006/relationships/hyperlink" Target="https://www.openstreetmap.org/?mlat=13.974160&amp;mlon=108.001110#map=19/13.974160/108.001110" TargetMode="External" Id="rId318"/><Relationship Type="http://schemas.openxmlformats.org/officeDocument/2006/relationships/hyperlink" Target="https://www.openstreetmap.org/?mlat=13.974583&amp;mlon=108.002166#map=19/13.974583/108.002166" TargetMode="External" Id="rId319"/><Relationship Type="http://schemas.openxmlformats.org/officeDocument/2006/relationships/hyperlink" Target="https://www.openstreetmap.org/?mlat=13.969869&amp;mlon=107.999404#map=19/13.969869/107.999404" TargetMode="External" Id="rId320"/><Relationship Type="http://schemas.openxmlformats.org/officeDocument/2006/relationships/hyperlink" Target="https://www.openstreetmap.org/?mlat=13.975266&amp;mlon=107.988338#map=19/13.975266/107.988338" TargetMode="External" Id="rId321"/><Relationship Type="http://schemas.openxmlformats.org/officeDocument/2006/relationships/hyperlink" Target="https://www.openstreetmap.org/?mlat=13.978870&amp;mlon=107.998003#map=19/13.978870/107.998003" TargetMode="External" Id="rId322"/><Relationship Type="http://schemas.openxmlformats.org/officeDocument/2006/relationships/hyperlink" Target="https://www.openstreetmap.org/?mlat=13.981597&amp;mlon=107.994503#map=19/13.981597/107.994503" TargetMode="External" Id="rId323"/><Relationship Type="http://schemas.openxmlformats.org/officeDocument/2006/relationships/hyperlink" Target="https://www.openstreetmap.org/?mlat=13.981389&amp;mlon=107.993486#map=19/13.981389/107.993486" TargetMode="External" Id="rId324"/><Relationship Type="http://schemas.openxmlformats.org/officeDocument/2006/relationships/hyperlink" Target="https://www.openstreetmap.org/?mlat=13.981577&amp;mlon=107.993122#map=19/13.981577/107.993122" TargetMode="External" Id="rId325"/><Relationship Type="http://schemas.openxmlformats.org/officeDocument/2006/relationships/hyperlink" Target="https://www.openstreetmap.org/?mlat=14.000821&amp;mlon=107.997240#map=19/14.000821/107.997240" TargetMode="External" Id="rId326"/><Relationship Type="http://schemas.openxmlformats.org/officeDocument/2006/relationships/hyperlink" Target="https://www.openstreetmap.org/?mlat=14.016984&amp;mlon=107.991822#map=19/14.016984/107.991822" TargetMode="External" Id="rId327"/><Relationship Type="http://schemas.openxmlformats.org/officeDocument/2006/relationships/hyperlink" Target="https://www.openstreetmap.org/?mlat=14.016851&amp;mlon=107.991837#map=19/14.016851/107.991837" TargetMode="External" Id="rId328"/><Relationship Type="http://schemas.openxmlformats.org/officeDocument/2006/relationships/hyperlink" Target="https://www.openstreetmap.org/?mlat=14.011488&amp;mlon=107.993044#map=19/14.011488/107.993044" TargetMode="External" Id="rId329"/><Relationship Type="http://schemas.openxmlformats.org/officeDocument/2006/relationships/hyperlink" Target="https://www.openstreetmap.org/?mlat=14.036190&amp;mlon=107.991540#map=19/14.036190/107.991540" TargetMode="External" Id="rId330"/><Relationship Type="http://schemas.openxmlformats.org/officeDocument/2006/relationships/hyperlink" Target="https://www.openstreetmap.org/?mlat=14.006745&amp;mlon=107.985511#map=19/14.006745/107.985511" TargetMode="External" Id="rId331"/><Relationship Type="http://schemas.openxmlformats.org/officeDocument/2006/relationships/hyperlink" Target="https://www.openstreetmap.org/?mlat=13.999316&amp;mlon=107.986960#map=19/13.999316/107.986960" TargetMode="External" Id="rId332"/><Relationship Type="http://schemas.openxmlformats.org/officeDocument/2006/relationships/hyperlink" Target="https://www.openstreetmap.org/?mlat=14.015618&amp;mlon=107.987849#map=19/14.015618/107.987849" TargetMode="External" Id="rId333"/><Relationship Type="http://schemas.openxmlformats.org/officeDocument/2006/relationships/hyperlink" Target="https://www.openstreetmap.org/?mlat=14.012406&amp;mlon=107.989067#map=19/14.012406/107.989067" TargetMode="External" Id="rId334"/><Relationship Type="http://schemas.openxmlformats.org/officeDocument/2006/relationships/hyperlink" Target="https://www.openstreetmap.org/?mlat=14.025252&amp;mlon=107.990959#map=19/14.025252/107.990959" TargetMode="External" Id="rId335"/><Relationship Type="http://schemas.openxmlformats.org/officeDocument/2006/relationships/hyperlink" Target="https://www.openstreetmap.org/?mlat=13.996235&amp;mlon=107.998141#map=19/13.996235/107.998141" TargetMode="External" Id="rId336"/><Relationship Type="http://schemas.openxmlformats.org/officeDocument/2006/relationships/hyperlink" Target="https://www.openstreetmap.org/?mlat=13.997023&amp;mlon=107.998083#map=19/13.997023/107.998083" TargetMode="External" Id="rId337"/><Relationship Type="http://schemas.openxmlformats.org/officeDocument/2006/relationships/hyperlink" Target="https://www.openstreetmap.org/?mlat=13.997547&amp;mlon=107.996669#map=19/13.997547/107.996669" TargetMode="External" Id="rId338"/><Relationship Type="http://schemas.openxmlformats.org/officeDocument/2006/relationships/hyperlink" Target="https://www.openstreetmap.org/?mlat=14.000165&amp;mlon=107.995926#map=19/14.000165/107.995926" TargetMode="External" Id="rId339"/><Relationship Type="http://schemas.openxmlformats.org/officeDocument/2006/relationships/hyperlink" Target="https://www.openstreetmap.org/?mlat=13.997496&amp;mlon=107.996719#map=19/13.997496/107.996719" TargetMode="External" Id="rId340"/><Relationship Type="http://schemas.openxmlformats.org/officeDocument/2006/relationships/hyperlink" Target="https://www.openstreetmap.org/?mlat=14.005002&amp;mlon=107.994436#map=19/14.005002/107.994436" TargetMode="External" Id="rId341"/><Relationship Type="http://schemas.openxmlformats.org/officeDocument/2006/relationships/hyperlink" Target="https://www.openstreetmap.org/?mlat=14.011474&amp;mlon=107.993397#map=19/14.011474/107.993397" TargetMode="External" Id="rId342"/><Relationship Type="http://schemas.openxmlformats.org/officeDocument/2006/relationships/hyperlink" Target="https://www.openstreetmap.org/?mlat=14.030629&amp;mlon=107.983167#map=19/14.030629/107.983167" TargetMode="External" Id="rId343"/><Relationship Type="http://schemas.openxmlformats.org/officeDocument/2006/relationships/hyperlink" Target="https://www.openstreetmap.org/?mlat=13.973887&amp;mlon=108.008597#map=19/13.973887/108.008597" TargetMode="External" Id="rId344"/><Relationship Type="http://schemas.openxmlformats.org/officeDocument/2006/relationships/hyperlink" Target="https://www.openstreetmap.org/?mlat=13.960875&amp;mlon=107.996341#map=19/13.960875/107.996341" TargetMode="External" Id="rId345"/><Relationship Type="http://schemas.openxmlformats.org/officeDocument/2006/relationships/hyperlink" Target="https://www.openstreetmap.org/?mlat=13.962279&amp;mlon=108.000652#map=19/13.962279/108.000652" TargetMode="External" Id="rId346"/><Relationship Type="http://schemas.openxmlformats.org/officeDocument/2006/relationships/hyperlink" Target="https://www.openstreetmap.org/?mlat=13.961610&amp;mlon=107.991625#map=19/13.961610/107.991625" TargetMode="External" Id="rId347"/><Relationship Type="http://schemas.openxmlformats.org/officeDocument/2006/relationships/hyperlink" Target="https://www.openstreetmap.org/?mlat=13.965909&amp;mlon=108.009256#map=19/13.965909/108.009256" TargetMode="External" Id="rId348"/><Relationship Type="http://schemas.openxmlformats.org/officeDocument/2006/relationships/hyperlink" Target="https://www.openstreetmap.org/?mlat=13.970561&amp;mlon=108.025521#map=19/13.970561/108.025521" TargetMode="External" Id="rId349"/><Relationship Type="http://schemas.openxmlformats.org/officeDocument/2006/relationships/hyperlink" Target="https://www.openstreetmap.org/?mlat=13.970632&amp;mlon=108.025991#map=19/13.970632/108.025991" TargetMode="External" Id="rId350"/><Relationship Type="http://schemas.openxmlformats.org/officeDocument/2006/relationships/hyperlink" Target="https://www.openstreetmap.org/?mlat=13.968466&amp;mlon=108.027638#map=19/13.968466/108.027638" TargetMode="External" Id="rId351"/><Relationship Type="http://schemas.openxmlformats.org/officeDocument/2006/relationships/hyperlink" Target="https://www.openstreetmap.org/?mlat=13.968071&amp;mlon=108.025972#map=19/13.968071/108.025972" TargetMode="External" Id="rId352"/><Relationship Type="http://schemas.openxmlformats.org/officeDocument/2006/relationships/hyperlink" Target="https://www.openstreetmap.org/?mlat=13.970799&amp;mlon=108.025849#map=19/13.970799/108.025849" TargetMode="External" Id="rId353"/><Relationship Type="http://schemas.openxmlformats.org/officeDocument/2006/relationships/hyperlink" Target="https://www.openstreetmap.org/?mlat=13.961486&amp;mlon=107.991716#map=19/13.961486/107.991716" TargetMode="External" Id="rId354"/><Relationship Type="http://schemas.openxmlformats.org/officeDocument/2006/relationships/hyperlink" Target="https://www.openstreetmap.org/?mlat=13.954846&amp;mlon=107.995531#map=19/13.954846/107.995531" TargetMode="External" Id="rId355"/><Relationship Type="http://schemas.openxmlformats.org/officeDocument/2006/relationships/hyperlink" Target="https://www.openstreetmap.org/?mlat=13.963371&amp;mlon=108.020831#map=19/13.963371/108.020831" TargetMode="External" Id="rId356"/><Relationship Type="http://schemas.openxmlformats.org/officeDocument/2006/relationships/hyperlink" Target="https://www.openstreetmap.org/?mlat=13.972574&amp;mlon=108.007699#map=19/13.972574/108.007699" TargetMode="External" Id="rId357"/><Relationship Type="http://schemas.openxmlformats.org/officeDocument/2006/relationships/hyperlink" Target="https://www.openstreetmap.org/?mlat=13.969510&amp;mlon=108.006313#map=19/13.969510/108.006313" TargetMode="External" Id="rId358"/><Relationship Type="http://schemas.openxmlformats.org/officeDocument/2006/relationships/hyperlink" Target="https://www.openstreetmap.org/?mlat=13.966879&amp;mlon=108.006590#map=19/13.966879/108.006590" TargetMode="External" Id="rId359"/><Relationship Type="http://schemas.openxmlformats.org/officeDocument/2006/relationships/hyperlink" Target="https://www.openstreetmap.org/?mlat=13.966346&amp;mlon=108.006653#map=19/13.966346/108.006653" TargetMode="External" Id="rId360"/><Relationship Type="http://schemas.openxmlformats.org/officeDocument/2006/relationships/hyperlink" Target="https://www.openstreetmap.org/?mlat=13.970094&amp;mlon=108.006969#map=19/13.970094/108.006969" TargetMode="External" Id="rId361"/><Relationship Type="http://schemas.openxmlformats.org/officeDocument/2006/relationships/hyperlink" Target="https://www.openstreetmap.org/?mlat=13.957563&amp;mlon=107.995517#map=19/13.957563/107.995517" TargetMode="External" Id="rId362"/><Relationship Type="http://schemas.openxmlformats.org/officeDocument/2006/relationships/hyperlink" Target="https://www.openstreetmap.org/?mlat=13.957691&amp;mlon=108.005490#map=19/13.957691/108.005490" TargetMode="External" Id="rId363"/><Relationship Type="http://schemas.openxmlformats.org/officeDocument/2006/relationships/hyperlink" Target="https://www.openstreetmap.org/?mlat=13.954041&amp;mlon=108.014269#map=19/13.954041/108.014269" TargetMode="External" Id="rId364"/><Relationship Type="http://schemas.openxmlformats.org/officeDocument/2006/relationships/hyperlink" Target="https://www.openstreetmap.org/?mlat=13.964246&amp;mlon=108.016996#map=19/13.964246/108.016996" TargetMode="External" Id="rId365"/><Relationship Type="http://schemas.openxmlformats.org/officeDocument/2006/relationships/hyperlink" Target="https://www.openstreetmap.org/?mlat=13.963078&amp;mlon=108.016850#map=19/13.963078/108.016850" TargetMode="External" Id="rId366"/><Relationship Type="http://schemas.openxmlformats.org/officeDocument/2006/relationships/hyperlink" Target="https://www.openstreetmap.org/?mlat=13.960119&amp;mlon=108.016096#map=19/13.960119/108.016096" TargetMode="External" Id="rId367"/><Relationship Type="http://schemas.openxmlformats.org/officeDocument/2006/relationships/hyperlink" Target="https://www.openstreetmap.org/?mlat=13.967868&amp;mlon=108.006762#map=19/13.967868/108.006762" TargetMode="External" Id="rId368"/><Relationship Type="http://schemas.openxmlformats.org/officeDocument/2006/relationships/hyperlink" Target="https://www.openstreetmap.org/?mlat=13.968438&amp;mlon=108.026167#map=19/13.968438/108.026167" TargetMode="External" Id="rId369"/><Relationship Type="http://schemas.openxmlformats.org/officeDocument/2006/relationships/hyperlink" Target="https://www.openstreetmap.org/?mlat=13.973598&amp;mlon=108.008919#map=19/13.973598/108.008919" TargetMode="External" Id="rId370"/><Relationship Type="http://schemas.openxmlformats.org/officeDocument/2006/relationships/hyperlink" Target="https://www.openstreetmap.org/?mlat=13.961640&amp;mlon=107.994320#map=19/13.961640/107.994320" TargetMode="External" Id="rId371"/><Relationship Type="http://schemas.openxmlformats.org/officeDocument/2006/relationships/hyperlink" Target="https://www.openstreetmap.org/?mlat=13.966668&amp;mlon=108.042751#map=19/13.966668/108.042751" TargetMode="External" Id="rId372"/><Relationship Type="http://schemas.openxmlformats.org/officeDocument/2006/relationships/hyperlink" Target="https://www.openstreetmap.org/?mlat=13.976906&amp;mlon=108.037878#map=19/13.976906/108.037878" TargetMode="External" Id="rId373"/><Relationship Type="http://schemas.openxmlformats.org/officeDocument/2006/relationships/hyperlink" Target="https://www.openstreetmap.org/?mlat=13.977856&amp;mlon=108.037328#map=19/13.977856/108.037328" TargetMode="External" Id="rId374"/><Relationship Type="http://schemas.openxmlformats.org/officeDocument/2006/relationships/hyperlink" Target="https://www.openstreetmap.org/?mlat=13.971286&amp;mlon=108.034243#map=19/13.971286/108.034243" TargetMode="External" Id="rId375"/><Relationship Type="http://schemas.openxmlformats.org/officeDocument/2006/relationships/hyperlink" Target="https://www.openstreetmap.org/?mlat=13.971731&amp;mlon=108.031699#map=19/13.971731/108.031699" TargetMode="External" Id="rId376"/><Relationship Type="http://schemas.openxmlformats.org/officeDocument/2006/relationships/hyperlink" Target="https://www.openstreetmap.org/?mlat=13.969434&amp;mlon=108.041095#map=19/13.969434/108.041095" TargetMode="External" Id="rId377"/><Relationship Type="http://schemas.openxmlformats.org/officeDocument/2006/relationships/hyperlink" Target="https://www.openstreetmap.org/?mlat=13.970277&amp;mlon=108.046320#map=19/13.970277/108.046320" TargetMode="External" Id="rId378"/><Relationship Type="http://schemas.openxmlformats.org/officeDocument/2006/relationships/hyperlink" Target="https://www.openstreetmap.org/?mlat=13.972025&amp;mlon=108.042675#map=19/13.972025/108.042675" TargetMode="External" Id="rId379"/><Relationship Type="http://schemas.openxmlformats.org/officeDocument/2006/relationships/hyperlink" Target="https://www.openstreetmap.org/?mlat=13.970978&amp;mlon=108.035756#map=19/13.970978/108.035756" TargetMode="External" Id="rId380"/><Relationship Type="http://schemas.openxmlformats.org/officeDocument/2006/relationships/hyperlink" Target="https://www.openstreetmap.org/?mlat=13.974368&amp;mlon=108.038597#map=19/13.974368/108.038597" TargetMode="External" Id="rId381"/><Relationship Type="http://schemas.openxmlformats.org/officeDocument/2006/relationships/hyperlink" Target="https://www.openstreetmap.org/?mlat=14.033792&amp;mlon=107.999585#map=19/14.033792/107.999585" TargetMode="External" Id="rId382"/><Relationship Type="http://schemas.openxmlformats.org/officeDocument/2006/relationships/hyperlink" Target="https://www.openstreetmap.org/?mlat=14.033796&amp;mlon=107.999618#map=19/14.033796/107.999618" TargetMode="External" Id="rId383"/><Relationship Type="http://schemas.openxmlformats.org/officeDocument/2006/relationships/hyperlink" Target="https://www.openstreetmap.org/?mlat=14.034962&amp;mlon=107.996737#map=19/14.034962/107.996737" TargetMode="External" Id="rId384"/></Relationships>
</file>

<file path=xl/worksheets/sheet1.xml><?xml version="1.0" encoding="utf-8"?>
<worksheet xmlns="http://schemas.openxmlformats.org/spreadsheetml/2006/main">
  <sheetPr>
    <outlinePr summaryBelow="1" summaryRight="1"/>
    <pageSetUpPr fitToPage="1"/>
  </sheetPr>
  <dimension ref="A1:A29"/>
  <sheetViews>
    <sheetView workbookViewId="0">
      <selection activeCell="A1" sqref="A1"/>
    </sheetView>
  </sheetViews>
  <sheetFormatPr baseColWidth="8" defaultRowHeight="15"/>
  <cols>
    <col width="110" customWidth="1" min="1" max="1"/>
  </cols>
  <sheetData>
    <row r="1">
      <c r="A1" s="1" t="inlineStr">
        <is>
          <t>HƯỚNG DẪN ĐI KHẢO SÁT QUÁN ĂN – TP PLEIKU CŨ</t>
        </is>
      </c>
    </row>
    <row r="2">
      <c r="A2" s="2" t="inlineStr"/>
    </row>
    <row r="3">
      <c r="A3" s="3" t="inlineStr">
        <is>
          <t>CHUẨN BỊ</t>
        </is>
      </c>
    </row>
    <row r="4">
      <c r="A4" s="2" t="inlineStr">
        <is>
          <t>1. Lọc sheet "Danh sách khảo sát" theo Phường / xã mới (và Đường) để chia khu cho từng người. Danh sách đã sắp theo đường, số nhà để đi một lượt.</t>
        </is>
      </c>
    </row>
    <row r="5">
      <c r="A5" s="2" t="inlineStr">
        <is>
          <t>2. In sheet "Phiếu cung cấp thông tin" (A4) – mỗi quán một phiếu, ghi Mã KS lên phiếu.</t>
        </is>
      </c>
    </row>
    <row r="6">
      <c r="A6" s="2" t="inlineStr">
        <is>
          <t>3. Mang điện thoại có GPS để đo vị trí ngay tại cửa quán.</t>
        </is>
      </c>
    </row>
    <row r="7">
      <c r="A7" s="2" t="inlineStr"/>
    </row>
    <row r="8">
      <c r="A8" s="3" t="inlineStr">
        <is>
          <t>TẠI QUÁN</t>
        </is>
      </c>
    </row>
    <row r="9">
      <c r="A9" s="2" t="inlineStr">
        <is>
          <t>4. Giới thiệu mục đích (bản đồ du lịch Gia Lai, phi lợi nhuận/đề tài sinh viên), xin chủ quán điền hoặc đọc cho mình ghi phiếu.</t>
        </is>
      </c>
    </row>
    <row r="10">
      <c r="A10" s="2" t="inlineStr">
        <is>
          <t>5. Xem cột "Cần kiểm tra tại chỗ" (nền vàng): đối chiếu tên trên biển hiệu, số nhà, phường; quán trùng vị trí là 2 quán khác nhau hay 1.</t>
        </is>
      </c>
    </row>
    <row r="11">
      <c r="A11" s="2" t="inlineStr">
        <is>
          <t>6. Đo GPS, ghi vĩ độ/kinh độ vào phiếu. Chỉ chụp ảnh khi chủ quán đồng ý.</t>
        </is>
      </c>
    </row>
    <row r="12">
      <c r="A12" s="2" t="inlineStr">
        <is>
          <t>7. Xin chữ ký ở phần "Đồng ý công khai thông tin". Không ký = vẫn ghi nhận, nhưng KHÔNG công khai số điện thoại / ảnh.</t>
        </is>
      </c>
    </row>
    <row r="13">
      <c r="A13" s="2" t="inlineStr">
        <is>
          <t>8. Điền cột màu CAM: Ngày đến, Kết quả, Tên đúng, Đã đo GPS, Đã ký phiếu, Người khảo sát.</t>
        </is>
      </c>
    </row>
    <row r="14">
      <c r="A14" s="2" t="inlineStr"/>
    </row>
    <row r="15">
      <c r="A15" s="3" t="inlineStr">
        <is>
          <t>SAU KHI KHẢO SÁT</t>
        </is>
      </c>
    </row>
    <row r="16">
      <c r="A16" s="2" t="inlineStr">
        <is>
          <t>9. Nhập thông tin từ phiếu vào file mau_thu_thap_quan_an.xlsx (một quán một dòng), ghi Mã KS vào cột "Ghi chú nội bộ".</t>
        </is>
      </c>
    </row>
    <row r="17">
      <c r="A17" s="2" t="inlineStr">
        <is>
          <t>10. Quán mới gặp trên đường: ghi vào sheet "Quán phát hiện thêm" (mã PK-M…) và làm phiếu như bình thường.</t>
        </is>
      </c>
    </row>
    <row r="18">
      <c r="A18" s="2" t="inlineStr">
        <is>
          <t>11. Sheet "Tiến độ" tự tổng hợp kết quả theo phường.</t>
        </is>
      </c>
    </row>
    <row r="19">
      <c r="A19" s="2" t="inlineStr"/>
    </row>
    <row r="20">
      <c r="A20" s="3" t="inlineStr">
        <is>
          <t>LƯU Ý VỀ DỮ LIỆU</t>
        </is>
      </c>
    </row>
    <row r="21">
      <c r="A21" s="2" t="inlineStr">
        <is>
          <t>• Các cột màu XANH (tên, địa chỉ, danh mục gợi ý, vị trí) chỉ để TÌM ĐẾN QUÁN: chưa xác minh, có thể sai, KHÔNG nhập vào hệ thống.</t>
        </is>
      </c>
    </row>
    <row r="22">
      <c r="A22" s="2" t="inlineStr">
        <is>
          <t>• Một phần danh sách lấy từ Google Maps: không sao chép đánh giá, mô tả, ảnh hay giờ mở cửa của Google vào hệ thống.</t>
        </is>
      </c>
    </row>
    <row r="23">
      <c r="A23" s="2" t="inlineStr">
        <is>
          <t>• Thông tin chính thức là thông tin ghi được tại quán và chủ quán đồng ý cung cấp.</t>
        </is>
      </c>
    </row>
    <row r="24">
      <c r="A24" s="2" t="inlineStr"/>
    </row>
    <row r="25">
      <c r="A25" s="3" t="inlineStr">
        <is>
          <t>PHẠM VI</t>
        </is>
      </c>
    </row>
    <row r="26">
      <c r="A26" s="2" t="inlineStr">
        <is>
          <t>• 384 địa điểm trong 5 phường trung tâm (Pleiku, Diên Hồng, Thống Nhất, Hội Phú, An Phú) và Xã Biển Hồ.</t>
        </is>
      </c>
    </row>
    <row r="27">
      <c r="A27" s="2" t="inlineStr">
        <is>
          <t>• Nguồn danh sách: danh sách tham khảo bạn cung cấp, dữ liệu đang có trên bản đồ, OpenStreetMap – đã gộp các quán trùng.</t>
        </is>
      </c>
    </row>
    <row r="28">
      <c r="A28" s="2" t="inlineStr">
        <is>
          <t>• 2 dòng bị loại vì vị trí ngoài TP Pleiku cũ – xem sheet "Đã loại".</t>
        </is>
      </c>
    </row>
    <row r="29">
      <c r="A29" s="2" t="inlineStr">
        <is>
          <t>• Danh sách CHƯA đầy đủ: các phường cũ Đống Đa, Yên Thế, Chi Lăng gần như chưa có quán – cần đi quét thực địa.</t>
        </is>
      </c>
    </row>
  </sheetData>
  <pageMargins left="0.4" right="0.4" top="0.5" bottom="0.5" header="0.5" footer="0.5"/>
  <pageSetup orientation="portrait" paperSize="9" fitToHeight="0" fitToWidth="1"/>
  <headerFooter>
    <oddHeader/>
    <oddFooter>&amp;CTrang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38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12" customWidth="1" min="4" max="4"/>
    <col width="30" customWidth="1" min="5" max="5"/>
    <col width="18" customWidth="1" min="6" max="6"/>
    <col width="16" customWidth="1" min="7" max="7"/>
    <col width="12" customWidth="1" min="8" max="8"/>
    <col width="34" customWidth="1" min="9" max="9"/>
    <col width="20" customWidth="1" min="10" max="10"/>
    <col width="9" customWidth="1" min="11" max="11"/>
    <col width="10" customWidth="1" min="12" max="12"/>
    <col width="17" customWidth="1" min="13" max="13"/>
    <col width="24" customWidth="1" min="14" max="14"/>
    <col width="8" customWidth="1" min="15" max="15"/>
    <col width="10" customWidth="1" min="16" max="16"/>
    <col width="13" customWidth="1" min="17" max="17"/>
    <col width="24" customWidth="1" min="18" max="18"/>
  </cols>
  <sheetData>
    <row r="1">
      <c r="A1" s="4" t="inlineStr">
        <is>
          <t>SỔ KHẢO SÁT QUÁN ĂN – TP PLEIKU CŨ</t>
        </is>
      </c>
    </row>
    <row r="2">
      <c r="A2" s="5" t="inlineStr">
        <is>
          <t>384 địa điểm, sắp theo phường mới → tên đường → số nhà. Cột XANH: tham khảo (chưa xác minh, không công bố). Cột CAM: điền khi đến nơi. Lập ngày 17/10/2026.</t>
        </is>
      </c>
    </row>
    <row r="4" ht="34" customHeight="1">
      <c r="A4" s="6" t="inlineStr">
        <is>
          <t>STT</t>
        </is>
      </c>
      <c r="B4" s="6" t="inlineStr">
        <is>
          <t>Mã KS</t>
        </is>
      </c>
      <c r="C4" s="6" t="inlineStr">
        <is>
          <t>Tên quán (theo danh sách)</t>
        </is>
      </c>
      <c r="D4" s="6" t="inlineStr">
        <is>
          <t>Danh mục gợi ý</t>
        </is>
      </c>
      <c r="E4" s="6" t="inlineStr">
        <is>
          <t>Địa chỉ tham khảo</t>
        </is>
      </c>
      <c r="F4" s="6" t="inlineStr">
        <is>
          <t>Đường</t>
        </is>
      </c>
      <c r="G4" s="6" t="inlineStr">
        <is>
          <t>Phường / xã mới</t>
        </is>
      </c>
      <c r="H4" s="6" t="inlineStr">
        <is>
          <t>Phường cũ</t>
        </is>
      </c>
      <c r="I4" s="6" t="inlineStr">
        <is>
          <t>Cần kiểm tra tại chỗ</t>
        </is>
      </c>
      <c r="J4" s="6" t="inlineStr">
        <is>
          <t>Nguồn danh sách</t>
        </is>
      </c>
      <c r="K4" s="6" t="inlineStr">
        <is>
          <t>Xem vị trí</t>
        </is>
      </c>
      <c r="L4" s="7" t="inlineStr">
        <is>
          <t>Ngày đến</t>
        </is>
      </c>
      <c r="M4" s="7" t="inlineStr">
        <is>
          <t>Kết quả</t>
        </is>
      </c>
      <c r="N4" s="7" t="inlineStr">
        <is>
          <t>Tên đúng trên biển hiệu</t>
        </is>
      </c>
      <c r="O4" s="7" t="inlineStr">
        <is>
          <t>Đã đo GPS</t>
        </is>
      </c>
      <c r="P4" s="7" t="inlineStr">
        <is>
          <t>Chủ quán ký phiếu đồng ý</t>
        </is>
      </c>
      <c r="Q4" s="7" t="inlineStr">
        <is>
          <t>Người khảo sát</t>
        </is>
      </c>
      <c r="R4" s="7" t="inlineStr">
        <is>
          <t>Ghi chú</t>
        </is>
      </c>
    </row>
    <row r="5">
      <c r="A5" s="8" t="n">
        <v>1</v>
      </c>
      <c r="B5" s="8" t="inlineStr">
        <is>
          <t>PK-001</t>
        </is>
      </c>
      <c r="C5" s="9" t="inlineStr">
        <is>
          <t>Rông Ana - Cà Phê &amp; Nhà Hàng -Cơm Đồng Bào</t>
        </is>
      </c>
      <c r="D5" s="8" t="inlineStr">
        <is>
          <t>Quán cà phê</t>
        </is>
      </c>
      <c r="E5" s="9" t="inlineStr">
        <is>
          <t>08 09 10 Bờ Kè, Phường Hội Phú, TP. Pleiku</t>
        </is>
      </c>
      <c r="F5" s="9" t="inlineStr">
        <is>
          <t>Bờ Kè</t>
        </is>
      </c>
      <c r="G5" s="8" t="inlineStr">
        <is>
          <t>Phường Pleiku</t>
        </is>
      </c>
      <c r="H5" s="8" t="inlineStr">
        <is>
          <t>Hội Phú</t>
        </is>
      </c>
      <c r="I5" s="10" t="inlineStr">
        <is>
          <t>Địa chỉ ghi Phường Hội Phú nhưng vị trí thuộc Phường Pleiku; Trùng vị trí với: Chợ Hải Sản Nha Trang - CN Pleiku, Quán Nhậu HẠNH - Bờ kè suối Hội Phú; Đã có trên bản đồ – kiểm tra &amp; bổ sung</t>
        </is>
      </c>
      <c r="J5" s="9" t="inlineStr">
        <is>
          <t>Danh sách tham khảo, Hệ thống</t>
        </is>
      </c>
      <c r="K5" s="11" t="inlineStr">
        <is>
          <t>Bản đồ</t>
        </is>
      </c>
      <c r="L5" s="12" t="n"/>
      <c r="M5" s="13" t="n"/>
      <c r="N5" s="13" t="n"/>
      <c r="O5" s="13" t="n"/>
      <c r="P5" s="13" t="n"/>
      <c r="Q5" s="13" t="n"/>
      <c r="R5" s="13" t="n"/>
    </row>
    <row r="6">
      <c r="A6" s="8" t="n">
        <v>2</v>
      </c>
      <c r="B6" s="8" t="inlineStr">
        <is>
          <t>PK-002</t>
        </is>
      </c>
      <c r="C6" s="9" t="inlineStr">
        <is>
          <t>1990 BỜ KÈ PLEIKU</t>
        </is>
      </c>
      <c r="D6" s="8" t="inlineStr">
        <is>
          <t>Nhà hàng</t>
        </is>
      </c>
      <c r="E6" s="9" t="inlineStr">
        <is>
          <t>Đường Bờ kè, Phường Hội Phú, TP. Pleiku</t>
        </is>
      </c>
      <c r="F6" s="9" t="inlineStr">
        <is>
          <t>Bờ kè</t>
        </is>
      </c>
      <c r="G6" s="8" t="inlineStr">
        <is>
          <t>Phường Pleiku</t>
        </is>
      </c>
      <c r="H6" s="8" t="inlineStr">
        <is>
          <t>Hội Phú</t>
        </is>
      </c>
      <c r="I6" s="10" t="inlineStr">
        <is>
          <t>Địa chỉ ghi Phường Hội Phú nhưng vị trí thuộc Phường Pleiku; Địa chỉ chưa có số nhà; Trùng vị trí với: Chợ Hải Sản Nha Trang - CN Pleiku, Quán Nhậu HẠNH - Bờ kè suối Hội Phú</t>
        </is>
      </c>
      <c r="J6" s="9" t="inlineStr">
        <is>
          <t>Danh sách tham khảo</t>
        </is>
      </c>
      <c r="K6" s="11" t="inlineStr">
        <is>
          <t>Bản đồ</t>
        </is>
      </c>
      <c r="L6" s="12" t="n"/>
      <c r="M6" s="13" t="n"/>
      <c r="N6" s="13" t="n"/>
      <c r="O6" s="13" t="n"/>
      <c r="P6" s="13" t="n"/>
      <c r="Q6" s="13" t="n"/>
      <c r="R6" s="13" t="n"/>
    </row>
    <row r="7">
      <c r="A7" s="8" t="n">
        <v>3</v>
      </c>
      <c r="B7" s="8" t="inlineStr">
        <is>
          <t>PK-003</t>
        </is>
      </c>
      <c r="C7" s="9" t="inlineStr">
        <is>
          <t>Lẩu bò nấm út 🍄</t>
        </is>
      </c>
      <c r="D7" s="8" t="inlineStr">
        <is>
          <t>Nhà hàng</t>
        </is>
      </c>
      <c r="E7" s="9" t="inlineStr">
        <is>
          <t>Đường Bờ kè, Phường Hội Phú, TP. Pleiku</t>
        </is>
      </c>
      <c r="F7" s="9" t="inlineStr">
        <is>
          <t>Bờ kè</t>
        </is>
      </c>
      <c r="G7" s="8" t="inlineStr">
        <is>
          <t>Phường Pleiku</t>
        </is>
      </c>
      <c r="H7" s="8" t="inlineStr">
        <is>
          <t>Hội Phú</t>
        </is>
      </c>
      <c r="I7" s="10" t="inlineStr">
        <is>
          <t>Địa chỉ ghi Phường Hội Phú nhưng vị trí thuộc Phường Pleiku; Địa chỉ chưa có số nhà</t>
        </is>
      </c>
      <c r="J7" s="9" t="inlineStr">
        <is>
          <t>Danh sách tham khảo</t>
        </is>
      </c>
      <c r="K7" s="11" t="inlineStr">
        <is>
          <t>Bản đồ</t>
        </is>
      </c>
      <c r="L7" s="12" t="n"/>
      <c r="M7" s="13" t="n"/>
      <c r="N7" s="13" t="n"/>
      <c r="O7" s="13" t="n"/>
      <c r="P7" s="13" t="n"/>
      <c r="Q7" s="13" t="n"/>
      <c r="R7" s="13" t="n"/>
    </row>
    <row r="8">
      <c r="A8" s="8" t="n">
        <v>4</v>
      </c>
      <c r="B8" s="8" t="inlineStr">
        <is>
          <t>PK-004</t>
        </is>
      </c>
      <c r="C8" s="9" t="inlineStr">
        <is>
          <t>LẨU GÀ LÁ É PHÚ YÊN MẮT CÁ NGỪ ĐẠI DƯƠNG QUÁN TAO NGỘ</t>
        </is>
      </c>
      <c r="D8" s="8" t="inlineStr">
        <is>
          <t>Nhà hàng</t>
        </is>
      </c>
      <c r="E8" s="9" t="inlineStr">
        <is>
          <t>Đường Bờ kè, Phường Hội Phú, TP. Pleiku</t>
        </is>
      </c>
      <c r="F8" s="9" t="inlineStr">
        <is>
          <t>Bờ kè</t>
        </is>
      </c>
      <c r="G8" s="8" t="inlineStr">
        <is>
          <t>Phường Pleiku</t>
        </is>
      </c>
      <c r="H8" s="8" t="inlineStr">
        <is>
          <t>Hội Phú</t>
        </is>
      </c>
      <c r="I8" s="10" t="inlineStr">
        <is>
          <t>Địa chỉ ghi Phường Hội Phú nhưng vị trí thuộc Phường Pleiku; Địa chỉ chưa có số nhà</t>
        </is>
      </c>
      <c r="J8" s="9" t="inlineStr">
        <is>
          <t>Danh sách tham khảo</t>
        </is>
      </c>
      <c r="K8" s="11" t="inlineStr">
        <is>
          <t>Bản đồ</t>
        </is>
      </c>
      <c r="L8" s="12" t="n"/>
      <c r="M8" s="13" t="n"/>
      <c r="N8" s="13" t="n"/>
      <c r="O8" s="13" t="n"/>
      <c r="P8" s="13" t="n"/>
      <c r="Q8" s="13" t="n"/>
      <c r="R8" s="13" t="n"/>
    </row>
    <row r="9">
      <c r="A9" s="8" t="n">
        <v>5</v>
      </c>
      <c r="B9" s="8" t="inlineStr">
        <is>
          <t>PK-005</t>
        </is>
      </c>
      <c r="C9" s="9" t="inlineStr">
        <is>
          <t>Quán Lý Sơn Đảo Gia Lai</t>
        </is>
      </c>
      <c r="D9" s="8" t="inlineStr">
        <is>
          <t>Nhà hàng</t>
        </is>
      </c>
      <c r="E9" s="9" t="inlineStr">
        <is>
          <t>Bờ kè, Suối Hội Phú, Phường Hội Phú, TP. Pleiku</t>
        </is>
      </c>
      <c r="F9" s="9" t="inlineStr">
        <is>
          <t>Bờ kè</t>
        </is>
      </c>
      <c r="G9" s="8" t="inlineStr">
        <is>
          <t>Phường Pleiku</t>
        </is>
      </c>
      <c r="H9" s="8" t="inlineStr">
        <is>
          <t>Hội Phú</t>
        </is>
      </c>
      <c r="I9" s="10" t="inlineStr">
        <is>
          <t>Địa chỉ ghi Phường Hội Phú nhưng vị trí thuộc Phường Pleiku; Địa chỉ chưa có số nhà</t>
        </is>
      </c>
      <c r="J9" s="9" t="inlineStr">
        <is>
          <t>Danh sách tham khảo</t>
        </is>
      </c>
      <c r="K9" s="11" t="inlineStr">
        <is>
          <t>Bản đồ</t>
        </is>
      </c>
      <c r="L9" s="12" t="n"/>
      <c r="M9" s="13" t="n"/>
      <c r="N9" s="13" t="n"/>
      <c r="O9" s="13" t="n"/>
      <c r="P9" s="13" t="n"/>
      <c r="Q9" s="13" t="n"/>
      <c r="R9" s="13" t="n"/>
    </row>
    <row r="10">
      <c r="A10" s="8" t="n">
        <v>6</v>
      </c>
      <c r="B10" s="8" t="inlineStr">
        <is>
          <t>PK-006</t>
        </is>
      </c>
      <c r="C10" s="9" t="inlineStr">
        <is>
          <t>Quán nhậu tự do. Bờ kè suối hội phú</t>
        </is>
      </c>
      <c r="D10" s="8" t="inlineStr">
        <is>
          <t>Nhà hàng</t>
        </is>
      </c>
      <c r="E10" s="9" t="inlineStr">
        <is>
          <t>Đường Bờ kè, Phường Hội Phú, TP. Pleiku</t>
        </is>
      </c>
      <c r="F10" s="9" t="inlineStr">
        <is>
          <t>Bờ kè</t>
        </is>
      </c>
      <c r="G10" s="8" t="inlineStr">
        <is>
          <t>Phường Pleiku</t>
        </is>
      </c>
      <c r="H10" s="8" t="inlineStr">
        <is>
          <t>Hội Phú</t>
        </is>
      </c>
      <c r="I10" s="10" t="inlineStr">
        <is>
          <t>Địa chỉ ghi Phường Hội Phú nhưng vị trí thuộc Phường Pleiku; Địa chỉ chưa có số nhà</t>
        </is>
      </c>
      <c r="J10" s="9" t="inlineStr">
        <is>
          <t>Danh sách tham khảo</t>
        </is>
      </c>
      <c r="K10" s="11" t="inlineStr">
        <is>
          <t>Bản đồ</t>
        </is>
      </c>
      <c r="L10" s="12" t="n"/>
      <c r="M10" s="13" t="n"/>
      <c r="N10" s="13" t="n"/>
      <c r="O10" s="13" t="n"/>
      <c r="P10" s="13" t="n"/>
      <c r="Q10" s="13" t="n"/>
      <c r="R10" s="13" t="n"/>
    </row>
    <row r="11">
      <c r="A11" s="8" t="n">
        <v>7</v>
      </c>
      <c r="B11" s="8" t="inlineStr">
        <is>
          <t>PK-007</t>
        </is>
      </c>
      <c r="C11" s="9" t="inlineStr">
        <is>
          <t>Tiệm chay Sangha - Pleiku</t>
        </is>
      </c>
      <c r="D11" s="8" t="inlineStr">
        <is>
          <t>Nhà hàng</t>
        </is>
      </c>
      <c r="E11" s="9" t="inlineStr">
        <is>
          <t>Đường Bờ kè, Phường Hội Phú, TP. Pleiku</t>
        </is>
      </c>
      <c r="F11" s="9" t="inlineStr">
        <is>
          <t>Bờ kè</t>
        </is>
      </c>
      <c r="G11" s="8" t="inlineStr">
        <is>
          <t>Phường Pleiku</t>
        </is>
      </c>
      <c r="H11" s="8" t="inlineStr">
        <is>
          <t>Hội Phú</t>
        </is>
      </c>
      <c r="I11" s="10" t="inlineStr">
        <is>
          <t>Địa chỉ ghi Phường Hội Phú nhưng vị trí thuộc Phường Pleiku; Địa chỉ chưa có số nhà</t>
        </is>
      </c>
      <c r="J11" s="9" t="inlineStr">
        <is>
          <t>Danh sách tham khảo</t>
        </is>
      </c>
      <c r="K11" s="11" t="inlineStr">
        <is>
          <t>Bản đồ</t>
        </is>
      </c>
      <c r="L11" s="12" t="n"/>
      <c r="M11" s="13" t="n"/>
      <c r="N11" s="13" t="n"/>
      <c r="O11" s="13" t="n"/>
      <c r="P11" s="13" t="n"/>
      <c r="Q11" s="13" t="n"/>
      <c r="R11" s="13" t="n"/>
    </row>
    <row r="12">
      <c r="A12" s="8" t="n">
        <v>8</v>
      </c>
      <c r="B12" s="8" t="inlineStr">
        <is>
          <t>PK-008</t>
        </is>
      </c>
      <c r="C12" s="9" t="inlineStr">
        <is>
          <t>Tỷ Muội Quán - Bờ kè Hội Phú Pleiku</t>
        </is>
      </c>
      <c r="D12" s="8" t="inlineStr">
        <is>
          <t>Quán cà phê</t>
        </is>
      </c>
      <c r="E12" s="9" t="inlineStr">
        <is>
          <t>Đường Bờ kè, Phường Hội Phú, TP. Pleiku</t>
        </is>
      </c>
      <c r="F12" s="9" t="inlineStr">
        <is>
          <t>Bờ kè</t>
        </is>
      </c>
      <c r="G12" s="8" t="inlineStr">
        <is>
          <t>Phường Pleiku</t>
        </is>
      </c>
      <c r="H12" s="8" t="inlineStr">
        <is>
          <t>Hội Phú</t>
        </is>
      </c>
      <c r="I12" s="10" t="inlineStr">
        <is>
          <t>Địa chỉ ghi Phường Hội Phú nhưng vị trí thuộc Phường Pleiku; Địa chỉ chưa có số nhà</t>
        </is>
      </c>
      <c r="J12" s="9" t="inlineStr">
        <is>
          <t>Danh sách tham khảo</t>
        </is>
      </c>
      <c r="K12" s="11" t="inlineStr">
        <is>
          <t>Bản đồ</t>
        </is>
      </c>
      <c r="L12" s="12" t="n"/>
      <c r="M12" s="13" t="n"/>
      <c r="N12" s="13" t="n"/>
      <c r="O12" s="13" t="n"/>
      <c r="P12" s="13" t="n"/>
      <c r="Q12" s="13" t="n"/>
      <c r="R12" s="13" t="n"/>
    </row>
    <row r="13">
      <c r="A13" s="8" t="n">
        <v>9</v>
      </c>
      <c r="B13" s="8" t="inlineStr">
        <is>
          <t>PK-009</t>
        </is>
      </c>
      <c r="C13" s="9" t="inlineStr">
        <is>
          <t>Lẩu Mực Lờ-Tờ</t>
        </is>
      </c>
      <c r="D13" s="8" t="inlineStr">
        <is>
          <t>Nhà hàng</t>
        </is>
      </c>
      <c r="E13" s="9" t="inlineStr">
        <is>
          <t>Bờ kè/01 Suối Hội Phú, Phường Hội Phú, TP. Pleiku</t>
        </is>
      </c>
      <c r="F13" s="9" t="inlineStr">
        <is>
          <t>Bờ kè/01 Suối Hội Phú</t>
        </is>
      </c>
      <c r="G13" s="8" t="inlineStr">
        <is>
          <t>Phường Pleiku</t>
        </is>
      </c>
      <c r="H13" s="8" t="inlineStr">
        <is>
          <t>Hội Phú</t>
        </is>
      </c>
      <c r="I13" s="10" t="inlineStr">
        <is>
          <t>Địa chỉ ghi Phường Hội Phú nhưng vị trí thuộc Phường Pleiku; Địa chỉ chưa có số nhà</t>
        </is>
      </c>
      <c r="J13" s="9" t="inlineStr">
        <is>
          <t>Danh sách tham khảo</t>
        </is>
      </c>
      <c r="K13" s="11" t="inlineStr">
        <is>
          <t>Bản đồ</t>
        </is>
      </c>
      <c r="L13" s="12" t="n"/>
      <c r="M13" s="13" t="n"/>
      <c r="N13" s="13" t="n"/>
      <c r="O13" s="13" t="n"/>
      <c r="P13" s="13" t="n"/>
      <c r="Q13" s="13" t="n"/>
      <c r="R13" s="13" t="n"/>
    </row>
    <row r="14">
      <c r="A14" s="8" t="n">
        <v>10</v>
      </c>
      <c r="B14" s="8" t="inlineStr">
        <is>
          <t>PK-010</t>
        </is>
      </c>
      <c r="C14" s="9" t="inlineStr">
        <is>
          <t>Chợ Hải Sản Nha Trang - CN Pleiku</t>
        </is>
      </c>
      <c r="D14" s="8" t="inlineStr">
        <is>
          <t>Nhà hàng</t>
        </is>
      </c>
      <c r="E14" s="9" t="inlineStr">
        <is>
          <t>Bờ kè Suối Hội Phú, Phường Hội Phú, TP. Pleiku</t>
        </is>
      </c>
      <c r="F14" s="9" t="inlineStr">
        <is>
          <t>Bờ kè Suối Hội Phú</t>
        </is>
      </c>
      <c r="G14" s="8" t="inlineStr">
        <is>
          <t>Phường Pleiku</t>
        </is>
      </c>
      <c r="H14" s="8" t="inlineStr">
        <is>
          <t>Hội Phú</t>
        </is>
      </c>
      <c r="I14" s="10" t="inlineStr">
        <is>
          <t>Địa chỉ ghi Phường Hội Phú nhưng vị trí thuộc Phường Pleiku; Địa chỉ chưa có số nhà; Có thể không phải quán ăn; Trùng vị trí với: Rông Ana - Cà Phê &amp; Nhà Hàng -Cơm Đồng Bào, 1990 BỜ KÈ PLEIKU</t>
        </is>
      </c>
      <c r="J14" s="9" t="inlineStr">
        <is>
          <t>Danh sách tham khảo</t>
        </is>
      </c>
      <c r="K14" s="11" t="inlineStr">
        <is>
          <t>Bản đồ</t>
        </is>
      </c>
      <c r="L14" s="12" t="n"/>
      <c r="M14" s="13" t="n"/>
      <c r="N14" s="13" t="n"/>
      <c r="O14" s="13" t="n"/>
      <c r="P14" s="13" t="n"/>
      <c r="Q14" s="13" t="n"/>
      <c r="R14" s="13" t="n"/>
    </row>
    <row r="15">
      <c r="A15" s="8" t="n">
        <v>11</v>
      </c>
      <c r="B15" s="8" t="inlineStr">
        <is>
          <t>PK-011</t>
        </is>
      </c>
      <c r="C15" s="9" t="inlineStr">
        <is>
          <t>ĐEN Bờ Kè</t>
        </is>
      </c>
      <c r="D15" s="8" t="inlineStr">
        <is>
          <t>Nhà hàng</t>
        </is>
      </c>
      <c r="E15" s="9" t="inlineStr">
        <is>
          <t>Bờ kè Suối Hội Phú, Phường Hội Phú, TP. Pleiku</t>
        </is>
      </c>
      <c r="F15" s="9" t="inlineStr">
        <is>
          <t>Bờ kè Suối Hội Phú</t>
        </is>
      </c>
      <c r="G15" s="8" t="inlineStr">
        <is>
          <t>Phường Pleiku</t>
        </is>
      </c>
      <c r="H15" s="8" t="inlineStr">
        <is>
          <t>Hội Phú</t>
        </is>
      </c>
      <c r="I15" s="10" t="inlineStr">
        <is>
          <t>Địa chỉ ghi Phường Hội Phú nhưng vị trí thuộc Phường Pleiku; Địa chỉ chưa có số nhà</t>
        </is>
      </c>
      <c r="J15" s="9" t="inlineStr">
        <is>
          <t>Danh sách tham khảo</t>
        </is>
      </c>
      <c r="K15" s="11" t="inlineStr">
        <is>
          <t>Bản đồ</t>
        </is>
      </c>
      <c r="L15" s="12" t="n"/>
      <c r="M15" s="13" t="n"/>
      <c r="N15" s="13" t="n"/>
      <c r="O15" s="13" t="n"/>
      <c r="P15" s="13" t="n"/>
      <c r="Q15" s="13" t="n"/>
      <c r="R15" s="13" t="n"/>
    </row>
    <row r="16">
      <c r="A16" s="8" t="n">
        <v>12</v>
      </c>
      <c r="B16" s="8" t="inlineStr">
        <is>
          <t>PK-012</t>
        </is>
      </c>
      <c r="C16" s="9" t="inlineStr">
        <is>
          <t>Má heo 68 - Bờ kè suối Hội Phú</t>
        </is>
      </c>
      <c r="D16" s="8" t="inlineStr">
        <is>
          <t>Nhà hàng</t>
        </is>
      </c>
      <c r="E16" s="9" t="inlineStr">
        <is>
          <t>Đường Bờ kè Suối Hội Phú, Phường Hội Phú, TP. Pleiku</t>
        </is>
      </c>
      <c r="F16" s="9" t="inlineStr">
        <is>
          <t>Bờ kè Suối Hội Phú</t>
        </is>
      </c>
      <c r="G16" s="8" t="inlineStr">
        <is>
          <t>Phường Pleiku</t>
        </is>
      </c>
      <c r="H16" s="8" t="inlineStr">
        <is>
          <t>Hội Phú</t>
        </is>
      </c>
      <c r="I16" s="10" t="inlineStr">
        <is>
          <t>Địa chỉ ghi Phường Hội Phú nhưng vị trí thuộc Phường Pleiku; Địa chỉ chưa có số nhà</t>
        </is>
      </c>
      <c r="J16" s="9" t="inlineStr">
        <is>
          <t>Danh sách tham khảo</t>
        </is>
      </c>
      <c r="K16" s="11" t="inlineStr">
        <is>
          <t>Bản đồ</t>
        </is>
      </c>
      <c r="L16" s="12" t="n"/>
      <c r="M16" s="13" t="n"/>
      <c r="N16" s="13" t="n"/>
      <c r="O16" s="13" t="n"/>
      <c r="P16" s="13" t="n"/>
      <c r="Q16" s="13" t="n"/>
      <c r="R16" s="13" t="n"/>
    </row>
    <row r="17">
      <c r="A17" s="8" t="n">
        <v>13</v>
      </c>
      <c r="B17" s="8" t="inlineStr">
        <is>
          <t>PK-013</t>
        </is>
      </c>
      <c r="C17" s="9" t="inlineStr">
        <is>
          <t>Quán Shock Bờ Kè</t>
        </is>
      </c>
      <c r="D17" s="8" t="inlineStr">
        <is>
          <t>Nhà hàng</t>
        </is>
      </c>
      <c r="E17" s="9" t="inlineStr">
        <is>
          <t>Bờ kè Suối Hội Phú, Phường Hội Phú, TP. Pleiku</t>
        </is>
      </c>
      <c r="F17" s="9" t="inlineStr">
        <is>
          <t>Bờ kè Suối Hội Phú</t>
        </is>
      </c>
      <c r="G17" s="8" t="inlineStr">
        <is>
          <t>Phường Pleiku</t>
        </is>
      </c>
      <c r="H17" s="8" t="inlineStr">
        <is>
          <t>Hội Phú</t>
        </is>
      </c>
      <c r="I17" s="10" t="inlineStr">
        <is>
          <t>Địa chỉ ghi Phường Hội Phú nhưng vị trí thuộc Phường Pleiku; Địa chỉ chưa có số nhà; Đã có trên bản đồ – kiểm tra &amp; bổ sung</t>
        </is>
      </c>
      <c r="J17" s="9" t="inlineStr">
        <is>
          <t>Danh sách tham khảo, Hệ thống</t>
        </is>
      </c>
      <c r="K17" s="11" t="inlineStr">
        <is>
          <t>Bản đồ</t>
        </is>
      </c>
      <c r="L17" s="12" t="n"/>
      <c r="M17" s="13" t="n"/>
      <c r="N17" s="13" t="n"/>
      <c r="O17" s="13" t="n"/>
      <c r="P17" s="13" t="n"/>
      <c r="Q17" s="13" t="n"/>
      <c r="R17" s="13" t="n"/>
    </row>
    <row r="18">
      <c r="A18" s="8" t="n">
        <v>14</v>
      </c>
      <c r="B18" s="8" t="inlineStr">
        <is>
          <t>PK-014</t>
        </is>
      </c>
      <c r="C18" s="9" t="inlineStr">
        <is>
          <t>Viên Thanh Quán</t>
        </is>
      </c>
      <c r="D18" s="8" t="inlineStr">
        <is>
          <t>Nhà hàng</t>
        </is>
      </c>
      <c r="E18" s="9" t="inlineStr">
        <is>
          <t>Đường Bờ kè Suối Hội Phú, Phường Hội Phú, TP. Pleiku</t>
        </is>
      </c>
      <c r="F18" s="9" t="inlineStr">
        <is>
          <t>Bờ kè Suối Hội Phú</t>
        </is>
      </c>
      <c r="G18" s="8" t="inlineStr">
        <is>
          <t>Phường Pleiku</t>
        </is>
      </c>
      <c r="H18" s="8" t="inlineStr">
        <is>
          <t>Hội Phú</t>
        </is>
      </c>
      <c r="I18" s="10" t="inlineStr">
        <is>
          <t>Địa chỉ ghi Phường Hội Phú nhưng vị trí thuộc Phường Pleiku; Địa chỉ chưa có số nhà</t>
        </is>
      </c>
      <c r="J18" s="9" t="inlineStr">
        <is>
          <t>Danh sách tham khảo</t>
        </is>
      </c>
      <c r="K18" s="11" t="inlineStr">
        <is>
          <t>Bản đồ</t>
        </is>
      </c>
      <c r="L18" s="12" t="n"/>
      <c r="M18" s="13" t="n"/>
      <c r="N18" s="13" t="n"/>
      <c r="O18" s="13" t="n"/>
      <c r="P18" s="13" t="n"/>
      <c r="Q18" s="13" t="n"/>
      <c r="R18" s="13" t="n"/>
    </row>
    <row r="19">
      <c r="A19" s="8" t="n">
        <v>15</v>
      </c>
      <c r="B19" s="8" t="inlineStr">
        <is>
          <t>PK-015</t>
        </is>
      </c>
      <c r="C19" s="9" t="inlineStr">
        <is>
          <t>Pleiku Balcony - Cocktails, Craft Beer &amp; Restaurant</t>
        </is>
      </c>
      <c r="D19" s="8" t="inlineStr">
        <is>
          <t>Nhà hàng</t>
        </is>
      </c>
      <c r="E19" s="9" t="inlineStr">
        <is>
          <t>133 Bùi Đình Túy, Phường Hoa Lư, TP. Pleiku</t>
        </is>
      </c>
      <c r="F19" s="9" t="inlineStr">
        <is>
          <t>Bùi Đình Túy</t>
        </is>
      </c>
      <c r="G19" s="8" t="inlineStr">
        <is>
          <t>Phường Pleiku</t>
        </is>
      </c>
      <c r="H19" s="8" t="inlineStr">
        <is>
          <t>Hoa Lư</t>
        </is>
      </c>
      <c r="I19" s="10" t="inlineStr">
        <is>
          <t>Có thể không phải quán ăn</t>
        </is>
      </c>
      <c r="J19" s="9" t="inlineStr">
        <is>
          <t>Danh sách tham khảo</t>
        </is>
      </c>
      <c r="K19" s="11" t="inlineStr">
        <is>
          <t>Bản đồ</t>
        </is>
      </c>
      <c r="L19" s="12" t="n"/>
      <c r="M19" s="13" t="n"/>
      <c r="N19" s="13" t="n"/>
      <c r="O19" s="13" t="n"/>
      <c r="P19" s="13" t="n"/>
      <c r="Q19" s="13" t="n"/>
      <c r="R19" s="13" t="n"/>
    </row>
    <row r="20">
      <c r="A20" s="8" t="n">
        <v>16</v>
      </c>
      <c r="B20" s="8" t="inlineStr">
        <is>
          <t>PK-016</t>
        </is>
      </c>
      <c r="C20" s="9" t="inlineStr">
        <is>
          <t>Tiệm nướng La La Land</t>
        </is>
      </c>
      <c r="D20" s="8" t="inlineStr">
        <is>
          <t>Nhà hàng</t>
        </is>
      </c>
      <c r="E20" s="9" t="inlineStr">
        <is>
          <t>141 Bùi Đình Túy, Phường Hoa Lư, TP. Pleiku</t>
        </is>
      </c>
      <c r="F20" s="9" t="inlineStr">
        <is>
          <t>Bùi Đình Túy</t>
        </is>
      </c>
      <c r="G20" s="8" t="inlineStr">
        <is>
          <t>Phường Pleiku</t>
        </is>
      </c>
      <c r="H20" s="8" t="inlineStr">
        <is>
          <t>Hoa Lư</t>
        </is>
      </c>
      <c r="I20" s="10" t="inlineStr">
        <is>
          <t>Đã có trên bản đồ – kiểm tra &amp; bổ sung</t>
        </is>
      </c>
      <c r="J20" s="9" t="inlineStr">
        <is>
          <t>Danh sách tham khảo, Hệ thống</t>
        </is>
      </c>
      <c r="K20" s="11" t="inlineStr">
        <is>
          <t>Bản đồ</t>
        </is>
      </c>
      <c r="L20" s="12" t="n"/>
      <c r="M20" s="13" t="n"/>
      <c r="N20" s="13" t="n"/>
      <c r="O20" s="13" t="n"/>
      <c r="P20" s="13" t="n"/>
      <c r="Q20" s="13" t="n"/>
      <c r="R20" s="13" t="n"/>
    </row>
    <row r="21">
      <c r="A21" s="8" t="n">
        <v>17</v>
      </c>
      <c r="B21" s="8" t="inlineStr">
        <is>
          <t>PK-017</t>
        </is>
      </c>
      <c r="C21" s="9" t="inlineStr">
        <is>
          <t>Phía Sau Nhà Caffe &amp; Kids</t>
        </is>
      </c>
      <c r="D21" s="8" t="inlineStr">
        <is>
          <t>Quán cà phê</t>
        </is>
      </c>
      <c r="E21" s="9" t="inlineStr">
        <is>
          <t>171 Bùi Đình Túy, Pleiku, Gia Lai 600000, Việt Nam</t>
        </is>
      </c>
      <c r="F21" s="9" t="inlineStr">
        <is>
          <t>Bùi Đình Túy</t>
        </is>
      </c>
      <c r="G21" s="8" t="inlineStr">
        <is>
          <t>Phường Pleiku</t>
        </is>
      </c>
      <c r="H21" s="8" t="inlineStr"/>
      <c r="I21" s="10" t="inlineStr">
        <is>
          <t>Đã có trên bản đồ – kiểm tra &amp; bổ sung</t>
        </is>
      </c>
      <c r="J21" s="9" t="inlineStr">
        <is>
          <t>Hệ thống</t>
        </is>
      </c>
      <c r="K21" s="11" t="inlineStr">
        <is>
          <t>Bản đồ</t>
        </is>
      </c>
      <c r="L21" s="12" t="n"/>
      <c r="M21" s="13" t="n"/>
      <c r="N21" s="13" t="n"/>
      <c r="O21" s="13" t="n"/>
      <c r="P21" s="13" t="n"/>
      <c r="Q21" s="13" t="n"/>
      <c r="R21" s="13" t="n"/>
    </row>
    <row r="22">
      <c r="A22" s="8" t="n">
        <v>18</v>
      </c>
      <c r="B22" s="8" t="inlineStr">
        <is>
          <t>PK-018</t>
        </is>
      </c>
      <c r="C22" s="9" t="inlineStr">
        <is>
          <t>Lộc Vừng</t>
        </is>
      </c>
      <c r="D22" s="8" t="inlineStr">
        <is>
          <t>Nhà hàng</t>
        </is>
      </c>
      <c r="E22" s="9" t="inlineStr">
        <is>
          <t>3 Bùi Dự, Phường Hoa Lư, TP. Pleiku</t>
        </is>
      </c>
      <c r="F22" s="9" t="inlineStr">
        <is>
          <t>Bùi Dự</t>
        </is>
      </c>
      <c r="G22" s="8" t="inlineStr">
        <is>
          <t>Phường Pleiku</t>
        </is>
      </c>
      <c r="H22" s="8" t="inlineStr">
        <is>
          <t>Hoa Lư</t>
        </is>
      </c>
      <c r="I22" s="10" t="inlineStr">
        <is>
          <t>Đã có trên bản đồ – kiểm tra &amp; bổ sung</t>
        </is>
      </c>
      <c r="J22" s="9" t="inlineStr">
        <is>
          <t>Danh sách tham khảo, Hệ thống</t>
        </is>
      </c>
      <c r="K22" s="11" t="inlineStr">
        <is>
          <t>Bản đồ</t>
        </is>
      </c>
      <c r="L22" s="12" t="n"/>
      <c r="M22" s="13" t="n"/>
      <c r="N22" s="13" t="n"/>
      <c r="O22" s="13" t="n"/>
      <c r="P22" s="13" t="n"/>
      <c r="Q22" s="13" t="n"/>
      <c r="R22" s="13" t="n"/>
    </row>
    <row r="23">
      <c r="A23" s="8" t="n">
        <v>19</v>
      </c>
      <c r="B23" s="8" t="inlineStr">
        <is>
          <t>PK-019</t>
        </is>
      </c>
      <c r="C23" s="9" t="inlineStr">
        <is>
          <t>Quán Cơm Tấm Mê Kông</t>
        </is>
      </c>
      <c r="D23" s="8" t="inlineStr">
        <is>
          <t>Nhà hàng</t>
        </is>
      </c>
      <c r="E23" s="9" t="inlineStr">
        <is>
          <t>39 Bùi Hữu Nghĩa, Phường Tây Sơn, TP. Pleiku</t>
        </is>
      </c>
      <c r="F23" s="9" t="inlineStr">
        <is>
          <t>Bùi Hữu Nghĩa</t>
        </is>
      </c>
      <c r="G23" s="8" t="inlineStr">
        <is>
          <t>Phường Pleiku</t>
        </is>
      </c>
      <c r="H23" s="8" t="inlineStr">
        <is>
          <t>Tây Sơn</t>
        </is>
      </c>
      <c r="I23" s="10" t="inlineStr">
        <is>
          <t>Đã có trên bản đồ – kiểm tra &amp; bổ sung</t>
        </is>
      </c>
      <c r="J23" s="9" t="inlineStr">
        <is>
          <t>Danh sách tham khảo, Hệ thống</t>
        </is>
      </c>
      <c r="K23" s="11" t="inlineStr">
        <is>
          <t>Bản đồ</t>
        </is>
      </c>
      <c r="L23" s="12" t="n"/>
      <c r="M23" s="13" t="n"/>
      <c r="N23" s="13" t="n"/>
      <c r="O23" s="13" t="n"/>
      <c r="P23" s="13" t="n"/>
      <c r="Q23" s="13" t="n"/>
      <c r="R23" s="13" t="n"/>
    </row>
    <row r="24">
      <c r="A24" s="8" t="n">
        <v>20</v>
      </c>
      <c r="B24" s="8" t="inlineStr">
        <is>
          <t>PK-020</t>
        </is>
      </c>
      <c r="C24" s="9" t="inlineStr">
        <is>
          <t>Jollibee Co.opmart Pleiku</t>
        </is>
      </c>
      <c r="D24" s="8" t="inlineStr">
        <is>
          <t>Nhà hàng</t>
        </is>
      </c>
      <c r="E24" s="9" t="inlineStr">
        <is>
          <t>Coop Mart Pleiku, 21 Cách Mạng Tháng Tám</t>
        </is>
      </c>
      <c r="F24" s="9" t="inlineStr">
        <is>
          <t>Cách Mạng Tháng Tám</t>
        </is>
      </c>
      <c r="G24" s="8" t="inlineStr">
        <is>
          <t>Phường Pleiku</t>
        </is>
      </c>
      <c r="H24" s="8" t="inlineStr">
        <is>
          <t>Hoa Lư</t>
        </is>
      </c>
      <c r="I24" s="9" t="inlineStr"/>
      <c r="J24" s="9" t="inlineStr">
        <is>
          <t>Danh sách tham khảo</t>
        </is>
      </c>
      <c r="K24" s="11" t="inlineStr">
        <is>
          <t>Bản đồ</t>
        </is>
      </c>
      <c r="L24" s="12" t="n"/>
      <c r="M24" s="13" t="n"/>
      <c r="N24" s="13" t="n"/>
      <c r="O24" s="13" t="n"/>
      <c r="P24" s="13" t="n"/>
      <c r="Q24" s="13" t="n"/>
      <c r="R24" s="13" t="n"/>
    </row>
    <row r="25">
      <c r="A25" s="8" t="n">
        <v>21</v>
      </c>
      <c r="B25" s="8" t="inlineStr">
        <is>
          <t>PK-021</t>
        </is>
      </c>
      <c r="C25" s="9" t="inlineStr">
        <is>
          <t>Nhà Thờ Giáo Xứ Hoa Lư</t>
        </is>
      </c>
      <c r="D25" s="8" t="inlineStr">
        <is>
          <t>Nhà hàng</t>
        </is>
      </c>
      <c r="E25" s="9" t="inlineStr">
        <is>
          <t>175 Cách Mạng Tháng Tám, Phường Hoa Lư, TP. Pleiku</t>
        </is>
      </c>
      <c r="F25" s="9" t="inlineStr">
        <is>
          <t>Cách Mạng Tháng Tám</t>
        </is>
      </c>
      <c r="G25" s="8" t="inlineStr">
        <is>
          <t>Phường Pleiku</t>
        </is>
      </c>
      <c r="H25" s="8" t="inlineStr">
        <is>
          <t>Hoa Lư</t>
        </is>
      </c>
      <c r="I25" s="10" t="inlineStr">
        <is>
          <t>Tên có thể kèm quảng cáo – ghi lại tên trên biển hiệu</t>
        </is>
      </c>
      <c r="J25" s="9" t="inlineStr">
        <is>
          <t>Danh sách tham khảo</t>
        </is>
      </c>
      <c r="K25" s="11" t="inlineStr">
        <is>
          <t>Bản đồ</t>
        </is>
      </c>
      <c r="L25" s="12" t="n"/>
      <c r="M25" s="13" t="n"/>
      <c r="N25" s="13" t="n"/>
      <c r="O25" s="13" t="n"/>
      <c r="P25" s="13" t="n"/>
      <c r="Q25" s="13" t="n"/>
      <c r="R25" s="13" t="n"/>
    </row>
    <row r="26">
      <c r="A26" s="8" t="n">
        <v>22</v>
      </c>
      <c r="B26" s="8" t="inlineStr">
        <is>
          <t>PK-022</t>
        </is>
      </c>
      <c r="C26" s="9" t="inlineStr">
        <is>
          <t>Quán Long Giang Gia Lai</t>
        </is>
      </c>
      <c r="D26" s="8" t="inlineStr">
        <is>
          <t>Nhà hàng</t>
        </is>
      </c>
      <c r="E26" s="9" t="inlineStr">
        <is>
          <t>222 Cách Mạng Tháng Tám, Phường Hoa Lư, TP. Pleiku</t>
        </is>
      </c>
      <c r="F26" s="9" t="inlineStr">
        <is>
          <t>Cách Mạng Tháng Tám</t>
        </is>
      </c>
      <c r="G26" s="8" t="inlineStr">
        <is>
          <t>Phường Pleiku</t>
        </is>
      </c>
      <c r="H26" s="8" t="inlineStr">
        <is>
          <t>Hoa Lư</t>
        </is>
      </c>
      <c r="I26" s="10" t="inlineStr">
        <is>
          <t>Đã có trên bản đồ – kiểm tra &amp; bổ sung</t>
        </is>
      </c>
      <c r="J26" s="9" t="inlineStr">
        <is>
          <t>Danh sách tham khảo, Hệ thống</t>
        </is>
      </c>
      <c r="K26" s="11" t="inlineStr">
        <is>
          <t>Bản đồ</t>
        </is>
      </c>
      <c r="L26" s="12" t="n"/>
      <c r="M26" s="13" t="n"/>
      <c r="N26" s="13" t="n"/>
      <c r="O26" s="13" t="n"/>
      <c r="P26" s="13" t="n"/>
      <c r="Q26" s="13" t="n"/>
      <c r="R26" s="13" t="n"/>
    </row>
    <row r="27">
      <c r="A27" s="8" t="n">
        <v>23</v>
      </c>
      <c r="B27" s="8" t="inlineStr">
        <is>
          <t>PK-023</t>
        </is>
      </c>
      <c r="C27" s="9" t="inlineStr">
        <is>
          <t>Đặc Sản Cá Sông Gia Lai - Thanh Trúc</t>
        </is>
      </c>
      <c r="D27" s="8" t="inlineStr">
        <is>
          <t>Nhà hàng</t>
        </is>
      </c>
      <c r="E27" s="9" t="inlineStr">
        <is>
          <t>254A Cách Mạng Tháng Tám, Phường Hoa Lư, TP. Pleiku</t>
        </is>
      </c>
      <c r="F27" s="9" t="inlineStr">
        <is>
          <t>Cách Mạng Tháng Tám</t>
        </is>
      </c>
      <c r="G27" s="8" t="inlineStr">
        <is>
          <t>Phường Pleiku</t>
        </is>
      </c>
      <c r="H27" s="8" t="inlineStr">
        <is>
          <t>Hoa Lư</t>
        </is>
      </c>
      <c r="I27" s="9" t="inlineStr"/>
      <c r="J27" s="9" t="inlineStr">
        <is>
          <t>Danh sách tham khảo</t>
        </is>
      </c>
      <c r="K27" s="11" t="inlineStr">
        <is>
          <t>Bản đồ</t>
        </is>
      </c>
      <c r="L27" s="12" t="n"/>
      <c r="M27" s="13" t="n"/>
      <c r="N27" s="13" t="n"/>
      <c r="O27" s="13" t="n"/>
      <c r="P27" s="13" t="n"/>
      <c r="Q27" s="13" t="n"/>
      <c r="R27" s="13" t="n"/>
    </row>
    <row r="28">
      <c r="A28" s="8" t="n">
        <v>24</v>
      </c>
      <c r="B28" s="8" t="inlineStr">
        <is>
          <t>PK-024</t>
        </is>
      </c>
      <c r="C28" s="9" t="inlineStr">
        <is>
          <t>Nhà Hàng Ẩm Thực Pleiku Phố</t>
        </is>
      </c>
      <c r="D28" s="8" t="inlineStr">
        <is>
          <t>Nhà hàng</t>
        </is>
      </c>
      <c r="E28" s="9" t="inlineStr">
        <is>
          <t>393 Cách Mạng Tháng Tám, Phường Hoa Lư, TP. Pleiku</t>
        </is>
      </c>
      <c r="F28" s="9" t="inlineStr">
        <is>
          <t>Cách Mạng Tháng Tám</t>
        </is>
      </c>
      <c r="G28" s="8" t="inlineStr">
        <is>
          <t>Phường Pleiku</t>
        </is>
      </c>
      <c r="H28" s="8" t="inlineStr">
        <is>
          <t>Hoa Lư</t>
        </is>
      </c>
      <c r="I28" s="10" t="inlineStr">
        <is>
          <t>Đã có trên bản đồ – kiểm tra &amp; bổ sung</t>
        </is>
      </c>
      <c r="J28" s="9" t="inlineStr">
        <is>
          <t>Danh sách tham khảo, Hệ thống</t>
        </is>
      </c>
      <c r="K28" s="11" t="inlineStr">
        <is>
          <t>Bản đồ</t>
        </is>
      </c>
      <c r="L28" s="12" t="n"/>
      <c r="M28" s="13" t="n"/>
      <c r="N28" s="13" t="n"/>
      <c r="O28" s="13" t="n"/>
      <c r="P28" s="13" t="n"/>
      <c r="Q28" s="13" t="n"/>
      <c r="R28" s="13" t="n"/>
    </row>
    <row r="29">
      <c r="A29" s="8" t="n">
        <v>25</v>
      </c>
      <c r="B29" s="8" t="inlineStr">
        <is>
          <t>PK-025</t>
        </is>
      </c>
      <c r="C29" s="9" t="inlineStr">
        <is>
          <t>Quán Thanh Niên</t>
        </is>
      </c>
      <c r="D29" s="8" t="inlineStr">
        <is>
          <t>Nhà hàng</t>
        </is>
      </c>
      <c r="E29" s="9" t="inlineStr">
        <is>
          <t>412 Cách Mạng Tháng Tám, Phường Hoa Lư, TP. Pleiku</t>
        </is>
      </c>
      <c r="F29" s="9" t="inlineStr">
        <is>
          <t>Cách Mạng Tháng Tám</t>
        </is>
      </c>
      <c r="G29" s="8" t="inlineStr">
        <is>
          <t>Phường Pleiku</t>
        </is>
      </c>
      <c r="H29" s="8" t="inlineStr">
        <is>
          <t>Hoa Lư</t>
        </is>
      </c>
      <c r="I29" s="9" t="inlineStr"/>
      <c r="J29" s="9" t="inlineStr">
        <is>
          <t>Danh sách tham khảo</t>
        </is>
      </c>
      <c r="K29" s="11" t="inlineStr">
        <is>
          <t>Bản đồ</t>
        </is>
      </c>
      <c r="L29" s="12" t="n"/>
      <c r="M29" s="13" t="n"/>
      <c r="N29" s="13" t="n"/>
      <c r="O29" s="13" t="n"/>
      <c r="P29" s="13" t="n"/>
      <c r="Q29" s="13" t="n"/>
      <c r="R29" s="13" t="n"/>
    </row>
    <row r="30">
      <c r="A30" s="8" t="n">
        <v>26</v>
      </c>
      <c r="B30" s="8" t="inlineStr">
        <is>
          <t>PK-026</t>
        </is>
      </c>
      <c r="C30" s="9" t="inlineStr">
        <is>
          <t>Buffet Cầu Sắt</t>
        </is>
      </c>
      <c r="D30" s="8" t="inlineStr">
        <is>
          <t>Nhà hàng</t>
        </is>
      </c>
      <c r="E30" s="9" t="inlineStr">
        <is>
          <t>450 Cách Mạng Tháng Tám, Phường Hoa Lư, TP. Pleiku</t>
        </is>
      </c>
      <c r="F30" s="9" t="inlineStr">
        <is>
          <t>Cách Mạng Tháng Tám</t>
        </is>
      </c>
      <c r="G30" s="8" t="inlineStr">
        <is>
          <t>Phường Pleiku</t>
        </is>
      </c>
      <c r="H30" s="8" t="inlineStr">
        <is>
          <t>Hoa Lư</t>
        </is>
      </c>
      <c r="I30" s="9" t="inlineStr"/>
      <c r="J30" s="9" t="inlineStr">
        <is>
          <t>Danh sách tham khảo</t>
        </is>
      </c>
      <c r="K30" s="11" t="inlineStr">
        <is>
          <t>Bản đồ</t>
        </is>
      </c>
      <c r="L30" s="12" t="n"/>
      <c r="M30" s="13" t="n"/>
      <c r="N30" s="13" t="n"/>
      <c r="O30" s="13" t="n"/>
      <c r="P30" s="13" t="n"/>
      <c r="Q30" s="13" t="n"/>
      <c r="R30" s="13" t="n"/>
    </row>
    <row r="31">
      <c r="A31" s="8" t="n">
        <v>27</v>
      </c>
      <c r="B31" s="8" t="inlineStr">
        <is>
          <t>PK-027</t>
        </is>
      </c>
      <c r="C31" s="9" t="inlineStr">
        <is>
          <t>Bún Cua Gia Lai ( Mai Quý)</t>
        </is>
      </c>
      <c r="D31" s="8" t="inlineStr">
        <is>
          <t>Nhà hàng</t>
        </is>
      </c>
      <c r="E31" s="9" t="inlineStr">
        <is>
          <t>12 Chử Đồng Tử, Phường Hội Phú, TP. Pleiku</t>
        </is>
      </c>
      <c r="F31" s="9" t="inlineStr">
        <is>
          <t>Chử Đồng Tử</t>
        </is>
      </c>
      <c r="G31" s="8" t="inlineStr">
        <is>
          <t>Phường Pleiku</t>
        </is>
      </c>
      <c r="H31" s="8" t="inlineStr">
        <is>
          <t>Hội Phú</t>
        </is>
      </c>
      <c r="I31" s="10" t="inlineStr">
        <is>
          <t>Địa chỉ ghi Phường Hội Phú nhưng vị trí thuộc Phường Pleiku</t>
        </is>
      </c>
      <c r="J31" s="9" t="inlineStr">
        <is>
          <t>Danh sách tham khảo</t>
        </is>
      </c>
      <c r="K31" s="11" t="inlineStr">
        <is>
          <t>Bản đồ</t>
        </is>
      </c>
      <c r="L31" s="12" t="n"/>
      <c r="M31" s="13" t="n"/>
      <c r="N31" s="13" t="n"/>
      <c r="O31" s="13" t="n"/>
      <c r="P31" s="13" t="n"/>
      <c r="Q31" s="13" t="n"/>
      <c r="R31" s="13" t="n"/>
    </row>
    <row r="32">
      <c r="A32" s="8" t="n">
        <v>28</v>
      </c>
      <c r="B32" s="8" t="inlineStr">
        <is>
          <t>PK-028</t>
        </is>
      </c>
      <c r="C32" s="9" t="inlineStr">
        <is>
          <t>Cf cayda</t>
        </is>
      </c>
      <c r="D32" s="8" t="inlineStr">
        <is>
          <t>Quán cà phê</t>
        </is>
      </c>
      <c r="E32" s="9" t="inlineStr"/>
      <c r="F32" s="9" t="inlineStr">
        <is>
          <t>(chưa rõ đường)</t>
        </is>
      </c>
      <c r="G32" s="8" t="inlineStr">
        <is>
          <t>Phường Pleiku</t>
        </is>
      </c>
      <c r="H32" s="8" t="inlineStr"/>
      <c r="I32" s="10" t="inlineStr">
        <is>
          <t>Địa chỉ chưa có số nhà</t>
        </is>
      </c>
      <c r="J32" s="9" t="inlineStr">
        <is>
          <t>OpenStreetMap</t>
        </is>
      </c>
      <c r="K32" s="11" t="inlineStr">
        <is>
          <t>Bản đồ</t>
        </is>
      </c>
      <c r="L32" s="12" t="n"/>
      <c r="M32" s="13" t="n"/>
      <c r="N32" s="13" t="n"/>
      <c r="O32" s="13" t="n"/>
      <c r="P32" s="13" t="n"/>
      <c r="Q32" s="13" t="n"/>
      <c r="R32" s="13" t="n"/>
    </row>
    <row r="33">
      <c r="A33" s="8" t="n">
        <v>29</v>
      </c>
      <c r="B33" s="8" t="inlineStr">
        <is>
          <t>PK-029</t>
        </is>
      </c>
      <c r="C33" s="9" t="inlineStr">
        <is>
          <t>MaBu</t>
        </is>
      </c>
      <c r="D33" s="8" t="inlineStr">
        <is>
          <t>Quán cà phê</t>
        </is>
      </c>
      <c r="E33" s="9" t="inlineStr"/>
      <c r="F33" s="9" t="inlineStr">
        <is>
          <t>(chưa rõ đường)</t>
        </is>
      </c>
      <c r="G33" s="8" t="inlineStr">
        <is>
          <t>Phường Pleiku</t>
        </is>
      </c>
      <c r="H33" s="8" t="inlineStr"/>
      <c r="I33" s="10" t="inlineStr">
        <is>
          <t>Địa chỉ chưa có số nhà</t>
        </is>
      </c>
      <c r="J33" s="9" t="inlineStr">
        <is>
          <t>OpenStreetMap</t>
        </is>
      </c>
      <c r="K33" s="11" t="inlineStr">
        <is>
          <t>Bản đồ</t>
        </is>
      </c>
      <c r="L33" s="12" t="n"/>
      <c r="M33" s="13" t="n"/>
      <c r="N33" s="13" t="n"/>
      <c r="O33" s="13" t="n"/>
      <c r="P33" s="13" t="n"/>
      <c r="Q33" s="13" t="n"/>
      <c r="R33" s="13" t="n"/>
    </row>
    <row r="34">
      <c r="A34" s="8" t="n">
        <v>30</v>
      </c>
      <c r="B34" s="8" t="inlineStr">
        <is>
          <t>PK-030</t>
        </is>
      </c>
      <c r="C34" s="9" t="inlineStr">
        <is>
          <t>Thành Tâm</t>
        </is>
      </c>
      <c r="D34" s="8" t="inlineStr">
        <is>
          <t>Nhà hàng</t>
        </is>
      </c>
      <c r="E34" s="9" t="inlineStr"/>
      <c r="F34" s="9" t="inlineStr">
        <is>
          <t>(chưa rõ đường)</t>
        </is>
      </c>
      <c r="G34" s="8" t="inlineStr">
        <is>
          <t>Phường Pleiku</t>
        </is>
      </c>
      <c r="H34" s="8" t="inlineStr"/>
      <c r="I34" s="10" t="inlineStr">
        <is>
          <t>Địa chỉ chưa có số nhà; Trùng vị trí với: L’amant Café Gia Lai</t>
        </is>
      </c>
      <c r="J34" s="9" t="inlineStr">
        <is>
          <t>OpenStreetMap</t>
        </is>
      </c>
      <c r="K34" s="11" t="inlineStr">
        <is>
          <t>Bản đồ</t>
        </is>
      </c>
      <c r="L34" s="12" t="n"/>
      <c r="M34" s="13" t="n"/>
      <c r="N34" s="13" t="n"/>
      <c r="O34" s="13" t="n"/>
      <c r="P34" s="13" t="n"/>
      <c r="Q34" s="13" t="n"/>
      <c r="R34" s="13" t="n"/>
    </row>
    <row r="35">
      <c r="A35" s="8" t="n">
        <v>31</v>
      </c>
      <c r="B35" s="8" t="inlineStr">
        <is>
          <t>PK-031</t>
        </is>
      </c>
      <c r="C35" s="9" t="inlineStr">
        <is>
          <t>Phở Ngọc Sơn</t>
        </is>
      </c>
      <c r="D35" s="8" t="inlineStr">
        <is>
          <t>Nhà hàng</t>
        </is>
      </c>
      <c r="E35" s="9" t="inlineStr">
        <is>
          <t>131 Đ. Hùng Vương, Phường Diên Hồng, TP. Pleiku</t>
        </is>
      </c>
      <c r="F35" s="9" t="inlineStr">
        <is>
          <t>Đ. Hùng Vương</t>
        </is>
      </c>
      <c r="G35" s="8" t="inlineStr">
        <is>
          <t>Phường Pleiku</t>
        </is>
      </c>
      <c r="H35" s="8" t="inlineStr">
        <is>
          <t>Diên Hồng</t>
        </is>
      </c>
      <c r="I35" s="10" t="inlineStr">
        <is>
          <t>Địa chỉ ghi Phường Diên Hồng nhưng vị trí thuộc Phường Pleiku; Trùng vị trí với: Bún đậu mắm tôm Gia Lai (Hà Nội Thương)</t>
        </is>
      </c>
      <c r="J35" s="9" t="inlineStr">
        <is>
          <t>Danh sách tham khảo</t>
        </is>
      </c>
      <c r="K35" s="11" t="inlineStr">
        <is>
          <t>Bản đồ</t>
        </is>
      </c>
      <c r="L35" s="12" t="n"/>
      <c r="M35" s="13" t="n"/>
      <c r="N35" s="13" t="n"/>
      <c r="O35" s="13" t="n"/>
      <c r="P35" s="13" t="n"/>
      <c r="Q35" s="13" t="n"/>
      <c r="R35" s="13" t="n"/>
    </row>
    <row r="36">
      <c r="A36" s="8" t="n">
        <v>32</v>
      </c>
      <c r="B36" s="8" t="inlineStr">
        <is>
          <t>PK-032</t>
        </is>
      </c>
      <c r="C36" s="9" t="inlineStr">
        <is>
          <t>Phở Hoàng</t>
        </is>
      </c>
      <c r="D36" s="8" t="inlineStr">
        <is>
          <t>Nhà hàng</t>
        </is>
      </c>
      <c r="E36" s="9" t="inlineStr">
        <is>
          <t>163 Đ. Hùng Vương, Phường Hội Thương, TP. Pleiku</t>
        </is>
      </c>
      <c r="F36" s="9" t="inlineStr">
        <is>
          <t>Đ. Hùng Vương</t>
        </is>
      </c>
      <c r="G36" s="8" t="inlineStr">
        <is>
          <t>Phường Pleiku</t>
        </is>
      </c>
      <c r="H36" s="8" t="inlineStr">
        <is>
          <t>Hội Thương</t>
        </is>
      </c>
      <c r="I36" s="9" t="inlineStr"/>
      <c r="J36" s="9" t="inlineStr">
        <is>
          <t>Danh sách tham khảo</t>
        </is>
      </c>
      <c r="K36" s="11" t="inlineStr">
        <is>
          <t>Bản đồ</t>
        </is>
      </c>
      <c r="L36" s="12" t="n"/>
      <c r="M36" s="13" t="n"/>
      <c r="N36" s="13" t="n"/>
      <c r="O36" s="13" t="n"/>
      <c r="P36" s="13" t="n"/>
      <c r="Q36" s="13" t="n"/>
      <c r="R36" s="13" t="n"/>
    </row>
    <row r="37">
      <c r="A37" s="8" t="n">
        <v>33</v>
      </c>
      <c r="B37" s="8" t="inlineStr">
        <is>
          <t>PK-033</t>
        </is>
      </c>
      <c r="C37" s="9" t="inlineStr">
        <is>
          <t>Bún đậu mắm tôm Gia Lai (Hà Nội Thương)</t>
        </is>
      </c>
      <c r="D37" s="8" t="inlineStr">
        <is>
          <t>Nhà hàng</t>
        </is>
      </c>
      <c r="E37" s="9" t="inlineStr">
        <is>
          <t>288 Đ. Hùng Vương, Phường Hội Thương, TP. Pleiku</t>
        </is>
      </c>
      <c r="F37" s="9" t="inlineStr">
        <is>
          <t>Đ. Hùng Vương</t>
        </is>
      </c>
      <c r="G37" s="8" t="inlineStr">
        <is>
          <t>Phường Pleiku</t>
        </is>
      </c>
      <c r="H37" s="8" t="inlineStr">
        <is>
          <t>Hội Thương</t>
        </is>
      </c>
      <c r="I37" s="10" t="inlineStr">
        <is>
          <t>Trùng vị trí với: Phở Ngọc Sơn</t>
        </is>
      </c>
      <c r="J37" s="9" t="inlineStr">
        <is>
          <t>Danh sách tham khảo</t>
        </is>
      </c>
      <c r="K37" s="11" t="inlineStr">
        <is>
          <t>Bản đồ</t>
        </is>
      </c>
      <c r="L37" s="12" t="n"/>
      <c r="M37" s="13" t="n"/>
      <c r="N37" s="13" t="n"/>
      <c r="O37" s="13" t="n"/>
      <c r="P37" s="13" t="n"/>
      <c r="Q37" s="13" t="n"/>
      <c r="R37" s="13" t="n"/>
    </row>
    <row r="38">
      <c r="A38" s="8" t="n">
        <v>34</v>
      </c>
      <c r="B38" s="8" t="inlineStr">
        <is>
          <t>PK-034</t>
        </is>
      </c>
      <c r="C38" s="9" t="inlineStr">
        <is>
          <t>Quán lẩu bò Nấm ANH CHÍN</t>
        </is>
      </c>
      <c r="D38" s="8" t="inlineStr">
        <is>
          <t>Nhà hàng</t>
        </is>
      </c>
      <c r="E38" s="9" t="inlineStr">
        <is>
          <t>334 Đ. Hùng Vương, Phường Hội Thương, TP. Pleiku</t>
        </is>
      </c>
      <c r="F38" s="9" t="inlineStr">
        <is>
          <t>Đ. Hùng Vương</t>
        </is>
      </c>
      <c r="G38" s="8" t="inlineStr">
        <is>
          <t>Phường Pleiku</t>
        </is>
      </c>
      <c r="H38" s="8" t="inlineStr">
        <is>
          <t>Hội Thương</t>
        </is>
      </c>
      <c r="I38" s="9" t="inlineStr"/>
      <c r="J38" s="9" t="inlineStr">
        <is>
          <t>Danh sách tham khảo</t>
        </is>
      </c>
      <c r="K38" s="11" t="inlineStr">
        <is>
          <t>Bản đồ</t>
        </is>
      </c>
      <c r="L38" s="12" t="n"/>
      <c r="M38" s="13" t="n"/>
      <c r="N38" s="13" t="n"/>
      <c r="O38" s="13" t="n"/>
      <c r="P38" s="13" t="n"/>
      <c r="Q38" s="13" t="n"/>
      <c r="R38" s="13" t="n"/>
    </row>
    <row r="39">
      <c r="A39" s="8" t="n">
        <v>35</v>
      </c>
      <c r="B39" s="8" t="inlineStr">
        <is>
          <t>PK-035</t>
        </is>
      </c>
      <c r="C39" s="9" t="inlineStr">
        <is>
          <t>QUÁN ĐẦU LÀNG</t>
        </is>
      </c>
      <c r="D39" s="8" t="inlineStr">
        <is>
          <t>Nhà hàng</t>
        </is>
      </c>
      <c r="E39" s="9" t="inlineStr">
        <is>
          <t>67 Đ. Lê Thị Hồng Gấm, Phường Tây Sơn, TP. Pleiku</t>
        </is>
      </c>
      <c r="F39" s="9" t="inlineStr">
        <is>
          <t>Đ. Lê Thị Hồng Gấm</t>
        </is>
      </c>
      <c r="G39" s="8" t="inlineStr">
        <is>
          <t>Phường Pleiku</t>
        </is>
      </c>
      <c r="H39" s="8" t="inlineStr">
        <is>
          <t>Tây Sơn</t>
        </is>
      </c>
      <c r="I39" s="9" t="inlineStr"/>
      <c r="J39" s="9" t="inlineStr">
        <is>
          <t>Danh sách tham khảo</t>
        </is>
      </c>
      <c r="K39" s="11" t="inlineStr">
        <is>
          <t>Bản đồ</t>
        </is>
      </c>
      <c r="L39" s="12" t="n"/>
      <c r="M39" s="13" t="n"/>
      <c r="N39" s="13" t="n"/>
      <c r="O39" s="13" t="n"/>
      <c r="P39" s="13" t="n"/>
      <c r="Q39" s="13" t="n"/>
      <c r="R39" s="13" t="n"/>
    </row>
    <row r="40">
      <c r="A40" s="8" t="n">
        <v>36</v>
      </c>
      <c r="B40" s="8" t="inlineStr">
        <is>
          <t>PK-036</t>
        </is>
      </c>
      <c r="C40" s="9" t="inlineStr">
        <is>
          <t>Bún Cua chợ Phù Đổng</t>
        </is>
      </c>
      <c r="D40" s="8" t="inlineStr">
        <is>
          <t>Nhà hàng</t>
        </is>
      </c>
      <c r="E40" s="9" t="inlineStr">
        <is>
          <t>49a Đ. Trần Kiên, Phường Phù Đổng, TP. Pleiku</t>
        </is>
      </c>
      <c r="F40" s="9" t="inlineStr">
        <is>
          <t>Đ. Trần Kiên</t>
        </is>
      </c>
      <c r="G40" s="8" t="inlineStr">
        <is>
          <t>Phường Pleiku</t>
        </is>
      </c>
      <c r="H40" s="8" t="inlineStr">
        <is>
          <t>Phù Đổng</t>
        </is>
      </c>
      <c r="I40" s="10" t="inlineStr">
        <is>
          <t>Có thể không phải quán ăn</t>
        </is>
      </c>
      <c r="J40" s="9" t="inlineStr">
        <is>
          <t>Danh sách tham khảo</t>
        </is>
      </c>
      <c r="K40" s="11" t="inlineStr">
        <is>
          <t>Bản đồ</t>
        </is>
      </c>
      <c r="L40" s="12" t="n"/>
      <c r="M40" s="13" t="n"/>
      <c r="N40" s="13" t="n"/>
      <c r="O40" s="13" t="n"/>
      <c r="P40" s="13" t="n"/>
      <c r="Q40" s="13" t="n"/>
      <c r="R40" s="13" t="n"/>
    </row>
    <row r="41">
      <c r="A41" s="8" t="n">
        <v>37</v>
      </c>
      <c r="B41" s="8" t="inlineStr">
        <is>
          <t>PK-037</t>
        </is>
      </c>
      <c r="C41" s="9" t="inlineStr">
        <is>
          <t>Miền Ký Ức coffee</t>
        </is>
      </c>
      <c r="D41" s="8" t="inlineStr">
        <is>
          <t>Quán cà phê</t>
        </is>
      </c>
      <c r="E41" s="9" t="inlineStr">
        <is>
          <t>Đường D2/239a Suối Hội Phú, Phường Hội Phú, TP. Pleiku</t>
        </is>
      </c>
      <c r="F41" s="9" t="inlineStr">
        <is>
          <t>D2/239a Suối Hội Phú</t>
        </is>
      </c>
      <c r="G41" s="8" t="inlineStr">
        <is>
          <t>Phường Pleiku</t>
        </is>
      </c>
      <c r="H41" s="8" t="inlineStr">
        <is>
          <t>Hội Phú</t>
        </is>
      </c>
      <c r="I41" s="10" t="inlineStr">
        <is>
          <t>Địa chỉ ghi Phường Hội Phú nhưng vị trí thuộc Phường Pleiku; Địa chỉ chưa có số nhà</t>
        </is>
      </c>
      <c r="J41" s="9" t="inlineStr">
        <is>
          <t>Danh sách tham khảo</t>
        </is>
      </c>
      <c r="K41" s="11" t="inlineStr">
        <is>
          <t>Bản đồ</t>
        </is>
      </c>
      <c r="L41" s="12" t="n"/>
      <c r="M41" s="13" t="n"/>
      <c r="N41" s="13" t="n"/>
      <c r="O41" s="13" t="n"/>
      <c r="P41" s="13" t="n"/>
      <c r="Q41" s="13" t="n"/>
      <c r="R41" s="13" t="n"/>
    </row>
    <row r="42">
      <c r="A42" s="8" t="n">
        <v>38</v>
      </c>
      <c r="B42" s="8" t="inlineStr">
        <is>
          <t>PK-038</t>
        </is>
      </c>
      <c r="C42" s="9" t="inlineStr">
        <is>
          <t>Tiệm Cà phê Ngã Ba Đường</t>
        </is>
      </c>
      <c r="D42" s="8" t="inlineStr">
        <is>
          <t>Quán cà phê</t>
        </is>
      </c>
      <c r="E42" s="9" t="inlineStr">
        <is>
          <t>123 Hoàng Quốc Việt, Pleiku, Gia Lai 600000, Việt Nam</t>
        </is>
      </c>
      <c r="F42" s="9" t="inlineStr">
        <is>
          <t>Hoàng Quốc Việt</t>
        </is>
      </c>
      <c r="G42" s="8" t="inlineStr">
        <is>
          <t>Phường Pleiku</t>
        </is>
      </c>
      <c r="H42" s="8" t="inlineStr"/>
      <c r="I42" s="10" t="inlineStr">
        <is>
          <t>Đã có trên bản đồ – kiểm tra &amp; bổ sung</t>
        </is>
      </c>
      <c r="J42" s="9" t="inlineStr">
        <is>
          <t>Hệ thống</t>
        </is>
      </c>
      <c r="K42" s="11" t="inlineStr">
        <is>
          <t>Bản đồ</t>
        </is>
      </c>
      <c r="L42" s="12" t="n"/>
      <c r="M42" s="13" t="n"/>
      <c r="N42" s="13" t="n"/>
      <c r="O42" s="13" t="n"/>
      <c r="P42" s="13" t="n"/>
      <c r="Q42" s="13" t="n"/>
      <c r="R42" s="13" t="n"/>
    </row>
    <row r="43">
      <c r="A43" s="8" t="n">
        <v>39</v>
      </c>
      <c r="B43" s="8" t="inlineStr">
        <is>
          <t>PK-039</t>
        </is>
      </c>
      <c r="C43" s="9" t="inlineStr">
        <is>
          <t>Quán Tam Thái Tử</t>
        </is>
      </c>
      <c r="D43" s="8" t="inlineStr">
        <is>
          <t>Nhà hàng</t>
        </is>
      </c>
      <c r="E43" s="9" t="inlineStr">
        <is>
          <t>24 Huyền Trân Công Chúa, Phường Trà Bá, TP. Pleiku</t>
        </is>
      </c>
      <c r="F43" s="9" t="inlineStr">
        <is>
          <t>Huyền Trân Công Chúa</t>
        </is>
      </c>
      <c r="G43" s="8" t="inlineStr">
        <is>
          <t>Phường Pleiku</t>
        </is>
      </c>
      <c r="H43" s="8" t="inlineStr">
        <is>
          <t>Trà Bá</t>
        </is>
      </c>
      <c r="I43" s="10" t="inlineStr">
        <is>
          <t>Địa chỉ ghi Phường Trà Bá nhưng vị trí thuộc Phường Pleiku</t>
        </is>
      </c>
      <c r="J43" s="9" t="inlineStr">
        <is>
          <t>Danh sách tham khảo</t>
        </is>
      </c>
      <c r="K43" s="11" t="inlineStr">
        <is>
          <t>Bản đồ</t>
        </is>
      </c>
      <c r="L43" s="12" t="n"/>
      <c r="M43" s="13" t="n"/>
      <c r="N43" s="13" t="n"/>
      <c r="O43" s="13" t="n"/>
      <c r="P43" s="13" t="n"/>
      <c r="Q43" s="13" t="n"/>
      <c r="R43" s="13" t="n"/>
    </row>
    <row r="44">
      <c r="A44" s="8" t="n">
        <v>40</v>
      </c>
      <c r="B44" s="8" t="inlineStr">
        <is>
          <t>PK-040</t>
        </is>
      </c>
      <c r="C44" s="9" t="inlineStr">
        <is>
          <t>Ẩm Thực - Homestay Ngói Quê Gia Lai</t>
        </is>
      </c>
      <c r="D44" s="8" t="inlineStr">
        <is>
          <t>Nhà hàng</t>
        </is>
      </c>
      <c r="E44" s="9" t="inlineStr">
        <is>
          <t>Khu vực Phường Diên Hồng, Pleiku</t>
        </is>
      </c>
      <c r="F44" s="9" t="inlineStr">
        <is>
          <t>Khu vực Phường Diên Hồng</t>
        </is>
      </c>
      <c r="G44" s="8" t="inlineStr">
        <is>
          <t>Phường Pleiku</t>
        </is>
      </c>
      <c r="H44" s="8" t="inlineStr">
        <is>
          <t>Diên Hồng</t>
        </is>
      </c>
      <c r="I44" s="10" t="inlineStr">
        <is>
          <t>Địa chỉ ghi Phường Diên Hồng nhưng vị trí thuộc Phường Pleiku; Địa chỉ chưa có số nhà</t>
        </is>
      </c>
      <c r="J44" s="9" t="inlineStr">
        <is>
          <t>Danh sách tham khảo</t>
        </is>
      </c>
      <c r="K44" s="11" t="inlineStr">
        <is>
          <t>Bản đồ</t>
        </is>
      </c>
      <c r="L44" s="12" t="n"/>
      <c r="M44" s="13" t="n"/>
      <c r="N44" s="13" t="n"/>
      <c r="O44" s="13" t="n"/>
      <c r="P44" s="13" t="n"/>
      <c r="Q44" s="13" t="n"/>
      <c r="R44" s="13" t="n"/>
    </row>
    <row r="45">
      <c r="A45" s="8" t="n">
        <v>41</v>
      </c>
      <c r="B45" s="8" t="inlineStr">
        <is>
          <t>PK-041</t>
        </is>
      </c>
      <c r="C45" s="9" t="inlineStr">
        <is>
          <t>Ẩm Thực Plây Cồng Chiêng</t>
        </is>
      </c>
      <c r="D45" s="8" t="inlineStr">
        <is>
          <t>Nhà hàng</t>
        </is>
      </c>
      <c r="E45" s="9" t="inlineStr">
        <is>
          <t>Khu vực Phường Hoa Lư, Pleiku</t>
        </is>
      </c>
      <c r="F45" s="9" t="inlineStr">
        <is>
          <t>Khu vực Phường Hoa Lư</t>
        </is>
      </c>
      <c r="G45" s="8" t="inlineStr">
        <is>
          <t>Phường Pleiku</t>
        </is>
      </c>
      <c r="H45" s="8" t="inlineStr">
        <is>
          <t>Hoa Lư</t>
        </is>
      </c>
      <c r="I45" s="10" t="inlineStr">
        <is>
          <t>Địa chỉ chưa có số nhà; Đã có trên bản đồ – kiểm tra &amp; bổ sung</t>
        </is>
      </c>
      <c r="J45" s="9" t="inlineStr">
        <is>
          <t>Danh sách tham khảo, Hệ thống</t>
        </is>
      </c>
      <c r="K45" s="11" t="inlineStr">
        <is>
          <t>Bản đồ</t>
        </is>
      </c>
      <c r="L45" s="12" t="n"/>
      <c r="M45" s="13" t="n"/>
      <c r="N45" s="13" t="n"/>
      <c r="O45" s="13" t="n"/>
      <c r="P45" s="13" t="n"/>
      <c r="Q45" s="13" t="n"/>
      <c r="R45" s="13" t="n"/>
    </row>
    <row r="46">
      <c r="A46" s="8" t="n">
        <v>42</v>
      </c>
      <c r="B46" s="8" t="inlineStr">
        <is>
          <t>PK-042</t>
        </is>
      </c>
      <c r="C46" s="9" t="inlineStr">
        <is>
          <t>06 bờ kè suối - P. Hội Phú - TP. Pleiku Gia Lai</t>
        </is>
      </c>
      <c r="D46" s="8" t="inlineStr">
        <is>
          <t>Nhà hàng</t>
        </is>
      </c>
      <c r="E46" s="9" t="inlineStr">
        <is>
          <t>Khu vực Phường Hội Phú, Pleiku</t>
        </is>
      </c>
      <c r="F46" s="9" t="inlineStr">
        <is>
          <t>Khu vực Phường Hội Phú</t>
        </is>
      </c>
      <c r="G46" s="8" t="inlineStr">
        <is>
          <t>Phường Pleiku</t>
        </is>
      </c>
      <c r="H46" s="8" t="inlineStr">
        <is>
          <t>Hội Phú</t>
        </is>
      </c>
      <c r="I46" s="10" t="inlineStr">
        <is>
          <t>Địa chỉ ghi Phường Hội Phú nhưng vị trí thuộc Phường Pleiku; Địa chỉ chưa có số nhà</t>
        </is>
      </c>
      <c r="J46" s="9" t="inlineStr">
        <is>
          <t>Danh sách tham khảo</t>
        </is>
      </c>
      <c r="K46" s="11" t="inlineStr">
        <is>
          <t>Bản đồ</t>
        </is>
      </c>
      <c r="L46" s="12" t="n"/>
      <c r="M46" s="13" t="n"/>
      <c r="N46" s="13" t="n"/>
      <c r="O46" s="13" t="n"/>
      <c r="P46" s="13" t="n"/>
      <c r="Q46" s="13" t="n"/>
      <c r="R46" s="13" t="n"/>
    </row>
    <row r="47">
      <c r="A47" s="8" t="n">
        <v>43</v>
      </c>
      <c r="B47" s="8" t="inlineStr">
        <is>
          <t>PK-043</t>
        </is>
      </c>
      <c r="C47" s="9" t="inlineStr">
        <is>
          <t>19/8 Nay Der, Phường Phù Đổng, Thành Phố Pleiku, Tỉnh Gia Lai</t>
        </is>
      </c>
      <c r="D47" s="8" t="inlineStr">
        <is>
          <t>Nhà hàng</t>
        </is>
      </c>
      <c r="E47" s="9" t="inlineStr">
        <is>
          <t>Khu vực Phường Phù Đổng, Pleiku</t>
        </is>
      </c>
      <c r="F47" s="9" t="inlineStr">
        <is>
          <t>Khu vực Phường Phù Đổng</t>
        </is>
      </c>
      <c r="G47" s="8" t="inlineStr">
        <is>
          <t>Phường Pleiku</t>
        </is>
      </c>
      <c r="H47" s="8" t="inlineStr">
        <is>
          <t>Phù Đổng</t>
        </is>
      </c>
      <c r="I47" s="10" t="inlineStr">
        <is>
          <t>Địa chỉ chưa có số nhà; Tên có thể kèm quảng cáo – ghi lại tên trên biển hiệu</t>
        </is>
      </c>
      <c r="J47" s="9" t="inlineStr">
        <is>
          <t>Danh sách tham khảo</t>
        </is>
      </c>
      <c r="K47" s="11" t="inlineStr">
        <is>
          <t>Bản đồ</t>
        </is>
      </c>
      <c r="L47" s="12" t="n"/>
      <c r="M47" s="13" t="n"/>
      <c r="N47" s="13" t="n"/>
      <c r="O47" s="13" t="n"/>
      <c r="P47" s="13" t="n"/>
      <c r="Q47" s="13" t="n"/>
      <c r="R47" s="13" t="n"/>
    </row>
    <row r="48">
      <c r="A48" s="8" t="n">
        <v>44</v>
      </c>
      <c r="B48" s="8" t="inlineStr">
        <is>
          <t>PK-044</t>
        </is>
      </c>
      <c r="C48" s="9" t="inlineStr">
        <is>
          <t>Công An Phường Phù Đổng</t>
        </is>
      </c>
      <c r="D48" s="8" t="inlineStr">
        <is>
          <t>Nhà hàng</t>
        </is>
      </c>
      <c r="E48" s="9" t="inlineStr">
        <is>
          <t>Khu vực Phường Phù Đổng, Pleiku</t>
        </is>
      </c>
      <c r="F48" s="9" t="inlineStr">
        <is>
          <t>Khu vực Phường Phù Đổng</t>
        </is>
      </c>
      <c r="G48" s="8" t="inlineStr">
        <is>
          <t>Phường Pleiku</t>
        </is>
      </c>
      <c r="H48" s="8" t="inlineStr">
        <is>
          <t>Phù Đổng</t>
        </is>
      </c>
      <c r="I48" s="10" t="inlineStr">
        <is>
          <t>Địa chỉ chưa có số nhà</t>
        </is>
      </c>
      <c r="J48" s="9" t="inlineStr">
        <is>
          <t>Danh sách tham khảo</t>
        </is>
      </c>
      <c r="K48" s="11" t="inlineStr">
        <is>
          <t>Bản đồ</t>
        </is>
      </c>
      <c r="L48" s="12" t="n"/>
      <c r="M48" s="13" t="n"/>
      <c r="N48" s="13" t="n"/>
      <c r="O48" s="13" t="n"/>
      <c r="P48" s="13" t="n"/>
      <c r="Q48" s="13" t="n"/>
      <c r="R48" s="13" t="n"/>
    </row>
    <row r="49">
      <c r="A49" s="8" t="n">
        <v>45</v>
      </c>
      <c r="B49" s="8" t="inlineStr">
        <is>
          <t>PK-045</t>
        </is>
      </c>
      <c r="C49" s="9" t="inlineStr">
        <is>
          <t>Quán 46</t>
        </is>
      </c>
      <c r="D49" s="8" t="inlineStr">
        <is>
          <t>Nhà hàng</t>
        </is>
      </c>
      <c r="E49" s="9" t="inlineStr">
        <is>
          <t>Khu vực Phường Phù Đổng, Pleiku</t>
        </is>
      </c>
      <c r="F49" s="9" t="inlineStr">
        <is>
          <t>Khu vực Phường Phù Đổng</t>
        </is>
      </c>
      <c r="G49" s="8" t="inlineStr">
        <is>
          <t>Phường Pleiku</t>
        </is>
      </c>
      <c r="H49" s="8" t="inlineStr">
        <is>
          <t>Phù Đổng</t>
        </is>
      </c>
      <c r="I49" s="10" t="inlineStr">
        <is>
          <t>Địa chỉ chưa có số nhà</t>
        </is>
      </c>
      <c r="J49" s="9" t="inlineStr">
        <is>
          <t>Danh sách tham khảo</t>
        </is>
      </c>
      <c r="K49" s="11" t="inlineStr">
        <is>
          <t>Bản đồ</t>
        </is>
      </c>
      <c r="L49" s="12" t="n"/>
      <c r="M49" s="13" t="n"/>
      <c r="N49" s="13" t="n"/>
      <c r="O49" s="13" t="n"/>
      <c r="P49" s="13" t="n"/>
      <c r="Q49" s="13" t="n"/>
      <c r="R49" s="13" t="n"/>
    </row>
    <row r="50">
      <c r="A50" s="8" t="n">
        <v>46</v>
      </c>
      <c r="B50" s="8" t="inlineStr">
        <is>
          <t>PK-046</t>
        </is>
      </c>
      <c r="C50" s="9" t="inlineStr">
        <is>
          <t>Quán Dê tươi Pleiku</t>
        </is>
      </c>
      <c r="D50" s="8" t="inlineStr">
        <is>
          <t>Nhà hàng</t>
        </is>
      </c>
      <c r="E50" s="9" t="inlineStr">
        <is>
          <t>Khu vực Phường Phù Đổng, Pleiku</t>
        </is>
      </c>
      <c r="F50" s="9" t="inlineStr">
        <is>
          <t>Khu vực Phường Phù Đổng</t>
        </is>
      </c>
      <c r="G50" s="8" t="inlineStr">
        <is>
          <t>Phường Pleiku</t>
        </is>
      </c>
      <c r="H50" s="8" t="inlineStr">
        <is>
          <t>Phù Đổng</t>
        </is>
      </c>
      <c r="I50" s="10" t="inlineStr">
        <is>
          <t>Địa chỉ chưa có số nhà</t>
        </is>
      </c>
      <c r="J50" s="9" t="inlineStr">
        <is>
          <t>Danh sách tham khảo</t>
        </is>
      </c>
      <c r="K50" s="11" t="inlineStr">
        <is>
          <t>Bản đồ</t>
        </is>
      </c>
      <c r="L50" s="12" t="n"/>
      <c r="M50" s="13" t="n"/>
      <c r="N50" s="13" t="n"/>
      <c r="O50" s="13" t="n"/>
      <c r="P50" s="13" t="n"/>
      <c r="Q50" s="13" t="n"/>
      <c r="R50" s="13" t="n"/>
    </row>
    <row r="51">
      <c r="A51" s="8" t="n">
        <v>47</v>
      </c>
      <c r="B51" s="8" t="inlineStr">
        <is>
          <t>PK-047</t>
        </is>
      </c>
      <c r="C51" s="9" t="inlineStr">
        <is>
          <t>Ẩm Thực Tây Nguyên - Cơm 81</t>
        </is>
      </c>
      <c r="D51" s="8" t="inlineStr">
        <is>
          <t>Nhà hàng</t>
        </is>
      </c>
      <c r="E51" s="9" t="inlineStr">
        <is>
          <t>Khu vực Phường Tây Sơn, Pleiku</t>
        </is>
      </c>
      <c r="F51" s="9" t="inlineStr">
        <is>
          <t>Khu vực Phường Tây Sơn</t>
        </is>
      </c>
      <c r="G51" s="8" t="inlineStr">
        <is>
          <t>Phường Pleiku</t>
        </is>
      </c>
      <c r="H51" s="8" t="inlineStr">
        <is>
          <t>Tây Sơn</t>
        </is>
      </c>
      <c r="I51" s="10" t="inlineStr">
        <is>
          <t>Địa chỉ chưa có số nhà</t>
        </is>
      </c>
      <c r="J51" s="9" t="inlineStr">
        <is>
          <t>Danh sách tham khảo</t>
        </is>
      </c>
      <c r="K51" s="11" t="inlineStr">
        <is>
          <t>Bản đồ</t>
        </is>
      </c>
      <c r="L51" s="12" t="n"/>
      <c r="M51" s="13" t="n"/>
      <c r="N51" s="13" t="n"/>
      <c r="O51" s="13" t="n"/>
      <c r="P51" s="13" t="n"/>
      <c r="Q51" s="13" t="n"/>
      <c r="R51" s="13" t="n"/>
    </row>
    <row r="52">
      <c r="A52" s="8" t="n">
        <v>48</v>
      </c>
      <c r="B52" s="8" t="inlineStr">
        <is>
          <t>PK-048</t>
        </is>
      </c>
      <c r="C52" s="9" t="inlineStr">
        <is>
          <t>Bánh Mỳ Tây Sơn Quê Em</t>
        </is>
      </c>
      <c r="D52" s="8" t="inlineStr">
        <is>
          <t>Nhà hàng</t>
        </is>
      </c>
      <c r="E52" s="9" t="inlineStr">
        <is>
          <t>Khu vực Phường Tây Sơn, Pleiku</t>
        </is>
      </c>
      <c r="F52" s="9" t="inlineStr">
        <is>
          <t>Khu vực Phường Tây Sơn</t>
        </is>
      </c>
      <c r="G52" s="8" t="inlineStr">
        <is>
          <t>Phường Pleiku</t>
        </is>
      </c>
      <c r="H52" s="8" t="inlineStr">
        <is>
          <t>Tây Sơn</t>
        </is>
      </c>
      <c r="I52" s="10" t="inlineStr">
        <is>
          <t>Địa chỉ chưa có số nhà</t>
        </is>
      </c>
      <c r="J52" s="9" t="inlineStr">
        <is>
          <t>Danh sách tham khảo</t>
        </is>
      </c>
      <c r="K52" s="11" t="inlineStr">
        <is>
          <t>Bản đồ</t>
        </is>
      </c>
      <c r="L52" s="12" t="n"/>
      <c r="M52" s="13" t="n"/>
      <c r="N52" s="13" t="n"/>
      <c r="O52" s="13" t="n"/>
      <c r="P52" s="13" t="n"/>
      <c r="Q52" s="13" t="n"/>
      <c r="R52" s="13" t="n"/>
    </row>
    <row r="53">
      <c r="A53" s="8" t="n">
        <v>49</v>
      </c>
      <c r="B53" s="8" t="inlineStr">
        <is>
          <t>PK-049</t>
        </is>
      </c>
      <c r="C53" s="9" t="inlineStr">
        <is>
          <t>Cháo lòng Tây Sơn</t>
        </is>
      </c>
      <c r="D53" s="8" t="inlineStr">
        <is>
          <t>Nhà hàng</t>
        </is>
      </c>
      <c r="E53" s="9" t="inlineStr">
        <is>
          <t>Khu vực Phường Tây Sơn, Pleiku</t>
        </is>
      </c>
      <c r="F53" s="9" t="inlineStr">
        <is>
          <t>Khu vực Phường Tây Sơn</t>
        </is>
      </c>
      <c r="G53" s="8" t="inlineStr">
        <is>
          <t>Phường Pleiku</t>
        </is>
      </c>
      <c r="H53" s="8" t="inlineStr">
        <is>
          <t>Tây Sơn</t>
        </is>
      </c>
      <c r="I53" s="10" t="inlineStr">
        <is>
          <t>Địa chỉ chưa có số nhà</t>
        </is>
      </c>
      <c r="J53" s="9" t="inlineStr">
        <is>
          <t>Danh sách tham khảo</t>
        </is>
      </c>
      <c r="K53" s="11" t="inlineStr">
        <is>
          <t>Bản đồ</t>
        </is>
      </c>
      <c r="L53" s="12" t="n"/>
      <c r="M53" s="13" t="n"/>
      <c r="N53" s="13" t="n"/>
      <c r="O53" s="13" t="n"/>
      <c r="P53" s="13" t="n"/>
      <c r="Q53" s="13" t="n"/>
      <c r="R53" s="13" t="n"/>
    </row>
    <row r="54">
      <c r="A54" s="8" t="n">
        <v>50</v>
      </c>
      <c r="B54" s="8" t="inlineStr">
        <is>
          <t>PK-050</t>
        </is>
      </c>
      <c r="C54" s="9" t="inlineStr">
        <is>
          <t>Lệ Bánh Cuốn Tây Sơn</t>
        </is>
      </c>
      <c r="D54" s="8" t="inlineStr">
        <is>
          <t>Nhà hàng</t>
        </is>
      </c>
      <c r="E54" s="9" t="inlineStr">
        <is>
          <t>Khu vực Phường Tây Sơn, Pleiku</t>
        </is>
      </c>
      <c r="F54" s="9" t="inlineStr">
        <is>
          <t>Khu vực Phường Tây Sơn</t>
        </is>
      </c>
      <c r="G54" s="8" t="inlineStr">
        <is>
          <t>Phường Pleiku</t>
        </is>
      </c>
      <c r="H54" s="8" t="inlineStr">
        <is>
          <t>Tây Sơn</t>
        </is>
      </c>
      <c r="I54" s="10" t="inlineStr">
        <is>
          <t>Địa chỉ chưa có số nhà</t>
        </is>
      </c>
      <c r="J54" s="9" t="inlineStr">
        <is>
          <t>Danh sách tham khảo</t>
        </is>
      </c>
      <c r="K54" s="11" t="inlineStr">
        <is>
          <t>Bản đồ</t>
        </is>
      </c>
      <c r="L54" s="12" t="n"/>
      <c r="M54" s="13" t="n"/>
      <c r="N54" s="13" t="n"/>
      <c r="O54" s="13" t="n"/>
      <c r="P54" s="13" t="n"/>
      <c r="Q54" s="13" t="n"/>
      <c r="R54" s="13" t="n"/>
    </row>
    <row r="55">
      <c r="A55" s="8" t="n">
        <v>51</v>
      </c>
      <c r="B55" s="8" t="inlineStr">
        <is>
          <t>PK-051</t>
        </is>
      </c>
      <c r="C55" s="9" t="inlineStr">
        <is>
          <t>TheHome Pleiku Beer n Chill</t>
        </is>
      </c>
      <c r="D55" s="8" t="inlineStr">
        <is>
          <t>Nhà hàng</t>
        </is>
      </c>
      <c r="E55" s="9" t="inlineStr">
        <is>
          <t>30 Kpă Klơng, Phường Hoa Lư, TP. Pleiku</t>
        </is>
      </c>
      <c r="F55" s="9" t="inlineStr">
        <is>
          <t>Kpă Klơng</t>
        </is>
      </c>
      <c r="G55" s="8" t="inlineStr">
        <is>
          <t>Phường Pleiku</t>
        </is>
      </c>
      <c r="H55" s="8" t="inlineStr">
        <is>
          <t>Hoa Lư</t>
        </is>
      </c>
      <c r="I55" s="9" t="inlineStr"/>
      <c r="J55" s="9" t="inlineStr">
        <is>
          <t>Danh sách tham khảo</t>
        </is>
      </c>
      <c r="K55" s="11" t="inlineStr">
        <is>
          <t>Bản đồ</t>
        </is>
      </c>
      <c r="L55" s="12" t="n"/>
      <c r="M55" s="13" t="n"/>
      <c r="N55" s="13" t="n"/>
      <c r="O55" s="13" t="n"/>
      <c r="P55" s="13" t="n"/>
      <c r="Q55" s="13" t="n"/>
      <c r="R55" s="13" t="n"/>
    </row>
    <row r="56">
      <c r="A56" s="8" t="n">
        <v>52</v>
      </c>
      <c r="B56" s="8" t="inlineStr">
        <is>
          <t>PK-052</t>
        </is>
      </c>
      <c r="C56" s="9" t="inlineStr">
        <is>
          <t>Cơm bigmom a chấn</t>
        </is>
      </c>
      <c r="D56" s="8" t="inlineStr">
        <is>
          <t>Nhà hàng</t>
        </is>
      </c>
      <c r="E56" s="9" t="inlineStr">
        <is>
          <t>15 Lê Duẩn, Phường Trà Bá, TP. Pleiku</t>
        </is>
      </c>
      <c r="F56" s="9" t="inlineStr">
        <is>
          <t>Lê Duẩn</t>
        </is>
      </c>
      <c r="G56" s="8" t="inlineStr">
        <is>
          <t>Phường Pleiku</t>
        </is>
      </c>
      <c r="H56" s="8" t="inlineStr">
        <is>
          <t>Trà Bá</t>
        </is>
      </c>
      <c r="I56" s="10" t="inlineStr">
        <is>
          <t>Địa chỉ ghi Phường Trà Bá nhưng vị trí thuộc Phường Pleiku</t>
        </is>
      </c>
      <c r="J56" s="9" t="inlineStr">
        <is>
          <t>Danh sách tham khảo</t>
        </is>
      </c>
      <c r="K56" s="11" t="inlineStr">
        <is>
          <t>Bản đồ</t>
        </is>
      </c>
      <c r="L56" s="12" t="n"/>
      <c r="M56" s="13" t="n"/>
      <c r="N56" s="13" t="n"/>
      <c r="O56" s="13" t="n"/>
      <c r="P56" s="13" t="n"/>
      <c r="Q56" s="13" t="n"/>
      <c r="R56" s="13" t="n"/>
    </row>
    <row r="57">
      <c r="A57" s="8" t="n">
        <v>53</v>
      </c>
      <c r="B57" s="8" t="inlineStr">
        <is>
          <t>PK-053</t>
        </is>
      </c>
      <c r="C57" s="9" t="inlineStr">
        <is>
          <t>Bún Đậu Gia Lai (Bà Năm)</t>
        </is>
      </c>
      <c r="D57" s="8" t="inlineStr">
        <is>
          <t>Nhà hàng</t>
        </is>
      </c>
      <c r="E57" s="9" t="inlineStr">
        <is>
          <t>23 Lê Duẩn, Phường Trà Bá, TP. Pleiku</t>
        </is>
      </c>
      <c r="F57" s="9" t="inlineStr">
        <is>
          <t>Lê Duẩn</t>
        </is>
      </c>
      <c r="G57" s="8" t="inlineStr">
        <is>
          <t>Phường Pleiku</t>
        </is>
      </c>
      <c r="H57" s="8" t="inlineStr">
        <is>
          <t>Trà Bá</t>
        </is>
      </c>
      <c r="I57" s="10" t="inlineStr">
        <is>
          <t>Địa chỉ ghi Phường Trà Bá nhưng vị trí thuộc Phường Pleiku</t>
        </is>
      </c>
      <c r="J57" s="9" t="inlineStr">
        <is>
          <t>Danh sách tham khảo</t>
        </is>
      </c>
      <c r="K57" s="11" t="inlineStr">
        <is>
          <t>Bản đồ</t>
        </is>
      </c>
      <c r="L57" s="12" t="n"/>
      <c r="M57" s="13" t="n"/>
      <c r="N57" s="13" t="n"/>
      <c r="O57" s="13" t="n"/>
      <c r="P57" s="13" t="n"/>
      <c r="Q57" s="13" t="n"/>
      <c r="R57" s="13" t="n"/>
    </row>
    <row r="58">
      <c r="A58" s="8" t="n">
        <v>54</v>
      </c>
      <c r="B58" s="8" t="inlineStr">
        <is>
          <t>PK-054</t>
        </is>
      </c>
      <c r="C58" s="9" t="inlineStr">
        <is>
          <t>Bê Thui Hương Sơn</t>
        </is>
      </c>
      <c r="D58" s="8" t="inlineStr">
        <is>
          <t>Nhà hàng</t>
        </is>
      </c>
      <c r="E58" s="9" t="inlineStr">
        <is>
          <t>126 Lê Duẩn, Phường Trà Bá, TP. Pleiku</t>
        </is>
      </c>
      <c r="F58" s="9" t="inlineStr">
        <is>
          <t>Lê Duẩn</t>
        </is>
      </c>
      <c r="G58" s="8" t="inlineStr">
        <is>
          <t>Phường Pleiku</t>
        </is>
      </c>
      <c r="H58" s="8" t="inlineStr">
        <is>
          <t>Trà Bá</t>
        </is>
      </c>
      <c r="I58" s="10" t="inlineStr">
        <is>
          <t>Địa chỉ ghi Phường Trà Bá nhưng vị trí thuộc Phường Pleiku</t>
        </is>
      </c>
      <c r="J58" s="9" t="inlineStr">
        <is>
          <t>Danh sách tham khảo</t>
        </is>
      </c>
      <c r="K58" s="11" t="inlineStr">
        <is>
          <t>Bản đồ</t>
        </is>
      </c>
      <c r="L58" s="12" t="n"/>
      <c r="M58" s="13" t="n"/>
      <c r="N58" s="13" t="n"/>
      <c r="O58" s="13" t="n"/>
      <c r="P58" s="13" t="n"/>
      <c r="Q58" s="13" t="n"/>
      <c r="R58" s="13" t="n"/>
    </row>
    <row r="59">
      <c r="A59" s="8" t="n">
        <v>55</v>
      </c>
      <c r="B59" s="8" t="inlineStr">
        <is>
          <t>PK-055</t>
        </is>
      </c>
      <c r="C59" s="9" t="inlineStr">
        <is>
          <t>MOUNTAIN GREEN RENTAL VF3 &amp; A WEO QUÁN</t>
        </is>
      </c>
      <c r="D59" s="8" t="inlineStr">
        <is>
          <t>Nhà hàng</t>
        </is>
      </c>
      <c r="E59" s="9" t="inlineStr">
        <is>
          <t>42/28 Lê Lợi, Phường Hội Thương, TP. Pleiku</t>
        </is>
      </c>
      <c r="F59" s="9" t="inlineStr">
        <is>
          <t>Lê Lợi</t>
        </is>
      </c>
      <c r="G59" s="8" t="inlineStr">
        <is>
          <t>Phường Pleiku</t>
        </is>
      </c>
      <c r="H59" s="8" t="inlineStr">
        <is>
          <t>Hội Thương</t>
        </is>
      </c>
      <c r="I59" s="9" t="inlineStr"/>
      <c r="J59" s="9" t="inlineStr">
        <is>
          <t>Danh sách tham khảo</t>
        </is>
      </c>
      <c r="K59" s="11" t="inlineStr">
        <is>
          <t>Bản đồ</t>
        </is>
      </c>
      <c r="L59" s="12" t="n"/>
      <c r="M59" s="13" t="n"/>
      <c r="N59" s="13" t="n"/>
      <c r="O59" s="13" t="n"/>
      <c r="P59" s="13" t="n"/>
      <c r="Q59" s="13" t="n"/>
      <c r="R59" s="13" t="n"/>
    </row>
    <row r="60">
      <c r="A60" s="8" t="n">
        <v>56</v>
      </c>
      <c r="B60" s="8" t="inlineStr">
        <is>
          <t>PK-056</t>
        </is>
      </c>
      <c r="C60" s="9" t="inlineStr">
        <is>
          <t>Ăn Vặt Gia Lai</t>
        </is>
      </c>
      <c r="D60" s="8" t="inlineStr">
        <is>
          <t>Nhà hàng</t>
        </is>
      </c>
      <c r="E60" s="9" t="inlineStr">
        <is>
          <t>142 Lê Lợi, Phường Hoa Lư, TP. Pleiku</t>
        </is>
      </c>
      <c r="F60" s="9" t="inlineStr">
        <is>
          <t>Lê Lợi</t>
        </is>
      </c>
      <c r="G60" s="8" t="inlineStr">
        <is>
          <t>Phường Pleiku</t>
        </is>
      </c>
      <c r="H60" s="8" t="inlineStr">
        <is>
          <t>Hoa Lư</t>
        </is>
      </c>
      <c r="I60" s="9" t="inlineStr"/>
      <c r="J60" s="9" t="inlineStr">
        <is>
          <t>Danh sách tham khảo</t>
        </is>
      </c>
      <c r="K60" s="11" t="inlineStr">
        <is>
          <t>Bản đồ</t>
        </is>
      </c>
      <c r="L60" s="12" t="n"/>
      <c r="M60" s="13" t="n"/>
      <c r="N60" s="13" t="n"/>
      <c r="O60" s="13" t="n"/>
      <c r="P60" s="13" t="n"/>
      <c r="Q60" s="13" t="n"/>
      <c r="R60" s="13" t="n"/>
    </row>
    <row r="61">
      <c r="A61" s="8" t="n">
        <v>57</v>
      </c>
      <c r="B61" s="8" t="inlineStr">
        <is>
          <t>PK-057</t>
        </is>
      </c>
      <c r="C61" s="9" t="inlineStr">
        <is>
          <t>The Wind Coffee</t>
        </is>
      </c>
      <c r="D61" s="8" t="inlineStr">
        <is>
          <t>Quán cà phê</t>
        </is>
      </c>
      <c r="E61" s="9" t="inlineStr">
        <is>
          <t>52 Lê Văn Tám, Pleiku, Gia Lai 600000, Việt Nam</t>
        </is>
      </c>
      <c r="F61" s="9" t="inlineStr">
        <is>
          <t>Lê Văn Tám</t>
        </is>
      </c>
      <c r="G61" s="8" t="inlineStr">
        <is>
          <t>Phường Pleiku</t>
        </is>
      </c>
      <c r="H61" s="8" t="inlineStr"/>
      <c r="I61" s="10" t="inlineStr">
        <is>
          <t>Đã có trên bản đồ – kiểm tra &amp; bổ sung</t>
        </is>
      </c>
      <c r="J61" s="9" t="inlineStr">
        <is>
          <t>Hệ thống</t>
        </is>
      </c>
      <c r="K61" s="11" t="inlineStr">
        <is>
          <t>Bản đồ</t>
        </is>
      </c>
      <c r="L61" s="12" t="n"/>
      <c r="M61" s="13" t="n"/>
      <c r="N61" s="13" t="n"/>
      <c r="O61" s="13" t="n"/>
      <c r="P61" s="13" t="n"/>
      <c r="Q61" s="13" t="n"/>
      <c r="R61" s="13" t="n"/>
    </row>
    <row r="62">
      <c r="A62" s="8" t="n">
        <v>58</v>
      </c>
      <c r="B62" s="8" t="inlineStr">
        <is>
          <t>PK-058</t>
        </is>
      </c>
      <c r="C62" s="9" t="inlineStr">
        <is>
          <t>Quán Nhà Hạnh</t>
        </is>
      </c>
      <c r="D62" s="8" t="inlineStr">
        <is>
          <t>Nhà hàng</t>
        </is>
      </c>
      <c r="E62" s="9" t="inlineStr">
        <is>
          <t>25 Lý Nam Đế, Phường Phù Đổng, TP. Pleiku</t>
        </is>
      </c>
      <c r="F62" s="9" t="inlineStr">
        <is>
          <t>Lý Nam Đế</t>
        </is>
      </c>
      <c r="G62" s="8" t="inlineStr">
        <is>
          <t>Phường Pleiku</t>
        </is>
      </c>
      <c r="H62" s="8" t="inlineStr">
        <is>
          <t>Phù Đổng</t>
        </is>
      </c>
      <c r="I62" s="9" t="inlineStr"/>
      <c r="J62" s="9" t="inlineStr">
        <is>
          <t>Danh sách tham khảo</t>
        </is>
      </c>
      <c r="K62" s="11" t="inlineStr">
        <is>
          <t>Bản đồ</t>
        </is>
      </c>
      <c r="L62" s="12" t="n"/>
      <c r="M62" s="13" t="n"/>
      <c r="N62" s="13" t="n"/>
      <c r="O62" s="13" t="n"/>
      <c r="P62" s="13" t="n"/>
      <c r="Q62" s="13" t="n"/>
      <c r="R62" s="13" t="n"/>
    </row>
    <row r="63">
      <c r="A63" s="8" t="n">
        <v>59</v>
      </c>
      <c r="B63" s="8" t="inlineStr">
        <is>
          <t>PK-059</t>
        </is>
      </c>
      <c r="C63" s="9" t="inlineStr">
        <is>
          <t>Đặc Sản Lươn Niêu 37</t>
        </is>
      </c>
      <c r="D63" s="8" t="inlineStr">
        <is>
          <t>Nhà hàng</t>
        </is>
      </c>
      <c r="E63" s="9" t="inlineStr">
        <is>
          <t>19 Lý Tự Trọng, Phường Diên Hồng, TP. Pleiku</t>
        </is>
      </c>
      <c r="F63" s="9" t="inlineStr">
        <is>
          <t>Lý Tự Trọng</t>
        </is>
      </c>
      <c r="G63" s="8" t="inlineStr">
        <is>
          <t>Phường Pleiku</t>
        </is>
      </c>
      <c r="H63" s="8" t="inlineStr">
        <is>
          <t>Diên Hồng</t>
        </is>
      </c>
      <c r="I63" s="10" t="inlineStr">
        <is>
          <t>Địa chỉ ghi Phường Diên Hồng nhưng vị trí thuộc Phường Pleiku</t>
        </is>
      </c>
      <c r="J63" s="9" t="inlineStr">
        <is>
          <t>Danh sách tham khảo</t>
        </is>
      </c>
      <c r="K63" s="11" t="inlineStr">
        <is>
          <t>Bản đồ</t>
        </is>
      </c>
      <c r="L63" s="12" t="n"/>
      <c r="M63" s="13" t="n"/>
      <c r="N63" s="13" t="n"/>
      <c r="O63" s="13" t="n"/>
      <c r="P63" s="13" t="n"/>
      <c r="Q63" s="13" t="n"/>
      <c r="R63" s="13" t="n"/>
    </row>
    <row r="64">
      <c r="A64" s="8" t="n">
        <v>60</v>
      </c>
      <c r="B64" s="8" t="inlineStr">
        <is>
          <t>PK-060</t>
        </is>
      </c>
      <c r="C64" s="9" t="inlineStr">
        <is>
          <t>Bếp Ăn Ngon</t>
        </is>
      </c>
      <c r="D64" s="8" t="inlineStr">
        <is>
          <t>Nhà hàng</t>
        </is>
      </c>
      <c r="E64" s="9" t="inlineStr">
        <is>
          <t>37/9 Lý Tự Trọng, Phường Tây Sơn, TP. Pleiku</t>
        </is>
      </c>
      <c r="F64" s="9" t="inlineStr">
        <is>
          <t>Lý Tự Trọng</t>
        </is>
      </c>
      <c r="G64" s="8" t="inlineStr">
        <is>
          <t>Phường Pleiku</t>
        </is>
      </c>
      <c r="H64" s="8" t="inlineStr">
        <is>
          <t>Tây Sơn</t>
        </is>
      </c>
      <c r="I64" s="10" t="inlineStr">
        <is>
          <t>Đã có trên bản đồ – kiểm tra &amp; bổ sung</t>
        </is>
      </c>
      <c r="J64" s="9" t="inlineStr">
        <is>
          <t>Danh sách tham khảo, Hệ thống</t>
        </is>
      </c>
      <c r="K64" s="11" t="inlineStr">
        <is>
          <t>Bản đồ</t>
        </is>
      </c>
      <c r="L64" s="12" t="n"/>
      <c r="M64" s="13" t="n"/>
      <c r="N64" s="13" t="n"/>
      <c r="O64" s="13" t="n"/>
      <c r="P64" s="13" t="n"/>
      <c r="Q64" s="13" t="n"/>
      <c r="R64" s="13" t="n"/>
    </row>
    <row r="65">
      <c r="A65" s="8" t="n">
        <v>61</v>
      </c>
      <c r="B65" s="8" t="inlineStr">
        <is>
          <t>PK-061</t>
        </is>
      </c>
      <c r="C65" s="9" t="inlineStr">
        <is>
          <t>Quán Nhà Tôi</t>
        </is>
      </c>
      <c r="D65" s="8" t="inlineStr">
        <is>
          <t>Nhà hàng</t>
        </is>
      </c>
      <c r="E65" s="9" t="inlineStr">
        <is>
          <t>439 Đường Ngô Quyền, Phường Hội Thương, TP. Pleiku</t>
        </is>
      </c>
      <c r="F65" s="9" t="inlineStr">
        <is>
          <t>Ngô Quyền</t>
        </is>
      </c>
      <c r="G65" s="8" t="inlineStr">
        <is>
          <t>Phường Pleiku</t>
        </is>
      </c>
      <c r="H65" s="8" t="inlineStr">
        <is>
          <t>Hội Thương</t>
        </is>
      </c>
      <c r="I65" s="10" t="inlineStr">
        <is>
          <t>Đã có trên bản đồ – kiểm tra &amp; bổ sung</t>
        </is>
      </c>
      <c r="J65" s="9" t="inlineStr">
        <is>
          <t>Danh sách tham khảo, Hệ thống</t>
        </is>
      </c>
      <c r="K65" s="11" t="inlineStr">
        <is>
          <t>Bản đồ</t>
        </is>
      </c>
      <c r="L65" s="12" t="n"/>
      <c r="M65" s="13" t="n"/>
      <c r="N65" s="13" t="n"/>
      <c r="O65" s="13" t="n"/>
      <c r="P65" s="13" t="n"/>
      <c r="Q65" s="13" t="n"/>
      <c r="R65" s="13" t="n"/>
    </row>
    <row r="66">
      <c r="A66" s="8" t="n">
        <v>62</v>
      </c>
      <c r="B66" s="8" t="inlineStr">
        <is>
          <t>PK-062</t>
        </is>
      </c>
      <c r="C66" s="9" t="inlineStr">
        <is>
          <t>Pleiku Myhome</t>
        </is>
      </c>
      <c r="D66" s="8" t="inlineStr">
        <is>
          <t>Nhà hàng</t>
        </is>
      </c>
      <c r="E66" s="9" t="inlineStr">
        <is>
          <t>Đường Ngô Quyền, Phường Diên Hồng, TP. Pleiku</t>
        </is>
      </c>
      <c r="F66" s="9" t="inlineStr">
        <is>
          <t>Ngô Quyền</t>
        </is>
      </c>
      <c r="G66" s="8" t="inlineStr">
        <is>
          <t>Phường Pleiku</t>
        </is>
      </c>
      <c r="H66" s="8" t="inlineStr">
        <is>
          <t>Diên Hồng</t>
        </is>
      </c>
      <c r="I66" s="10" t="inlineStr">
        <is>
          <t>Địa chỉ ghi Phường Diên Hồng nhưng vị trí thuộc Phường Pleiku; Địa chỉ chưa có số nhà</t>
        </is>
      </c>
      <c r="J66" s="9" t="inlineStr">
        <is>
          <t>Danh sách tham khảo</t>
        </is>
      </c>
      <c r="K66" s="11" t="inlineStr">
        <is>
          <t>Bản đồ</t>
        </is>
      </c>
      <c r="L66" s="12" t="n"/>
      <c r="M66" s="13" t="n"/>
      <c r="N66" s="13" t="n"/>
      <c r="O66" s="13" t="n"/>
      <c r="P66" s="13" t="n"/>
      <c r="Q66" s="13" t="n"/>
      <c r="R66" s="13" t="n"/>
    </row>
    <row r="67">
      <c r="A67" s="8" t="n">
        <v>63</v>
      </c>
      <c r="B67" s="8" t="inlineStr">
        <is>
          <t>PK-063</t>
        </is>
      </c>
      <c r="C67" s="9" t="inlineStr">
        <is>
          <t>Đất bán</t>
        </is>
      </c>
      <c r="D67" s="8" t="inlineStr">
        <is>
          <t>Nhà hàng</t>
        </is>
      </c>
      <c r="E67" s="9" t="inlineStr">
        <is>
          <t>19 Ngô Thì Nhậm, Phường Trà Bá, TP. Pleiku</t>
        </is>
      </c>
      <c r="F67" s="9" t="inlineStr">
        <is>
          <t>Ngô Thì Nhậm</t>
        </is>
      </c>
      <c r="G67" s="8" t="inlineStr">
        <is>
          <t>Phường Pleiku</t>
        </is>
      </c>
      <c r="H67" s="8" t="inlineStr">
        <is>
          <t>Trà Bá</t>
        </is>
      </c>
      <c r="I67" s="10" t="inlineStr">
        <is>
          <t>Địa chỉ ghi Phường Trà Bá nhưng vị trí thuộc Phường Pleiku</t>
        </is>
      </c>
      <c r="J67" s="9" t="inlineStr">
        <is>
          <t>Danh sách tham khảo</t>
        </is>
      </c>
      <c r="K67" s="11" t="inlineStr">
        <is>
          <t>Bản đồ</t>
        </is>
      </c>
      <c r="L67" s="12" t="n"/>
      <c r="M67" s="13" t="n"/>
      <c r="N67" s="13" t="n"/>
      <c r="O67" s="13" t="n"/>
      <c r="P67" s="13" t="n"/>
      <c r="Q67" s="13" t="n"/>
      <c r="R67" s="13" t="n"/>
    </row>
    <row r="68">
      <c r="A68" s="8" t="n">
        <v>64</v>
      </c>
      <c r="B68" s="8" t="inlineStr">
        <is>
          <t>PK-064</t>
        </is>
      </c>
      <c r="C68" s="9" t="inlineStr">
        <is>
          <t>Cà Phê Hồn Gỗ</t>
        </is>
      </c>
      <c r="D68" s="8" t="inlineStr">
        <is>
          <t>Quán cà phê</t>
        </is>
      </c>
      <c r="E68" s="9" t="inlineStr">
        <is>
          <t>87 Ngô Thì Nhậm, Phường Trà Bá, TP. Pleiku</t>
        </is>
      </c>
      <c r="F68" s="9" t="inlineStr">
        <is>
          <t>Ngô Thì Nhậm</t>
        </is>
      </c>
      <c r="G68" s="8" t="inlineStr">
        <is>
          <t>Phường Pleiku</t>
        </is>
      </c>
      <c r="H68" s="8" t="inlineStr">
        <is>
          <t>Trà Bá</t>
        </is>
      </c>
      <c r="I68" s="10" t="inlineStr">
        <is>
          <t>Địa chỉ ghi Phường Trà Bá nhưng vị trí thuộc Phường Pleiku</t>
        </is>
      </c>
      <c r="J68" s="9" t="inlineStr">
        <is>
          <t>Danh sách tham khảo</t>
        </is>
      </c>
      <c r="K68" s="11" t="inlineStr">
        <is>
          <t>Bản đồ</t>
        </is>
      </c>
      <c r="L68" s="12" t="n"/>
      <c r="M68" s="13" t="n"/>
      <c r="N68" s="13" t="n"/>
      <c r="O68" s="13" t="n"/>
      <c r="P68" s="13" t="n"/>
      <c r="Q68" s="13" t="n"/>
      <c r="R68" s="13" t="n"/>
    </row>
    <row r="69">
      <c r="A69" s="8" t="n">
        <v>65</v>
      </c>
      <c r="B69" s="8" t="inlineStr">
        <is>
          <t>PK-065</t>
        </is>
      </c>
      <c r="C69" s="9" t="inlineStr">
        <is>
          <t>QUÁN NHẬU BÌNH DÂN HƯƠNG RỪNG TÂY NGUYÊN</t>
        </is>
      </c>
      <c r="D69" s="8" t="inlineStr">
        <is>
          <t>Nhà hàng</t>
        </is>
      </c>
      <c r="E69" s="9" t="inlineStr">
        <is>
          <t>3 Nguyễn Bá Lân, Phường Hoa Lư, TP. Pleiku</t>
        </is>
      </c>
      <c r="F69" s="9" t="inlineStr">
        <is>
          <t>Nguyễn Bá Lân</t>
        </is>
      </c>
      <c r="G69" s="8" t="inlineStr">
        <is>
          <t>Phường Pleiku</t>
        </is>
      </c>
      <c r="H69" s="8" t="inlineStr">
        <is>
          <t>Hoa Lư</t>
        </is>
      </c>
      <c r="I69" s="9" t="inlineStr"/>
      <c r="J69" s="9" t="inlineStr">
        <is>
          <t>Danh sách tham khảo</t>
        </is>
      </c>
      <c r="K69" s="11" t="inlineStr">
        <is>
          <t>Bản đồ</t>
        </is>
      </c>
      <c r="L69" s="12" t="n"/>
      <c r="M69" s="13" t="n"/>
      <c r="N69" s="13" t="n"/>
      <c r="O69" s="13" t="n"/>
      <c r="P69" s="13" t="n"/>
      <c r="Q69" s="13" t="n"/>
      <c r="R69" s="13" t="n"/>
    </row>
    <row r="70">
      <c r="A70" s="8" t="n">
        <v>66</v>
      </c>
      <c r="B70" s="8" t="inlineStr">
        <is>
          <t>PK-066</t>
        </is>
      </c>
      <c r="C70" s="9" t="inlineStr">
        <is>
          <t>Mì Quảng Xí</t>
        </is>
      </c>
      <c r="D70" s="8" t="inlineStr">
        <is>
          <t>Nhà hàng</t>
        </is>
      </c>
      <c r="E70" s="9" t="inlineStr">
        <is>
          <t>12/1 Nguyễn Đình Chiểu, Phường Tây Sơn, TP. Pleiku</t>
        </is>
      </c>
      <c r="F70" s="9" t="inlineStr">
        <is>
          <t>Nguyễn Đình Chiểu</t>
        </is>
      </c>
      <c r="G70" s="8" t="inlineStr">
        <is>
          <t>Phường Pleiku</t>
        </is>
      </c>
      <c r="H70" s="8" t="inlineStr">
        <is>
          <t>Tây Sơn</t>
        </is>
      </c>
      <c r="I70" s="9" t="inlineStr"/>
      <c r="J70" s="9" t="inlineStr">
        <is>
          <t>Danh sách tham khảo</t>
        </is>
      </c>
      <c r="K70" s="11" t="inlineStr">
        <is>
          <t>Bản đồ</t>
        </is>
      </c>
      <c r="L70" s="12" t="n"/>
      <c r="M70" s="13" t="n"/>
      <c r="N70" s="13" t="n"/>
      <c r="O70" s="13" t="n"/>
      <c r="P70" s="13" t="n"/>
      <c r="Q70" s="13" t="n"/>
      <c r="R70" s="13" t="n"/>
    </row>
    <row r="71">
      <c r="A71" s="8" t="n">
        <v>67</v>
      </c>
      <c r="B71" s="8" t="inlineStr">
        <is>
          <t>PK-067</t>
        </is>
      </c>
      <c r="C71" s="9" t="inlineStr">
        <is>
          <t>Phố mỳ cay seoul 12 cấp độ</t>
        </is>
      </c>
      <c r="D71" s="8" t="inlineStr">
        <is>
          <t>Nhà hàng</t>
        </is>
      </c>
      <c r="E71" s="9" t="inlineStr">
        <is>
          <t>14 Nguyễn Đình Chiểu, Phường Tây Sơn, TP. Pleiku</t>
        </is>
      </c>
      <c r="F71" s="9" t="inlineStr">
        <is>
          <t>Nguyễn Đình Chiểu</t>
        </is>
      </c>
      <c r="G71" s="8" t="inlineStr">
        <is>
          <t>Phường Pleiku</t>
        </is>
      </c>
      <c r="H71" s="8" t="inlineStr">
        <is>
          <t>Tây Sơn</t>
        </is>
      </c>
      <c r="I71" s="9" t="inlineStr"/>
      <c r="J71" s="9" t="inlineStr">
        <is>
          <t>Danh sách tham khảo</t>
        </is>
      </c>
      <c r="K71" s="11" t="inlineStr">
        <is>
          <t>Bản đồ</t>
        </is>
      </c>
      <c r="L71" s="12" t="n"/>
      <c r="M71" s="13" t="n"/>
      <c r="N71" s="13" t="n"/>
      <c r="O71" s="13" t="n"/>
      <c r="P71" s="13" t="n"/>
      <c r="Q71" s="13" t="n"/>
      <c r="R71" s="13" t="n"/>
    </row>
    <row r="72">
      <c r="A72" s="8" t="n">
        <v>68</v>
      </c>
      <c r="B72" s="8" t="inlineStr">
        <is>
          <t>PK-068</t>
        </is>
      </c>
      <c r="C72" s="9" t="inlineStr">
        <is>
          <t>Quán bà Xưa - Bánh bèo thập cẩm, Bánh bột lọc nóng.</t>
        </is>
      </c>
      <c r="D72" s="8" t="inlineStr">
        <is>
          <t>Nhà hàng</t>
        </is>
      </c>
      <c r="E72" s="9" t="inlineStr">
        <is>
          <t>24 Nguyễn Đình Chiểu, Phường Tây Sơn, TP. Pleiku</t>
        </is>
      </c>
      <c r="F72" s="9" t="inlineStr">
        <is>
          <t>Nguyễn Đình Chiểu</t>
        </is>
      </c>
      <c r="G72" s="8" t="inlineStr">
        <is>
          <t>Phường Pleiku</t>
        </is>
      </c>
      <c r="H72" s="8" t="inlineStr">
        <is>
          <t>Tây Sơn</t>
        </is>
      </c>
      <c r="I72" s="10" t="inlineStr">
        <is>
          <t>Đã có trên bản đồ – kiểm tra &amp; bổ sung</t>
        </is>
      </c>
      <c r="J72" s="9" t="inlineStr">
        <is>
          <t>Danh sách tham khảo, Hệ thống</t>
        </is>
      </c>
      <c r="K72" s="11" t="inlineStr">
        <is>
          <t>Bản đồ</t>
        </is>
      </c>
      <c r="L72" s="12" t="n"/>
      <c r="M72" s="13" t="n"/>
      <c r="N72" s="13" t="n"/>
      <c r="O72" s="13" t="n"/>
      <c r="P72" s="13" t="n"/>
      <c r="Q72" s="13" t="n"/>
      <c r="R72" s="13" t="n"/>
    </row>
    <row r="73">
      <c r="A73" s="8" t="n">
        <v>69</v>
      </c>
      <c r="B73" s="8" t="inlineStr">
        <is>
          <t>PK-069</t>
        </is>
      </c>
      <c r="C73" s="9" t="inlineStr">
        <is>
          <t>Phở Khô Gia Truyền Gia Lai - Hạnh 333</t>
        </is>
      </c>
      <c r="D73" s="8" t="inlineStr">
        <is>
          <t>Nhà hàng</t>
        </is>
      </c>
      <c r="E73" s="9" t="inlineStr">
        <is>
          <t>25/22 Nguyễn Đình Chiểu, Phường Tây Sơn, TP. Pleiku</t>
        </is>
      </c>
      <c r="F73" s="9" t="inlineStr">
        <is>
          <t>Nguyễn Đình Chiểu</t>
        </is>
      </c>
      <c r="G73" s="8" t="inlineStr">
        <is>
          <t>Phường Pleiku</t>
        </is>
      </c>
      <c r="H73" s="8" t="inlineStr">
        <is>
          <t>Tây Sơn</t>
        </is>
      </c>
      <c r="I73" s="9" t="inlineStr"/>
      <c r="J73" s="9" t="inlineStr">
        <is>
          <t>Danh sách tham khảo</t>
        </is>
      </c>
      <c r="K73" s="11" t="inlineStr">
        <is>
          <t>Bản đồ</t>
        </is>
      </c>
      <c r="L73" s="12" t="n"/>
      <c r="M73" s="13" t="n"/>
      <c r="N73" s="13" t="n"/>
      <c r="O73" s="13" t="n"/>
      <c r="P73" s="13" t="n"/>
      <c r="Q73" s="13" t="n"/>
      <c r="R73" s="13" t="n"/>
    </row>
    <row r="74">
      <c r="A74" s="8" t="n">
        <v>70</v>
      </c>
      <c r="B74" s="8" t="inlineStr">
        <is>
          <t>PK-070</t>
        </is>
      </c>
      <c r="C74" s="9" t="inlineStr">
        <is>
          <t>DÊ NÚI NINH BÌNH</t>
        </is>
      </c>
      <c r="D74" s="8" t="inlineStr">
        <is>
          <t>Nhà hàng</t>
        </is>
      </c>
      <c r="E74" s="9" t="inlineStr">
        <is>
          <t>42 Nguyễn Đình Chiểu, Phường Tây Sơn, TP. Pleiku</t>
        </is>
      </c>
      <c r="F74" s="9" t="inlineStr">
        <is>
          <t>Nguyễn Đình Chiểu</t>
        </is>
      </c>
      <c r="G74" s="8" t="inlineStr">
        <is>
          <t>Phường Pleiku</t>
        </is>
      </c>
      <c r="H74" s="8" t="inlineStr">
        <is>
          <t>Tây Sơn</t>
        </is>
      </c>
      <c r="I74" s="9" t="inlineStr"/>
      <c r="J74" s="9" t="inlineStr">
        <is>
          <t>Danh sách tham khảo</t>
        </is>
      </c>
      <c r="K74" s="11" t="inlineStr">
        <is>
          <t>Bản đồ</t>
        </is>
      </c>
      <c r="L74" s="12" t="n"/>
      <c r="M74" s="13" t="n"/>
      <c r="N74" s="13" t="n"/>
      <c r="O74" s="13" t="n"/>
      <c r="P74" s="13" t="n"/>
      <c r="Q74" s="13" t="n"/>
      <c r="R74" s="13" t="n"/>
    </row>
    <row r="75">
      <c r="A75" s="8" t="n">
        <v>71</v>
      </c>
      <c r="B75" s="8" t="inlineStr">
        <is>
          <t>PK-071</t>
        </is>
      </c>
      <c r="C75" s="9" t="inlineStr">
        <is>
          <t>Quán 61</t>
        </is>
      </c>
      <c r="D75" s="8" t="inlineStr">
        <is>
          <t>Nhà hàng</t>
        </is>
      </c>
      <c r="E75" s="9" t="inlineStr">
        <is>
          <t>61 Nguyễn Đình Chiểu, Phường Tây Sơn, TP. Pleiku</t>
        </is>
      </c>
      <c r="F75" s="9" t="inlineStr">
        <is>
          <t>Nguyễn Đình Chiểu</t>
        </is>
      </c>
      <c r="G75" s="8" t="inlineStr">
        <is>
          <t>Phường Pleiku</t>
        </is>
      </c>
      <c r="H75" s="8" t="inlineStr">
        <is>
          <t>Tây Sơn</t>
        </is>
      </c>
      <c r="I75" s="10" t="inlineStr">
        <is>
          <t>Đã có trên bản đồ – kiểm tra &amp; bổ sung</t>
        </is>
      </c>
      <c r="J75" s="9" t="inlineStr">
        <is>
          <t>Danh sách tham khảo, Hệ thống</t>
        </is>
      </c>
      <c r="K75" s="11" t="inlineStr">
        <is>
          <t>Bản đồ</t>
        </is>
      </c>
      <c r="L75" s="12" t="n"/>
      <c r="M75" s="13" t="n"/>
      <c r="N75" s="13" t="n"/>
      <c r="O75" s="13" t="n"/>
      <c r="P75" s="13" t="n"/>
      <c r="Q75" s="13" t="n"/>
      <c r="R75" s="13" t="n"/>
    </row>
    <row r="76">
      <c r="A76" s="8" t="n">
        <v>72</v>
      </c>
      <c r="B76" s="8" t="inlineStr">
        <is>
          <t>PK-072</t>
        </is>
      </c>
      <c r="C76" s="9" t="inlineStr">
        <is>
          <t>Quán Phở Khô 333</t>
        </is>
      </c>
      <c r="D76" s="8" t="inlineStr">
        <is>
          <t>Nhà hàng</t>
        </is>
      </c>
      <c r="E76" s="9" t="inlineStr">
        <is>
          <t>34 Nguyễn Du, Phường Tây Sơn, TP. Pleiku</t>
        </is>
      </c>
      <c r="F76" s="9" t="inlineStr">
        <is>
          <t>Nguyễn Du</t>
        </is>
      </c>
      <c r="G76" s="8" t="inlineStr">
        <is>
          <t>Phường Pleiku</t>
        </is>
      </c>
      <c r="H76" s="8" t="inlineStr">
        <is>
          <t>Tây Sơn</t>
        </is>
      </c>
      <c r="I76" s="10" t="inlineStr">
        <is>
          <t>Đã có trên bản đồ – kiểm tra &amp; bổ sung</t>
        </is>
      </c>
      <c r="J76" s="9" t="inlineStr">
        <is>
          <t>Danh sách tham khảo, Hệ thống</t>
        </is>
      </c>
      <c r="K76" s="11" t="inlineStr">
        <is>
          <t>Bản đồ</t>
        </is>
      </c>
      <c r="L76" s="12" t="n"/>
      <c r="M76" s="13" t="n"/>
      <c r="N76" s="13" t="n"/>
      <c r="O76" s="13" t="n"/>
      <c r="P76" s="13" t="n"/>
      <c r="Q76" s="13" t="n"/>
      <c r="R76" s="13" t="n"/>
    </row>
    <row r="77">
      <c r="A77" s="8" t="n">
        <v>73</v>
      </c>
      <c r="B77" s="8" t="inlineStr">
        <is>
          <t>PK-073</t>
        </is>
      </c>
      <c r="C77" s="9" t="inlineStr">
        <is>
          <t>Quán Linh Sơn</t>
        </is>
      </c>
      <c r="D77" s="8" t="inlineStr">
        <is>
          <t>Nhà hàng</t>
        </is>
      </c>
      <c r="E77" s="9" t="inlineStr">
        <is>
          <t>45 Nguyễn Du, Phường Tây Sơn, TP. Pleiku</t>
        </is>
      </c>
      <c r="F77" s="9" t="inlineStr">
        <is>
          <t>Nguyễn Du</t>
        </is>
      </c>
      <c r="G77" s="8" t="inlineStr">
        <is>
          <t>Phường Pleiku</t>
        </is>
      </c>
      <c r="H77" s="8" t="inlineStr">
        <is>
          <t>Tây Sơn</t>
        </is>
      </c>
      <c r="I77" s="9" t="inlineStr"/>
      <c r="J77" s="9" t="inlineStr">
        <is>
          <t>Danh sách tham khảo</t>
        </is>
      </c>
      <c r="K77" s="11" t="inlineStr">
        <is>
          <t>Bản đồ</t>
        </is>
      </c>
      <c r="L77" s="12" t="n"/>
      <c r="M77" s="13" t="n"/>
      <c r="N77" s="13" t="n"/>
      <c r="O77" s="13" t="n"/>
      <c r="P77" s="13" t="n"/>
      <c r="Q77" s="13" t="n"/>
      <c r="R77" s="13" t="n"/>
    </row>
    <row r="78">
      <c r="A78" s="8" t="n">
        <v>74</v>
      </c>
      <c r="B78" s="8" t="inlineStr">
        <is>
          <t>PK-074</t>
        </is>
      </c>
      <c r="C78" s="9" t="inlineStr">
        <is>
          <t>Quán Phở Nữ</t>
        </is>
      </c>
      <c r="D78" s="8" t="inlineStr">
        <is>
          <t>Nhà hàng</t>
        </is>
      </c>
      <c r="E78" s="9" t="inlineStr">
        <is>
          <t>48 Nguyễn Du, Phường Tây Sơn, TP. Pleiku</t>
        </is>
      </c>
      <c r="F78" s="9" t="inlineStr">
        <is>
          <t>Nguyễn Du</t>
        </is>
      </c>
      <c r="G78" s="8" t="inlineStr">
        <is>
          <t>Phường Pleiku</t>
        </is>
      </c>
      <c r="H78" s="8" t="inlineStr">
        <is>
          <t>Tây Sơn</t>
        </is>
      </c>
      <c r="I78" s="10" t="inlineStr">
        <is>
          <t>Đã có trên bản đồ – kiểm tra &amp; bổ sung</t>
        </is>
      </c>
      <c r="J78" s="9" t="inlineStr">
        <is>
          <t>Danh sách tham khảo, Hệ thống</t>
        </is>
      </c>
      <c r="K78" s="11" t="inlineStr">
        <is>
          <t>Bản đồ</t>
        </is>
      </c>
      <c r="L78" s="12" t="n"/>
      <c r="M78" s="13" t="n"/>
      <c r="N78" s="13" t="n"/>
      <c r="O78" s="13" t="n"/>
      <c r="P78" s="13" t="n"/>
      <c r="Q78" s="13" t="n"/>
      <c r="R78" s="13" t="n"/>
    </row>
    <row r="79">
      <c r="A79" s="8" t="n">
        <v>75</v>
      </c>
      <c r="B79" s="8" t="inlineStr">
        <is>
          <t>PK-075</t>
        </is>
      </c>
      <c r="C79" s="9" t="inlineStr">
        <is>
          <t>PHỞ KHÔ MINH - PHỞ 2 TÔ GIA LAI</t>
        </is>
      </c>
      <c r="D79" s="8" t="inlineStr">
        <is>
          <t>Nhà hàng</t>
        </is>
      </c>
      <c r="E79" s="9" t="inlineStr">
        <is>
          <t>Nguyễn Lương Bằng, Phường Phù Đổng, TP. Pleiku</t>
        </is>
      </c>
      <c r="F79" s="9" t="inlineStr">
        <is>
          <t>Nguyễn Lương Bằng</t>
        </is>
      </c>
      <c r="G79" s="8" t="inlineStr">
        <is>
          <t>Phường Pleiku</t>
        </is>
      </c>
      <c r="H79" s="8" t="inlineStr">
        <is>
          <t>Phù Đổng</t>
        </is>
      </c>
      <c r="I79" s="10" t="inlineStr">
        <is>
          <t>Địa chỉ chưa có số nhà; Đã có trên bản đồ – kiểm tra &amp; bổ sung</t>
        </is>
      </c>
      <c r="J79" s="9" t="inlineStr">
        <is>
          <t>Danh sách tham khảo, Hệ thống</t>
        </is>
      </c>
      <c r="K79" s="11" t="inlineStr">
        <is>
          <t>Bản đồ</t>
        </is>
      </c>
      <c r="L79" s="12" t="n"/>
      <c r="M79" s="13" t="n"/>
      <c r="N79" s="13" t="n"/>
      <c r="O79" s="13" t="n"/>
      <c r="P79" s="13" t="n"/>
      <c r="Q79" s="13" t="n"/>
      <c r="R79" s="13" t="n"/>
    </row>
    <row r="80">
      <c r="A80" s="8" t="n">
        <v>76</v>
      </c>
      <c r="B80" s="8" t="inlineStr">
        <is>
          <t>PK-076</t>
        </is>
      </c>
      <c r="C80" s="9" t="inlineStr">
        <is>
          <t>Phở Nhớ Phố Núi - Phở khô đặc sản Gia Lai</t>
        </is>
      </c>
      <c r="D80" s="8" t="inlineStr">
        <is>
          <t>Nhà hàng</t>
        </is>
      </c>
      <c r="E80" s="9" t="inlineStr">
        <is>
          <t>10 Nguyễn Tất Thành, Phường Phù Đổng, TP. Pleiku</t>
        </is>
      </c>
      <c r="F80" s="9" t="inlineStr">
        <is>
          <t>Nguyễn Tất Thành</t>
        </is>
      </c>
      <c r="G80" s="8" t="inlineStr">
        <is>
          <t>Phường Pleiku</t>
        </is>
      </c>
      <c r="H80" s="8" t="inlineStr">
        <is>
          <t>Phù Đổng</t>
        </is>
      </c>
      <c r="I80" s="9" t="inlineStr"/>
      <c r="J80" s="9" t="inlineStr">
        <is>
          <t>Danh sách tham khảo</t>
        </is>
      </c>
      <c r="K80" s="11" t="inlineStr">
        <is>
          <t>Bản đồ</t>
        </is>
      </c>
      <c r="L80" s="12" t="n"/>
      <c r="M80" s="13" t="n"/>
      <c r="N80" s="13" t="n"/>
      <c r="O80" s="13" t="n"/>
      <c r="P80" s="13" t="n"/>
      <c r="Q80" s="13" t="n"/>
      <c r="R80" s="13" t="n"/>
    </row>
    <row r="81">
      <c r="A81" s="8" t="n">
        <v>77</v>
      </c>
      <c r="B81" s="8" t="inlineStr">
        <is>
          <t>PK-077</t>
        </is>
      </c>
      <c r="C81" s="9" t="inlineStr">
        <is>
          <t>Lẩu Nhỏ 1975</t>
        </is>
      </c>
      <c r="D81" s="8" t="inlineStr">
        <is>
          <t>Nhà hàng</t>
        </is>
      </c>
      <c r="E81" s="9" t="inlineStr">
        <is>
          <t>125 Nguyễn Tất Thành, Phường Phù Đổng, TP. Pleiku</t>
        </is>
      </c>
      <c r="F81" s="9" t="inlineStr">
        <is>
          <t>Nguyễn Tất Thành</t>
        </is>
      </c>
      <c r="G81" s="8" t="inlineStr">
        <is>
          <t>Phường Pleiku</t>
        </is>
      </c>
      <c r="H81" s="8" t="inlineStr">
        <is>
          <t>Phù Đổng</t>
        </is>
      </c>
      <c r="I81" s="10" t="inlineStr">
        <is>
          <t>Đã có trên bản đồ – kiểm tra &amp; bổ sung</t>
        </is>
      </c>
      <c r="J81" s="9" t="inlineStr">
        <is>
          <t>Danh sách tham khảo, Hệ thống</t>
        </is>
      </c>
      <c r="K81" s="11" t="inlineStr">
        <is>
          <t>Bản đồ</t>
        </is>
      </c>
      <c r="L81" s="12" t="n"/>
      <c r="M81" s="13" t="n"/>
      <c r="N81" s="13" t="n"/>
      <c r="O81" s="13" t="n"/>
      <c r="P81" s="13" t="n"/>
      <c r="Q81" s="13" t="n"/>
      <c r="R81" s="13" t="n"/>
    </row>
    <row r="82">
      <c r="A82" s="8" t="n">
        <v>78</v>
      </c>
      <c r="B82" s="8" t="inlineStr">
        <is>
          <t>PK-078</t>
        </is>
      </c>
      <c r="C82" s="9" t="inlineStr">
        <is>
          <t>Nhà Hàng Pleiku'S Ngon</t>
        </is>
      </c>
      <c r="D82" s="8" t="inlineStr">
        <is>
          <t>Nhà hàng</t>
        </is>
      </c>
      <c r="E82" s="9" t="inlineStr">
        <is>
          <t>222/2 Nguyễn Tất Thành, Phường Phù Đổng, TP. Pleiku</t>
        </is>
      </c>
      <c r="F82" s="9" t="inlineStr">
        <is>
          <t>Nguyễn Tất Thành</t>
        </is>
      </c>
      <c r="G82" s="8" t="inlineStr">
        <is>
          <t>Phường Pleiku</t>
        </is>
      </c>
      <c r="H82" s="8" t="inlineStr">
        <is>
          <t>Phù Đổng</t>
        </is>
      </c>
      <c r="I82" s="9" t="inlineStr"/>
      <c r="J82" s="9" t="inlineStr">
        <is>
          <t>Danh sách tham khảo</t>
        </is>
      </c>
      <c r="K82" s="11" t="inlineStr">
        <is>
          <t>Bản đồ</t>
        </is>
      </c>
      <c r="L82" s="12" t="n"/>
      <c r="M82" s="13" t="n"/>
      <c r="N82" s="13" t="n"/>
      <c r="O82" s="13" t="n"/>
      <c r="P82" s="13" t="n"/>
      <c r="Q82" s="13" t="n"/>
      <c r="R82" s="13" t="n"/>
    </row>
    <row r="83">
      <c r="A83" s="8" t="n">
        <v>79</v>
      </c>
      <c r="B83" s="8" t="inlineStr">
        <is>
          <t>PK-079</t>
        </is>
      </c>
      <c r="C83" s="9" t="inlineStr">
        <is>
          <t>Cà Phê Thu Hà</t>
        </is>
      </c>
      <c r="D83" s="8" t="inlineStr">
        <is>
          <t>Quán cà phê</t>
        </is>
      </c>
      <c r="E83" s="9" t="inlineStr">
        <is>
          <t>9 Nguyễn Thái Học</t>
        </is>
      </c>
      <c r="F83" s="9" t="inlineStr">
        <is>
          <t>Nguyễn Thái Học</t>
        </is>
      </c>
      <c r="G83" s="8" t="inlineStr">
        <is>
          <t>Phường Pleiku</t>
        </is>
      </c>
      <c r="H83" s="8" t="inlineStr"/>
      <c r="I83" s="10" t="inlineStr">
        <is>
          <t>Trùng vị trí với: Phở Ngọc Sơn</t>
        </is>
      </c>
      <c r="J83" s="9" t="inlineStr">
        <is>
          <t>OpenStreetMap</t>
        </is>
      </c>
      <c r="K83" s="11" t="inlineStr">
        <is>
          <t>Bản đồ</t>
        </is>
      </c>
      <c r="L83" s="12" t="n"/>
      <c r="M83" s="13" t="n"/>
      <c r="N83" s="13" t="n"/>
      <c r="O83" s="13" t="n"/>
      <c r="P83" s="13" t="n"/>
      <c r="Q83" s="13" t="n"/>
      <c r="R83" s="13" t="n"/>
    </row>
    <row r="84">
      <c r="A84" s="8" t="n">
        <v>80</v>
      </c>
      <c r="B84" s="8" t="inlineStr">
        <is>
          <t>PK-080</t>
        </is>
      </c>
      <c r="C84" s="9" t="inlineStr">
        <is>
          <t>Cafe Thu Hà</t>
        </is>
      </c>
      <c r="D84" s="8" t="inlineStr">
        <is>
          <t>Quán cà phê</t>
        </is>
      </c>
      <c r="E84" s="9" t="inlineStr">
        <is>
          <t>09 Nguyễn Thái Học, Phường Hội Thương, TP. Pleiku</t>
        </is>
      </c>
      <c r="F84" s="9" t="inlineStr">
        <is>
          <t>Nguyễn Thái Học</t>
        </is>
      </c>
      <c r="G84" s="8" t="inlineStr">
        <is>
          <t>Phường Pleiku</t>
        </is>
      </c>
      <c r="H84" s="8" t="inlineStr">
        <is>
          <t>Hội Thương</t>
        </is>
      </c>
      <c r="I84" s="9" t="inlineStr"/>
      <c r="J84" s="9" t="inlineStr">
        <is>
          <t>Danh sách tham khảo</t>
        </is>
      </c>
      <c r="K84" s="11" t="inlineStr">
        <is>
          <t>Bản đồ</t>
        </is>
      </c>
      <c r="L84" s="12" t="n"/>
      <c r="M84" s="13" t="n"/>
      <c r="N84" s="13" t="n"/>
      <c r="O84" s="13" t="n"/>
      <c r="P84" s="13" t="n"/>
      <c r="Q84" s="13" t="n"/>
      <c r="R84" s="13" t="n"/>
    </row>
    <row r="85">
      <c r="A85" s="8" t="n">
        <v>81</v>
      </c>
      <c r="B85" s="8" t="inlineStr">
        <is>
          <t>PK-081</t>
        </is>
      </c>
      <c r="C85" s="9" t="inlineStr">
        <is>
          <t>Phở Ngọc Sơn</t>
        </is>
      </c>
      <c r="D85" s="8" t="inlineStr">
        <is>
          <t>Nhà hàng</t>
        </is>
      </c>
      <c r="E85" s="9" t="inlineStr">
        <is>
          <t>15 Nguyễn Thái Học, Phường Hội Thương, TP. Pleiku</t>
        </is>
      </c>
      <c r="F85" s="9" t="inlineStr">
        <is>
          <t>Nguyễn Thái Học</t>
        </is>
      </c>
      <c r="G85" s="8" t="inlineStr">
        <is>
          <t>Phường Pleiku</t>
        </is>
      </c>
      <c r="H85" s="8" t="inlineStr">
        <is>
          <t>Hội Thương</t>
        </is>
      </c>
      <c r="I85" s="10" t="inlineStr">
        <is>
          <t>Trùng vị trí với: Cà Phê Thu Hà; Đã có trên bản đồ – kiểm tra &amp; bổ sung</t>
        </is>
      </c>
      <c r="J85" s="9" t="inlineStr">
        <is>
          <t>Danh sách tham khảo, Hệ thống, OpenStreetMap</t>
        </is>
      </c>
      <c r="K85" s="11" t="inlineStr">
        <is>
          <t>Bản đồ</t>
        </is>
      </c>
      <c r="L85" s="12" t="n"/>
      <c r="M85" s="13" t="n"/>
      <c r="N85" s="13" t="n"/>
      <c r="O85" s="13" t="n"/>
      <c r="P85" s="13" t="n"/>
      <c r="Q85" s="13" t="n"/>
      <c r="R85" s="13" t="n"/>
    </row>
    <row r="86">
      <c r="A86" s="8" t="n">
        <v>82</v>
      </c>
      <c r="B86" s="8" t="inlineStr">
        <is>
          <t>PK-082</t>
        </is>
      </c>
      <c r="C86" s="9" t="inlineStr">
        <is>
          <t>Bún Phương Gia Lai</t>
        </is>
      </c>
      <c r="D86" s="8" t="inlineStr">
        <is>
          <t>Nhà hàng</t>
        </is>
      </c>
      <c r="E86" s="9" t="inlineStr">
        <is>
          <t>46 Nguyễn Thái Học, Phường Hội Thương, TP. Pleiku</t>
        </is>
      </c>
      <c r="F86" s="9" t="inlineStr">
        <is>
          <t>Nguyễn Thái Học</t>
        </is>
      </c>
      <c r="G86" s="8" t="inlineStr">
        <is>
          <t>Phường Pleiku</t>
        </is>
      </c>
      <c r="H86" s="8" t="inlineStr">
        <is>
          <t>Hội Thương</t>
        </is>
      </c>
      <c r="I86" s="10" t="inlineStr">
        <is>
          <t>Đã có trên bản đồ – kiểm tra &amp; bổ sung</t>
        </is>
      </c>
      <c r="J86" s="9" t="inlineStr">
        <is>
          <t>Danh sách tham khảo, Hệ thống</t>
        </is>
      </c>
      <c r="K86" s="11" t="inlineStr">
        <is>
          <t>Bản đồ</t>
        </is>
      </c>
      <c r="L86" s="12" t="n"/>
      <c r="M86" s="13" t="n"/>
      <c r="N86" s="13" t="n"/>
      <c r="O86" s="13" t="n"/>
      <c r="P86" s="13" t="n"/>
      <c r="Q86" s="13" t="n"/>
      <c r="R86" s="13" t="n"/>
    </row>
    <row r="87">
      <c r="A87" s="8" t="n">
        <v>83</v>
      </c>
      <c r="B87" s="8" t="inlineStr">
        <is>
          <t>PK-083</t>
        </is>
      </c>
      <c r="C87" s="9" t="inlineStr">
        <is>
          <t>Chè Bà Dũng</t>
        </is>
      </c>
      <c r="D87" s="8" t="inlineStr">
        <is>
          <t>Quán nước</t>
        </is>
      </c>
      <c r="E87" s="9" t="inlineStr">
        <is>
          <t>50 Nguyễn Thái Học, Phường Hội Thương, TP. Pleiku</t>
        </is>
      </c>
      <c r="F87" s="9" t="inlineStr">
        <is>
          <t>Nguyễn Thái Học</t>
        </is>
      </c>
      <c r="G87" s="8" t="inlineStr">
        <is>
          <t>Phường Pleiku</t>
        </is>
      </c>
      <c r="H87" s="8" t="inlineStr">
        <is>
          <t>Hội Thương</t>
        </is>
      </c>
      <c r="I87" s="10" t="inlineStr">
        <is>
          <t>Đã có trên bản đồ – kiểm tra &amp; bổ sung</t>
        </is>
      </c>
      <c r="J87" s="9" t="inlineStr">
        <is>
          <t>Danh sách tham khảo, Hệ thống</t>
        </is>
      </c>
      <c r="K87" s="11" t="inlineStr">
        <is>
          <t>Bản đồ</t>
        </is>
      </c>
      <c r="L87" s="12" t="n"/>
      <c r="M87" s="13" t="n"/>
      <c r="N87" s="13" t="n"/>
      <c r="O87" s="13" t="n"/>
      <c r="P87" s="13" t="n"/>
      <c r="Q87" s="13" t="n"/>
      <c r="R87" s="13" t="n"/>
    </row>
    <row r="88">
      <c r="A88" s="8" t="n">
        <v>84</v>
      </c>
      <c r="B88" s="8" t="inlineStr">
        <is>
          <t>PK-084</t>
        </is>
      </c>
      <c r="C88" s="9" t="inlineStr">
        <is>
          <t>Nhà Hàng Hải Sản DI CI LA</t>
        </is>
      </c>
      <c r="D88" s="8" t="inlineStr">
        <is>
          <t>Nhà hàng</t>
        </is>
      </c>
      <c r="E88" s="9" t="inlineStr">
        <is>
          <t>96 Nguyễn Thái Học, Phường Hội Thương, TP. Pleiku</t>
        </is>
      </c>
      <c r="F88" s="9" t="inlineStr">
        <is>
          <t>Nguyễn Thái Học</t>
        </is>
      </c>
      <c r="G88" s="8" t="inlineStr">
        <is>
          <t>Phường Pleiku</t>
        </is>
      </c>
      <c r="H88" s="8" t="inlineStr">
        <is>
          <t>Hội Thương</t>
        </is>
      </c>
      <c r="I88" s="10" t="inlineStr">
        <is>
          <t>Đã có trên bản đồ – kiểm tra &amp; bổ sung</t>
        </is>
      </c>
      <c r="J88" s="9" t="inlineStr">
        <is>
          <t>Danh sách tham khảo, Hệ thống</t>
        </is>
      </c>
      <c r="K88" s="11" t="inlineStr">
        <is>
          <t>Bản đồ</t>
        </is>
      </c>
      <c r="L88" s="12" t="n"/>
      <c r="M88" s="13" t="n"/>
      <c r="N88" s="13" t="n"/>
      <c r="O88" s="13" t="n"/>
      <c r="P88" s="13" t="n"/>
      <c r="Q88" s="13" t="n"/>
      <c r="R88" s="13" t="n"/>
    </row>
    <row r="89">
      <c r="A89" s="8" t="n">
        <v>85</v>
      </c>
      <c r="B89" s="8" t="inlineStr">
        <is>
          <t>PK-085</t>
        </is>
      </c>
      <c r="C89" s="9" t="inlineStr">
        <is>
          <t>Nhà hàng Ngói Nâu.</t>
        </is>
      </c>
      <c r="D89" s="8" t="inlineStr">
        <is>
          <t>Nhà hàng</t>
        </is>
      </c>
      <c r="E89" s="9" t="inlineStr">
        <is>
          <t>120 Nguyễn Thái Học, Phường Hội Thương, TP. Pleiku</t>
        </is>
      </c>
      <c r="F89" s="9" t="inlineStr">
        <is>
          <t>Nguyễn Thái Học</t>
        </is>
      </c>
      <c r="G89" s="8" t="inlineStr">
        <is>
          <t>Phường Pleiku</t>
        </is>
      </c>
      <c r="H89" s="8" t="inlineStr">
        <is>
          <t>Hội Thương</t>
        </is>
      </c>
      <c r="I89" s="10" t="inlineStr">
        <is>
          <t>Đã có trên bản đồ – kiểm tra &amp; bổ sung</t>
        </is>
      </c>
      <c r="J89" s="9" t="inlineStr">
        <is>
          <t>Danh sách tham khảo, Hệ thống</t>
        </is>
      </c>
      <c r="K89" s="11" t="inlineStr">
        <is>
          <t>Bản đồ</t>
        </is>
      </c>
      <c r="L89" s="12" t="n"/>
      <c r="M89" s="13" t="n"/>
      <c r="N89" s="13" t="n"/>
      <c r="O89" s="13" t="n"/>
      <c r="P89" s="13" t="n"/>
      <c r="Q89" s="13" t="n"/>
      <c r="R89" s="13" t="n"/>
    </row>
    <row r="90">
      <c r="A90" s="8" t="n">
        <v>86</v>
      </c>
      <c r="B90" s="8" t="inlineStr">
        <is>
          <t>PK-086</t>
        </is>
      </c>
      <c r="C90" s="9" t="inlineStr">
        <is>
          <t>Quán Nhậu Hương Đồng</t>
        </is>
      </c>
      <c r="D90" s="8" t="inlineStr">
        <is>
          <t>Nhà hàng</t>
        </is>
      </c>
      <c r="E90" s="9" t="inlineStr">
        <is>
          <t>62/04 Nguyễn Thế Lịch, Phường Phù Đổng, TP. Pleiku</t>
        </is>
      </c>
      <c r="F90" s="9" t="inlineStr">
        <is>
          <t>Nguyễn Thế Lịch</t>
        </is>
      </c>
      <c r="G90" s="8" t="inlineStr">
        <is>
          <t>Phường Pleiku</t>
        </is>
      </c>
      <c r="H90" s="8" t="inlineStr">
        <is>
          <t>Phù Đổng</t>
        </is>
      </c>
      <c r="I90" s="9" t="inlineStr"/>
      <c r="J90" s="9" t="inlineStr">
        <is>
          <t>Danh sách tham khảo</t>
        </is>
      </c>
      <c r="K90" s="11" t="inlineStr">
        <is>
          <t>Bản đồ</t>
        </is>
      </c>
      <c r="L90" s="12" t="n"/>
      <c r="M90" s="13" t="n"/>
      <c r="N90" s="13" t="n"/>
      <c r="O90" s="13" t="n"/>
      <c r="P90" s="13" t="n"/>
      <c r="Q90" s="13" t="n"/>
      <c r="R90" s="13" t="n"/>
    </row>
    <row r="91">
      <c r="A91" s="8" t="n">
        <v>87</v>
      </c>
      <c r="B91" s="8" t="inlineStr">
        <is>
          <t>PK-087</t>
        </is>
      </c>
      <c r="C91" s="9" t="inlineStr">
        <is>
          <t>Cơm Gà Pleiku Bà Gi</t>
        </is>
      </c>
      <c r="D91" s="8" t="inlineStr">
        <is>
          <t>Nhà hàng</t>
        </is>
      </c>
      <c r="E91" s="9" t="inlineStr">
        <is>
          <t>34 Nguyễn Trãi, Tp. Pleiku, Gia Lai</t>
        </is>
      </c>
      <c r="F91" s="9" t="inlineStr">
        <is>
          <t>Nguyễn Trãi</t>
        </is>
      </c>
      <c r="G91" s="8" t="inlineStr">
        <is>
          <t>Phường Pleiku</t>
        </is>
      </c>
      <c r="H91" s="8" t="inlineStr"/>
      <c r="I91" s="10" t="inlineStr">
        <is>
          <t>Đã có trên bản đồ – kiểm tra &amp; bổ sung</t>
        </is>
      </c>
      <c r="J91" s="9" t="inlineStr">
        <is>
          <t>Hệ thống</t>
        </is>
      </c>
      <c r="K91" s="11" t="inlineStr">
        <is>
          <t>Bản đồ</t>
        </is>
      </c>
      <c r="L91" s="12" t="n"/>
      <c r="M91" s="13" t="n"/>
      <c r="N91" s="13" t="n"/>
      <c r="O91" s="13" t="n"/>
      <c r="P91" s="13" t="n"/>
      <c r="Q91" s="13" t="n"/>
      <c r="R91" s="13" t="n"/>
    </row>
    <row r="92">
      <c r="A92" s="8" t="n">
        <v>88</v>
      </c>
      <c r="B92" s="8" t="inlineStr">
        <is>
          <t>PK-088</t>
        </is>
      </c>
      <c r="C92" s="9" t="inlineStr">
        <is>
          <t>HẢI SẢN QUY NHƠN</t>
        </is>
      </c>
      <c r="D92" s="8" t="inlineStr">
        <is>
          <t>Nhà hàng</t>
        </is>
      </c>
      <c r="E92" s="9" t="inlineStr">
        <is>
          <t>29 Nguyễn Tri Phương, Phường Hội Thương, TP. Pleiku</t>
        </is>
      </c>
      <c r="F92" s="9" t="inlineStr">
        <is>
          <t>Nguyễn Tri Phương</t>
        </is>
      </c>
      <c r="G92" s="8" t="inlineStr">
        <is>
          <t>Phường Pleiku</t>
        </is>
      </c>
      <c r="H92" s="8" t="inlineStr">
        <is>
          <t>Hội Thương</t>
        </is>
      </c>
      <c r="I92" s="9" t="inlineStr"/>
      <c r="J92" s="9" t="inlineStr">
        <is>
          <t>Danh sách tham khảo</t>
        </is>
      </c>
      <c r="K92" s="11" t="inlineStr">
        <is>
          <t>Bản đồ</t>
        </is>
      </c>
      <c r="L92" s="12" t="n"/>
      <c r="M92" s="13" t="n"/>
      <c r="N92" s="13" t="n"/>
      <c r="O92" s="13" t="n"/>
      <c r="P92" s="13" t="n"/>
      <c r="Q92" s="13" t="n"/>
      <c r="R92" s="13" t="n"/>
    </row>
    <row r="93">
      <c r="A93" s="8" t="n">
        <v>89</v>
      </c>
      <c r="B93" s="8" t="inlineStr">
        <is>
          <t>PK-089</t>
        </is>
      </c>
      <c r="C93" s="9" t="inlineStr">
        <is>
          <t>Phở 2 tô</t>
        </is>
      </c>
      <c r="D93" s="8" t="inlineStr">
        <is>
          <t>Nhà hàng</t>
        </is>
      </c>
      <c r="E93" s="9" t="inlineStr">
        <is>
          <t>22 Nguyễn Văn Trỗi, Phường Hội Thương, TP. Pleiku</t>
        </is>
      </c>
      <c r="F93" s="9" t="inlineStr">
        <is>
          <t>Nguyễn Văn Trỗi</t>
        </is>
      </c>
      <c r="G93" s="8" t="inlineStr">
        <is>
          <t>Phường Pleiku</t>
        </is>
      </c>
      <c r="H93" s="8" t="inlineStr">
        <is>
          <t>Hội Thương</t>
        </is>
      </c>
      <c r="I93" s="10" t="inlineStr">
        <is>
          <t>Trùng vị trí với: Phở khô Hồng</t>
        </is>
      </c>
      <c r="J93" s="9" t="inlineStr">
        <is>
          <t>Danh sách tham khảo</t>
        </is>
      </c>
      <c r="K93" s="11" t="inlineStr">
        <is>
          <t>Bản đồ</t>
        </is>
      </c>
      <c r="L93" s="12" t="n"/>
      <c r="M93" s="13" t="n"/>
      <c r="N93" s="13" t="n"/>
      <c r="O93" s="13" t="n"/>
      <c r="P93" s="13" t="n"/>
      <c r="Q93" s="13" t="n"/>
      <c r="R93" s="13" t="n"/>
    </row>
    <row r="94">
      <c r="A94" s="8" t="n">
        <v>90</v>
      </c>
      <c r="B94" s="8" t="inlineStr">
        <is>
          <t>PK-090</t>
        </is>
      </c>
      <c r="C94" s="9" t="inlineStr">
        <is>
          <t>Phở khô Hồng</t>
        </is>
      </c>
      <c r="D94" s="8" t="inlineStr">
        <is>
          <t>Nhà hàng</t>
        </is>
      </c>
      <c r="E94" s="9" t="inlineStr">
        <is>
          <t>22-24 Nguyễn Văn Trỗi, Phường Hội Thương, TP. Pleiku</t>
        </is>
      </c>
      <c r="F94" s="9" t="inlineStr">
        <is>
          <t>Nguyễn Văn Trỗi</t>
        </is>
      </c>
      <c r="G94" s="8" t="inlineStr">
        <is>
          <t>Phường Pleiku</t>
        </is>
      </c>
      <c r="H94" s="8" t="inlineStr">
        <is>
          <t>Hội Thương</t>
        </is>
      </c>
      <c r="I94" s="10" t="inlineStr">
        <is>
          <t>Trùng vị trí với: Phở 2 tô; Đã có trên bản đồ – kiểm tra &amp; bổ sung</t>
        </is>
      </c>
      <c r="J94" s="9" t="inlineStr">
        <is>
          <t>Danh sách tham khảo, Hệ thống</t>
        </is>
      </c>
      <c r="K94" s="11" t="inlineStr">
        <is>
          <t>Bản đồ</t>
        </is>
      </c>
      <c r="L94" s="12" t="n"/>
      <c r="M94" s="13" t="n"/>
      <c r="N94" s="13" t="n"/>
      <c r="O94" s="13" t="n"/>
      <c r="P94" s="13" t="n"/>
      <c r="Q94" s="13" t="n"/>
      <c r="R94" s="13" t="n"/>
    </row>
    <row r="95">
      <c r="A95" s="8" t="n">
        <v>91</v>
      </c>
      <c r="B95" s="8" t="inlineStr">
        <is>
          <t>PK-091</t>
        </is>
      </c>
      <c r="C95" s="9" t="inlineStr">
        <is>
          <t>Cơm gà Bà Hoà-Gia Lai</t>
        </is>
      </c>
      <c r="D95" s="8" t="inlineStr">
        <is>
          <t>Nhà hàng</t>
        </is>
      </c>
      <c r="E95" s="9" t="inlineStr">
        <is>
          <t>31 Nguyễn Văn Trỗi, Phường Hội Thương, TP. Pleiku</t>
        </is>
      </c>
      <c r="F95" s="9" t="inlineStr">
        <is>
          <t>Nguyễn Văn Trỗi</t>
        </is>
      </c>
      <c r="G95" s="8" t="inlineStr">
        <is>
          <t>Phường Pleiku</t>
        </is>
      </c>
      <c r="H95" s="8" t="inlineStr">
        <is>
          <t>Hội Thương</t>
        </is>
      </c>
      <c r="I95" s="9" t="inlineStr"/>
      <c r="J95" s="9" t="inlineStr">
        <is>
          <t>Danh sách tham khảo</t>
        </is>
      </c>
      <c r="K95" s="11" t="inlineStr">
        <is>
          <t>Bản đồ</t>
        </is>
      </c>
      <c r="L95" s="12" t="n"/>
      <c r="M95" s="13" t="n"/>
      <c r="N95" s="13" t="n"/>
      <c r="O95" s="13" t="n"/>
      <c r="P95" s="13" t="n"/>
      <c r="Q95" s="13" t="n"/>
      <c r="R95" s="13" t="n"/>
    </row>
    <row r="96">
      <c r="A96" s="8" t="n">
        <v>92</v>
      </c>
      <c r="B96" s="8" t="inlineStr">
        <is>
          <t>PK-092</t>
        </is>
      </c>
      <c r="C96" s="9" t="inlineStr">
        <is>
          <t>Duy Mập - Bún Riêu Giò - Mì Quảng Gà</t>
        </is>
      </c>
      <c r="D96" s="8" t="inlineStr">
        <is>
          <t>Nhà hàng</t>
        </is>
      </c>
      <c r="E96" s="9" t="inlineStr">
        <is>
          <t>32 Nguyễn Văn Trỗi, Phường Hội Thương, TP. Pleiku</t>
        </is>
      </c>
      <c r="F96" s="9" t="inlineStr">
        <is>
          <t>Nguyễn Văn Trỗi</t>
        </is>
      </c>
      <c r="G96" s="8" t="inlineStr">
        <is>
          <t>Phường Pleiku</t>
        </is>
      </c>
      <c r="H96" s="8" t="inlineStr">
        <is>
          <t>Hội Thương</t>
        </is>
      </c>
      <c r="I96" s="10" t="inlineStr">
        <is>
          <t>Trùng vị trí với: Bún Bò Huế Bà Dinh</t>
        </is>
      </c>
      <c r="J96" s="9" t="inlineStr">
        <is>
          <t>Danh sách tham khảo</t>
        </is>
      </c>
      <c r="K96" s="11" t="inlineStr">
        <is>
          <t>Bản đồ</t>
        </is>
      </c>
      <c r="L96" s="12" t="n"/>
      <c r="M96" s="13" t="n"/>
      <c r="N96" s="13" t="n"/>
      <c r="O96" s="13" t="n"/>
      <c r="P96" s="13" t="n"/>
      <c r="Q96" s="13" t="n"/>
      <c r="R96" s="13" t="n"/>
    </row>
    <row r="97">
      <c r="A97" s="8" t="n">
        <v>93</v>
      </c>
      <c r="B97" s="8" t="inlineStr">
        <is>
          <t>PK-093</t>
        </is>
      </c>
      <c r="C97" s="9" t="inlineStr">
        <is>
          <t>Bún Bò Huế Bà Dinh</t>
        </is>
      </c>
      <c r="D97" s="8" t="inlineStr">
        <is>
          <t>Nhà hàng</t>
        </is>
      </c>
      <c r="E97" s="9" t="inlineStr">
        <is>
          <t>34 Nguyễn Văn Trỗi, Phường Hội Thương, TP. Pleiku</t>
        </is>
      </c>
      <c r="F97" s="9" t="inlineStr">
        <is>
          <t>Nguyễn Văn Trỗi</t>
        </is>
      </c>
      <c r="G97" s="8" t="inlineStr">
        <is>
          <t>Phường Pleiku</t>
        </is>
      </c>
      <c r="H97" s="8" t="inlineStr">
        <is>
          <t>Hội Thương</t>
        </is>
      </c>
      <c r="I97" s="10" t="inlineStr">
        <is>
          <t>Trùng vị trí với: Duy Mập - Bún Riêu Giò - Mì Quảng Gà</t>
        </is>
      </c>
      <c r="J97" s="9" t="inlineStr">
        <is>
          <t>Danh sách tham khảo</t>
        </is>
      </c>
      <c r="K97" s="11" t="inlineStr">
        <is>
          <t>Bản đồ</t>
        </is>
      </c>
      <c r="L97" s="12" t="n"/>
      <c r="M97" s="13" t="n"/>
      <c r="N97" s="13" t="n"/>
      <c r="O97" s="13" t="n"/>
      <c r="P97" s="13" t="n"/>
      <c r="Q97" s="13" t="n"/>
      <c r="R97" s="13" t="n"/>
    </row>
    <row r="98">
      <c r="A98" s="8" t="n">
        <v>94</v>
      </c>
      <c r="B98" s="8" t="inlineStr">
        <is>
          <t>PK-094</t>
        </is>
      </c>
      <c r="C98" s="9" t="inlineStr">
        <is>
          <t>Restaurant COONG CHAY</t>
        </is>
      </c>
      <c r="D98" s="8" t="inlineStr">
        <is>
          <t>Nhà hàng</t>
        </is>
      </c>
      <c r="E98" s="9" t="inlineStr">
        <is>
          <t>14/2 Phạm Văn Đồng, Phường Hoa Lư, TP. Pleiku</t>
        </is>
      </c>
      <c r="F98" s="9" t="inlineStr">
        <is>
          <t>Phạm Văn Đồng</t>
        </is>
      </c>
      <c r="G98" s="8" t="inlineStr">
        <is>
          <t>Phường Pleiku</t>
        </is>
      </c>
      <c r="H98" s="8" t="inlineStr">
        <is>
          <t>Hoa Lư</t>
        </is>
      </c>
      <c r="I98" s="10" t="inlineStr">
        <is>
          <t>Đã có trên bản đồ – kiểm tra &amp; bổ sung</t>
        </is>
      </c>
      <c r="J98" s="9" t="inlineStr">
        <is>
          <t>Danh sách tham khảo, Hệ thống</t>
        </is>
      </c>
      <c r="K98" s="11" t="inlineStr">
        <is>
          <t>Bản đồ</t>
        </is>
      </c>
      <c r="L98" s="12" t="n"/>
      <c r="M98" s="13" t="n"/>
      <c r="N98" s="13" t="n"/>
      <c r="O98" s="13" t="n"/>
      <c r="P98" s="13" t="n"/>
      <c r="Q98" s="13" t="n"/>
      <c r="R98" s="13" t="n"/>
    </row>
    <row r="99">
      <c r="A99" s="8" t="n">
        <v>95</v>
      </c>
      <c r="B99" s="8" t="inlineStr">
        <is>
          <t>PK-095</t>
        </is>
      </c>
      <c r="C99" s="9" t="inlineStr">
        <is>
          <t>Nhà hàng Nguyễn Phương</t>
        </is>
      </c>
      <c r="D99" s="8" t="inlineStr">
        <is>
          <t>Nhà hàng</t>
        </is>
      </c>
      <c r="E99" s="9" t="inlineStr">
        <is>
          <t>58 101, Phạm Văn Đồng, Phường Hoa Lư, TP. Pleiku</t>
        </is>
      </c>
      <c r="F99" s="9" t="inlineStr">
        <is>
          <t>Phạm Văn Đồng</t>
        </is>
      </c>
      <c r="G99" s="8" t="inlineStr">
        <is>
          <t>Phường Pleiku</t>
        </is>
      </c>
      <c r="H99" s="8" t="inlineStr">
        <is>
          <t>Hoa Lư</t>
        </is>
      </c>
      <c r="I99" s="9" t="inlineStr"/>
      <c r="J99" s="9" t="inlineStr">
        <is>
          <t>Danh sách tham khảo</t>
        </is>
      </c>
      <c r="K99" s="11" t="inlineStr">
        <is>
          <t>Bản đồ</t>
        </is>
      </c>
      <c r="L99" s="12" t="n"/>
      <c r="M99" s="13" t="n"/>
      <c r="N99" s="13" t="n"/>
      <c r="O99" s="13" t="n"/>
      <c r="P99" s="13" t="n"/>
      <c r="Q99" s="13" t="n"/>
      <c r="R99" s="13" t="n"/>
    </row>
    <row r="100">
      <c r="A100" s="8" t="n">
        <v>96</v>
      </c>
      <c r="B100" s="8" t="inlineStr">
        <is>
          <t>PK-096</t>
        </is>
      </c>
      <c r="C100" s="9" t="inlineStr">
        <is>
          <t>Nhà hàng sân vườn Thiên Thanh</t>
        </is>
      </c>
      <c r="D100" s="8" t="inlineStr">
        <is>
          <t>Nhà hàng</t>
        </is>
      </c>
      <c r="E100" s="9" t="inlineStr">
        <is>
          <t>58 Phạm Văn Đồng, Phường Hoa Lư, TP. Pleiku</t>
        </is>
      </c>
      <c r="F100" s="9" t="inlineStr">
        <is>
          <t>Phạm Văn Đồng</t>
        </is>
      </c>
      <c r="G100" s="8" t="inlineStr">
        <is>
          <t>Phường Pleiku</t>
        </is>
      </c>
      <c r="H100" s="8" t="inlineStr">
        <is>
          <t>Hoa Lư</t>
        </is>
      </c>
      <c r="I100" s="10" t="inlineStr">
        <is>
          <t>Đã có trên bản đồ – kiểm tra &amp; bổ sung</t>
        </is>
      </c>
      <c r="J100" s="9" t="inlineStr">
        <is>
          <t>Danh sách tham khảo, Hệ thống</t>
        </is>
      </c>
      <c r="K100" s="11" t="inlineStr">
        <is>
          <t>Bản đồ</t>
        </is>
      </c>
      <c r="L100" s="12" t="n"/>
      <c r="M100" s="13" t="n"/>
      <c r="N100" s="13" t="n"/>
      <c r="O100" s="13" t="n"/>
      <c r="P100" s="13" t="n"/>
      <c r="Q100" s="13" t="n"/>
      <c r="R100" s="13" t="n"/>
    </row>
    <row r="101">
      <c r="A101" s="8" t="n">
        <v>97</v>
      </c>
      <c r="B101" s="8" t="inlineStr">
        <is>
          <t>PK-097</t>
        </is>
      </c>
      <c r="C101" s="9" t="inlineStr">
        <is>
          <t>Lotteria</t>
        </is>
      </c>
      <c r="D101" s="8" t="inlineStr">
        <is>
          <t>Nhà hàng</t>
        </is>
      </c>
      <c r="E101" s="9" t="inlineStr">
        <is>
          <t>1 Phan Bội Châu</t>
        </is>
      </c>
      <c r="F101" s="9" t="inlineStr">
        <is>
          <t>Phan Bội Châu</t>
        </is>
      </c>
      <c r="G101" s="8" t="inlineStr">
        <is>
          <t>Phường Pleiku</t>
        </is>
      </c>
      <c r="H101" s="8" t="inlineStr"/>
      <c r="I101" s="9" t="inlineStr"/>
      <c r="J101" s="9" t="inlineStr">
        <is>
          <t>OpenStreetMap</t>
        </is>
      </c>
      <c r="K101" s="11" t="inlineStr">
        <is>
          <t>Bản đồ</t>
        </is>
      </c>
      <c r="L101" s="12" t="n"/>
      <c r="M101" s="13" t="n"/>
      <c r="N101" s="13" t="n"/>
      <c r="O101" s="13" t="n"/>
      <c r="P101" s="13" t="n"/>
      <c r="Q101" s="13" t="n"/>
      <c r="R101" s="13" t="n"/>
    </row>
    <row r="102">
      <c r="A102" s="8" t="n">
        <v>98</v>
      </c>
      <c r="B102" s="8" t="inlineStr">
        <is>
          <t>PK-098</t>
        </is>
      </c>
      <c r="C102" s="9" t="inlineStr">
        <is>
          <t>Quán Cơm 05</t>
        </is>
      </c>
      <c r="D102" s="8" t="inlineStr">
        <is>
          <t>Nhà hàng</t>
        </is>
      </c>
      <c r="E102" s="9" t="inlineStr">
        <is>
          <t>5 Phan Bội Châu, Phường Hội Thương, TP. Pleiku</t>
        </is>
      </c>
      <c r="F102" s="9" t="inlineStr">
        <is>
          <t>Phan Bội Châu</t>
        </is>
      </c>
      <c r="G102" s="8" t="inlineStr">
        <is>
          <t>Phường Pleiku</t>
        </is>
      </c>
      <c r="H102" s="8" t="inlineStr">
        <is>
          <t>Hội Thương</t>
        </is>
      </c>
      <c r="I102" s="9" t="inlineStr"/>
      <c r="J102" s="9" t="inlineStr">
        <is>
          <t>Danh sách tham khảo</t>
        </is>
      </c>
      <c r="K102" s="11" t="inlineStr">
        <is>
          <t>Bản đồ</t>
        </is>
      </c>
      <c r="L102" s="12" t="n"/>
      <c r="M102" s="13" t="n"/>
      <c r="N102" s="13" t="n"/>
      <c r="O102" s="13" t="n"/>
      <c r="P102" s="13" t="n"/>
      <c r="Q102" s="13" t="n"/>
      <c r="R102" s="13" t="n"/>
    </row>
    <row r="103">
      <c r="A103" s="8" t="n">
        <v>99</v>
      </c>
      <c r="B103" s="8" t="inlineStr">
        <is>
          <t>PK-099</t>
        </is>
      </c>
      <c r="C103" s="9" t="inlineStr">
        <is>
          <t>CƠM GÀ PLEIKU</t>
        </is>
      </c>
      <c r="D103" s="8" t="inlineStr">
        <is>
          <t>Nhà hàng</t>
        </is>
      </c>
      <c r="E103" s="9" t="inlineStr">
        <is>
          <t>23 Phan Bội Châu, Phường Hội Thương, TP. Pleiku</t>
        </is>
      </c>
      <c r="F103" s="9" t="inlineStr">
        <is>
          <t>Phan Bội Châu</t>
        </is>
      </c>
      <c r="G103" s="8" t="inlineStr">
        <is>
          <t>Phường Pleiku</t>
        </is>
      </c>
      <c r="H103" s="8" t="inlineStr">
        <is>
          <t>Hội Thương</t>
        </is>
      </c>
      <c r="I103" s="9" t="inlineStr"/>
      <c r="J103" s="9" t="inlineStr">
        <is>
          <t>Danh sách tham khảo</t>
        </is>
      </c>
      <c r="K103" s="11" t="inlineStr">
        <is>
          <t>Bản đồ</t>
        </is>
      </c>
      <c r="L103" s="12" t="n"/>
      <c r="M103" s="13" t="n"/>
      <c r="N103" s="13" t="n"/>
      <c r="O103" s="13" t="n"/>
      <c r="P103" s="13" t="n"/>
      <c r="Q103" s="13" t="n"/>
      <c r="R103" s="13" t="n"/>
    </row>
    <row r="104">
      <c r="A104" s="8" t="n">
        <v>100</v>
      </c>
      <c r="B104" s="8" t="inlineStr">
        <is>
          <t>PK-100</t>
        </is>
      </c>
      <c r="C104" s="9" t="inlineStr">
        <is>
          <t>Quán Cô Mùi</t>
        </is>
      </c>
      <c r="D104" s="8" t="inlineStr">
        <is>
          <t>Nhà hàng</t>
        </is>
      </c>
      <c r="E104" s="9" t="inlineStr">
        <is>
          <t>29/7 Phan Bội Châu, Phường Hội Thương, TP. Pleiku</t>
        </is>
      </c>
      <c r="F104" s="9" t="inlineStr">
        <is>
          <t>Phan Bội Châu</t>
        </is>
      </c>
      <c r="G104" s="8" t="inlineStr">
        <is>
          <t>Phường Pleiku</t>
        </is>
      </c>
      <c r="H104" s="8" t="inlineStr">
        <is>
          <t>Hội Thương</t>
        </is>
      </c>
      <c r="I104" s="9" t="inlineStr"/>
      <c r="J104" s="9" t="inlineStr">
        <is>
          <t>Danh sách tham khảo</t>
        </is>
      </c>
      <c r="K104" s="11" t="inlineStr">
        <is>
          <t>Bản đồ</t>
        </is>
      </c>
      <c r="L104" s="12" t="n"/>
      <c r="M104" s="13" t="n"/>
      <c r="N104" s="13" t="n"/>
      <c r="O104" s="13" t="n"/>
      <c r="P104" s="13" t="n"/>
      <c r="Q104" s="13" t="n"/>
      <c r="R104" s="13" t="n"/>
    </row>
    <row r="105">
      <c r="A105" s="8" t="n">
        <v>101</v>
      </c>
      <c r="B105" s="8" t="inlineStr">
        <is>
          <t>PK-101</t>
        </is>
      </c>
      <c r="C105" s="9" t="inlineStr">
        <is>
          <t>Trung tâm Hội nghị - Tiệc cưới Pleiku Palace</t>
        </is>
      </c>
      <c r="D105" s="8" t="inlineStr">
        <is>
          <t>Nhà hàng</t>
        </is>
      </c>
      <c r="E105" s="9" t="inlineStr">
        <is>
          <t>22 Phan Đình Giót, Phường Diên Hồng, TP. Pleiku</t>
        </is>
      </c>
      <c r="F105" s="9" t="inlineStr">
        <is>
          <t>Phan Đình Giót</t>
        </is>
      </c>
      <c r="G105" s="8" t="inlineStr">
        <is>
          <t>Phường Pleiku</t>
        </is>
      </c>
      <c r="H105" s="8" t="inlineStr">
        <is>
          <t>Diên Hồng</t>
        </is>
      </c>
      <c r="I105" s="10" t="inlineStr">
        <is>
          <t>Địa chỉ ghi Phường Diên Hồng nhưng vị trí thuộc Phường Pleiku</t>
        </is>
      </c>
      <c r="J105" s="9" t="inlineStr">
        <is>
          <t>Danh sách tham khảo</t>
        </is>
      </c>
      <c r="K105" s="11" t="inlineStr">
        <is>
          <t>Bản đồ</t>
        </is>
      </c>
      <c r="L105" s="12" t="n"/>
      <c r="M105" s="13" t="n"/>
      <c r="N105" s="13" t="n"/>
      <c r="O105" s="13" t="n"/>
      <c r="P105" s="13" t="n"/>
      <c r="Q105" s="13" t="n"/>
      <c r="R105" s="13" t="n"/>
    </row>
    <row r="106">
      <c r="A106" s="8" t="n">
        <v>102</v>
      </c>
      <c r="B106" s="8" t="inlineStr">
        <is>
          <t>PK-102</t>
        </is>
      </c>
      <c r="C106" s="9" t="inlineStr">
        <is>
          <t>Burger Việt CN Phan Đình Giót - Hoa Lư</t>
        </is>
      </c>
      <c r="D106" s="8" t="inlineStr">
        <is>
          <t>Nhà hàng</t>
        </is>
      </c>
      <c r="E106" s="9" t="inlineStr">
        <is>
          <t>29 Phan Đình Giót, Phường Hoa Lư, TP. Pleiku</t>
        </is>
      </c>
      <c r="F106" s="9" t="inlineStr">
        <is>
          <t>Phan Đình Giót</t>
        </is>
      </c>
      <c r="G106" s="8" t="inlineStr">
        <is>
          <t>Phường Pleiku</t>
        </is>
      </c>
      <c r="H106" s="8" t="inlineStr">
        <is>
          <t>Hoa Lư</t>
        </is>
      </c>
      <c r="I106" s="9" t="inlineStr"/>
      <c r="J106" s="9" t="inlineStr">
        <is>
          <t>Danh sách tham khảo</t>
        </is>
      </c>
      <c r="K106" s="11" t="inlineStr">
        <is>
          <t>Bản đồ</t>
        </is>
      </c>
      <c r="L106" s="12" t="n"/>
      <c r="M106" s="13" t="n"/>
      <c r="N106" s="13" t="n"/>
      <c r="O106" s="13" t="n"/>
      <c r="P106" s="13" t="n"/>
      <c r="Q106" s="13" t="n"/>
      <c r="R106" s="13" t="n"/>
    </row>
    <row r="107">
      <c r="A107" s="8" t="n">
        <v>103</v>
      </c>
      <c r="B107" s="8" t="inlineStr">
        <is>
          <t>PK-103</t>
        </is>
      </c>
      <c r="C107" s="9" t="inlineStr">
        <is>
          <t>Quán O Lành</t>
        </is>
      </c>
      <c r="D107" s="8" t="inlineStr">
        <is>
          <t>Nhà hàng</t>
        </is>
      </c>
      <c r="E107" s="9" t="inlineStr">
        <is>
          <t>133 Phan Đình Giót, Phường Hội Thương, TP. Pleiku</t>
        </is>
      </c>
      <c r="F107" s="9" t="inlineStr">
        <is>
          <t>Phan Đình Giót</t>
        </is>
      </c>
      <c r="G107" s="8" t="inlineStr">
        <is>
          <t>Phường Pleiku</t>
        </is>
      </c>
      <c r="H107" s="8" t="inlineStr">
        <is>
          <t>Hội Thương</t>
        </is>
      </c>
      <c r="I107" s="9" t="inlineStr"/>
      <c r="J107" s="9" t="inlineStr">
        <is>
          <t>Danh sách tham khảo</t>
        </is>
      </c>
      <c r="K107" s="11" t="inlineStr">
        <is>
          <t>Bản đồ</t>
        </is>
      </c>
      <c r="L107" s="12" t="n"/>
      <c r="M107" s="13" t="n"/>
      <c r="N107" s="13" t="n"/>
      <c r="O107" s="13" t="n"/>
      <c r="P107" s="13" t="n"/>
      <c r="Q107" s="13" t="n"/>
      <c r="R107" s="13" t="n"/>
    </row>
    <row r="108">
      <c r="A108" s="8" t="n">
        <v>104</v>
      </c>
      <c r="B108" s="8" t="inlineStr">
        <is>
          <t>PK-104</t>
        </is>
      </c>
      <c r="C108" s="9" t="inlineStr">
        <is>
          <t>Phở bún HUYỀN kiot 3,đường kapaklong.chợ hoa lư tp pleiku giá bình dân 15k - 20k</t>
        </is>
      </c>
      <c r="D108" s="8" t="inlineStr">
        <is>
          <t>Nhà hàng</t>
        </is>
      </c>
      <c r="E108" s="9" t="inlineStr">
        <is>
          <t>151/4 Phan Đình Giót, Phường Hoa Lư, TP. Pleiku</t>
        </is>
      </c>
      <c r="F108" s="9" t="inlineStr">
        <is>
          <t>Phan Đình Giót</t>
        </is>
      </c>
      <c r="G108" s="8" t="inlineStr">
        <is>
          <t>Phường Pleiku</t>
        </is>
      </c>
      <c r="H108" s="8" t="inlineStr">
        <is>
          <t>Hoa Lư</t>
        </is>
      </c>
      <c r="I108" s="10" t="inlineStr">
        <is>
          <t>Có thể không phải quán ăn; Tên có thể kèm quảng cáo – ghi lại tên trên biển hiệu</t>
        </is>
      </c>
      <c r="J108" s="9" t="inlineStr">
        <is>
          <t>Danh sách tham khảo</t>
        </is>
      </c>
      <c r="K108" s="11" t="inlineStr">
        <is>
          <t>Bản đồ</t>
        </is>
      </c>
      <c r="L108" s="12" t="n"/>
      <c r="M108" s="13" t="n"/>
      <c r="N108" s="13" t="n"/>
      <c r="O108" s="13" t="n"/>
      <c r="P108" s="13" t="n"/>
      <c r="Q108" s="13" t="n"/>
      <c r="R108" s="13" t="n"/>
    </row>
    <row r="109">
      <c r="A109" s="8" t="n">
        <v>105</v>
      </c>
      <c r="B109" s="8" t="inlineStr">
        <is>
          <t>PK-105</t>
        </is>
      </c>
      <c r="C109" s="9" t="inlineStr">
        <is>
          <t>Nhà hàng cơm niêu Diễm</t>
        </is>
      </c>
      <c r="D109" s="8" t="inlineStr">
        <is>
          <t>Nhà hàng</t>
        </is>
      </c>
      <c r="E109" s="9" t="inlineStr">
        <is>
          <t>01 Phan Đình Phùng, Phường Tây Sơn, TP. Pleiku</t>
        </is>
      </c>
      <c r="F109" s="9" t="inlineStr">
        <is>
          <t>Phan Đình Phùng</t>
        </is>
      </c>
      <c r="G109" s="8" t="inlineStr">
        <is>
          <t>Phường Pleiku</t>
        </is>
      </c>
      <c r="H109" s="8" t="inlineStr">
        <is>
          <t>Tây Sơn</t>
        </is>
      </c>
      <c r="I109" s="10" t="inlineStr">
        <is>
          <t>Đã có trên bản đồ – kiểm tra &amp; bổ sung</t>
        </is>
      </c>
      <c r="J109" s="9" t="inlineStr">
        <is>
          <t>Danh sách tham khảo, Hệ thống</t>
        </is>
      </c>
      <c r="K109" s="11" t="inlineStr">
        <is>
          <t>Bản đồ</t>
        </is>
      </c>
      <c r="L109" s="12" t="n"/>
      <c r="M109" s="13" t="n"/>
      <c r="N109" s="13" t="n"/>
      <c r="O109" s="13" t="n"/>
      <c r="P109" s="13" t="n"/>
      <c r="Q109" s="13" t="n"/>
      <c r="R109" s="13" t="n"/>
    </row>
    <row r="110">
      <c r="A110" s="8" t="n">
        <v>106</v>
      </c>
      <c r="B110" s="8" t="inlineStr">
        <is>
          <t>PK-106</t>
        </is>
      </c>
      <c r="C110" s="9" t="inlineStr">
        <is>
          <t>Ocha House Pleiku</t>
        </is>
      </c>
      <c r="D110" s="8" t="inlineStr">
        <is>
          <t>Nhà hàng</t>
        </is>
      </c>
      <c r="E110" s="9" t="inlineStr">
        <is>
          <t>29 Phan Đình Phùng, Pleiku, Gia Lai 600000, Việt Nam</t>
        </is>
      </c>
      <c r="F110" s="9" t="inlineStr">
        <is>
          <t>Phan Đình Phùng</t>
        </is>
      </c>
      <c r="G110" s="8" t="inlineStr">
        <is>
          <t>Phường Pleiku</t>
        </is>
      </c>
      <c r="H110" s="8" t="inlineStr"/>
      <c r="I110" s="10" t="inlineStr">
        <is>
          <t>Đã có trên bản đồ – kiểm tra &amp; bổ sung</t>
        </is>
      </c>
      <c r="J110" s="9" t="inlineStr">
        <is>
          <t>Hệ thống</t>
        </is>
      </c>
      <c r="K110" s="11" t="inlineStr">
        <is>
          <t>Bản đồ</t>
        </is>
      </c>
      <c r="L110" s="12" t="n"/>
      <c r="M110" s="13" t="n"/>
      <c r="N110" s="13" t="n"/>
      <c r="O110" s="13" t="n"/>
      <c r="P110" s="13" t="n"/>
      <c r="Q110" s="13" t="n"/>
      <c r="R110" s="13" t="n"/>
    </row>
    <row r="111">
      <c r="A111" s="8" t="n">
        <v>107</v>
      </c>
      <c r="B111" s="8" t="inlineStr">
        <is>
          <t>PK-107</t>
        </is>
      </c>
      <c r="C111" s="9" t="inlineStr">
        <is>
          <t>Quán Bê Thui Thành Đạt</t>
        </is>
      </c>
      <c r="D111" s="8" t="inlineStr">
        <is>
          <t>Nhà hàng</t>
        </is>
      </c>
      <c r="E111" s="9" t="inlineStr">
        <is>
          <t>46 Phan Đình Phùng, Phường Tây Sơn, TP. Pleiku</t>
        </is>
      </c>
      <c r="F111" s="9" t="inlineStr">
        <is>
          <t>Phan Đình Phùng</t>
        </is>
      </c>
      <c r="G111" s="8" t="inlineStr">
        <is>
          <t>Phường Pleiku</t>
        </is>
      </c>
      <c r="H111" s="8" t="inlineStr">
        <is>
          <t>Tây Sơn</t>
        </is>
      </c>
      <c r="I111" s="9" t="inlineStr"/>
      <c r="J111" s="9" t="inlineStr">
        <is>
          <t>Danh sách tham khảo</t>
        </is>
      </c>
      <c r="K111" s="11" t="inlineStr">
        <is>
          <t>Bản đồ</t>
        </is>
      </c>
      <c r="L111" s="12" t="n"/>
      <c r="M111" s="13" t="n"/>
      <c r="N111" s="13" t="n"/>
      <c r="O111" s="13" t="n"/>
      <c r="P111" s="13" t="n"/>
      <c r="Q111" s="13" t="n"/>
      <c r="R111" s="13" t="n"/>
    </row>
    <row r="112">
      <c r="A112" s="8" t="n">
        <v>108</v>
      </c>
      <c r="B112" s="8" t="inlineStr">
        <is>
          <t>PK-108</t>
        </is>
      </c>
      <c r="C112" s="9" t="inlineStr">
        <is>
          <t>LẨU CÔ DUYÊN - GIA LAI</t>
        </is>
      </c>
      <c r="D112" s="8" t="inlineStr">
        <is>
          <t>Nhà hàng</t>
        </is>
      </c>
      <c r="E112" s="9" t="inlineStr">
        <is>
          <t>91 Phan Đình Phùng, Phường Tây Sơn, TP. Pleiku</t>
        </is>
      </c>
      <c r="F112" s="9" t="inlineStr">
        <is>
          <t>Phan Đình Phùng</t>
        </is>
      </c>
      <c r="G112" s="8" t="inlineStr">
        <is>
          <t>Phường Pleiku</t>
        </is>
      </c>
      <c r="H112" s="8" t="inlineStr">
        <is>
          <t>Tây Sơn</t>
        </is>
      </c>
      <c r="I112" s="10" t="inlineStr">
        <is>
          <t>Trùng vị trí với: Món ngon Việt; Đã có trên bản đồ – kiểm tra &amp; bổ sung</t>
        </is>
      </c>
      <c r="J112" s="9" t="inlineStr">
        <is>
          <t>Danh sách tham khảo, Hệ thống</t>
        </is>
      </c>
      <c r="K112" s="11" t="inlineStr">
        <is>
          <t>Bản đồ</t>
        </is>
      </c>
      <c r="L112" s="12" t="n"/>
      <c r="M112" s="13" t="n"/>
      <c r="N112" s="13" t="n"/>
      <c r="O112" s="13" t="n"/>
      <c r="P112" s="13" t="n"/>
      <c r="Q112" s="13" t="n"/>
      <c r="R112" s="13" t="n"/>
    </row>
    <row r="113">
      <c r="A113" s="8" t="n">
        <v>109</v>
      </c>
      <c r="B113" s="8" t="inlineStr">
        <is>
          <t>PK-109</t>
        </is>
      </c>
      <c r="C113" s="9" t="inlineStr">
        <is>
          <t>Món ngon Việt</t>
        </is>
      </c>
      <c r="D113" s="8" t="inlineStr">
        <is>
          <t>Nhà hàng</t>
        </is>
      </c>
      <c r="E113" s="9" t="inlineStr">
        <is>
          <t>91 Phan Đình Phùng, Phường Tây Sơn, TP. Pleiku</t>
        </is>
      </c>
      <c r="F113" s="9" t="inlineStr">
        <is>
          <t>Phan Đình Phùng</t>
        </is>
      </c>
      <c r="G113" s="8" t="inlineStr">
        <is>
          <t>Phường Pleiku</t>
        </is>
      </c>
      <c r="H113" s="8" t="inlineStr">
        <is>
          <t>Tây Sơn</t>
        </is>
      </c>
      <c r="I113" s="10" t="inlineStr">
        <is>
          <t>Trùng vị trí với: LẨU CÔ DUYÊN - GIA LAI</t>
        </is>
      </c>
      <c r="J113" s="9" t="inlineStr">
        <is>
          <t>Danh sách tham khảo</t>
        </is>
      </c>
      <c r="K113" s="11" t="inlineStr">
        <is>
          <t>Bản đồ</t>
        </is>
      </c>
      <c r="L113" s="12" t="n"/>
      <c r="M113" s="13" t="n"/>
      <c r="N113" s="13" t="n"/>
      <c r="O113" s="13" t="n"/>
      <c r="P113" s="13" t="n"/>
      <c r="Q113" s="13" t="n"/>
      <c r="R113" s="13" t="n"/>
    </row>
    <row r="114">
      <c r="A114" s="8" t="n">
        <v>110</v>
      </c>
      <c r="B114" s="8" t="inlineStr">
        <is>
          <t>PK-110</t>
        </is>
      </c>
      <c r="C114" s="9" t="inlineStr">
        <is>
          <t>Hẻm 46/94 Phan Đình Phùng, Tây Sơn, Thành Phố Pleiku</t>
        </is>
      </c>
      <c r="D114" s="8" t="inlineStr">
        <is>
          <t>Nhà hàng</t>
        </is>
      </c>
      <c r="E114" s="9" t="inlineStr">
        <is>
          <t>94 Phan Đình Phùng, Phường Tây Sơn, TP. Pleiku</t>
        </is>
      </c>
      <c r="F114" s="9" t="inlineStr">
        <is>
          <t>Phan Đình Phùng</t>
        </is>
      </c>
      <c r="G114" s="8" t="inlineStr">
        <is>
          <t>Phường Pleiku</t>
        </is>
      </c>
      <c r="H114" s="8" t="inlineStr">
        <is>
          <t>Tây Sơn</t>
        </is>
      </c>
      <c r="I114" s="9" t="inlineStr"/>
      <c r="J114" s="9" t="inlineStr">
        <is>
          <t>Danh sách tham khảo</t>
        </is>
      </c>
      <c r="K114" s="11" t="inlineStr">
        <is>
          <t>Bản đồ</t>
        </is>
      </c>
      <c r="L114" s="12" t="n"/>
      <c r="M114" s="13" t="n"/>
      <c r="N114" s="13" t="n"/>
      <c r="O114" s="13" t="n"/>
      <c r="P114" s="13" t="n"/>
      <c r="Q114" s="13" t="n"/>
      <c r="R114" s="13" t="n"/>
    </row>
    <row r="115">
      <c r="A115" s="8" t="n">
        <v>111</v>
      </c>
      <c r="B115" s="8" t="inlineStr">
        <is>
          <t>PK-111</t>
        </is>
      </c>
      <c r="C115" s="9" t="inlineStr">
        <is>
          <t>Nhà hàng Thanh Trúc</t>
        </is>
      </c>
      <c r="D115" s="8" t="inlineStr">
        <is>
          <t>Nhà hàng</t>
        </is>
      </c>
      <c r="E115" s="9" t="inlineStr">
        <is>
          <t>112/4/8 Phan Đình Phùng, Phường Tây Sơn, TP. Pleiku</t>
        </is>
      </c>
      <c r="F115" s="9" t="inlineStr">
        <is>
          <t>Phan Đình Phùng</t>
        </is>
      </c>
      <c r="G115" s="8" t="inlineStr">
        <is>
          <t>Phường Pleiku</t>
        </is>
      </c>
      <c r="H115" s="8" t="inlineStr">
        <is>
          <t>Tây Sơn</t>
        </is>
      </c>
      <c r="I115" s="9" t="inlineStr"/>
      <c r="J115" s="9" t="inlineStr">
        <is>
          <t>Danh sách tham khảo</t>
        </is>
      </c>
      <c r="K115" s="11" t="inlineStr">
        <is>
          <t>Bản đồ</t>
        </is>
      </c>
      <c r="L115" s="12" t="n"/>
      <c r="M115" s="13" t="n"/>
      <c r="N115" s="13" t="n"/>
      <c r="O115" s="13" t="n"/>
      <c r="P115" s="13" t="n"/>
      <c r="Q115" s="13" t="n"/>
      <c r="R115" s="13" t="n"/>
    </row>
    <row r="116">
      <c r="A116" s="8" t="n">
        <v>112</v>
      </c>
      <c r="B116" s="8" t="inlineStr">
        <is>
          <t>PK-112</t>
        </is>
      </c>
      <c r="C116" s="9" t="inlineStr">
        <is>
          <t>Mạnh Hải Sản Gia Lai</t>
        </is>
      </c>
      <c r="D116" s="8" t="inlineStr">
        <is>
          <t>Nhà hàng</t>
        </is>
      </c>
      <c r="E116" s="9" t="inlineStr">
        <is>
          <t>175 Phan Đình Phùng</t>
        </is>
      </c>
      <c r="F116" s="9" t="inlineStr">
        <is>
          <t>Phan Đình Phùng</t>
        </is>
      </c>
      <c r="G116" s="8" t="inlineStr">
        <is>
          <t>Phường Pleiku</t>
        </is>
      </c>
      <c r="H116" s="8" t="inlineStr"/>
      <c r="I116" s="9" t="inlineStr"/>
      <c r="J116" s="9" t="inlineStr">
        <is>
          <t>OpenStreetMap</t>
        </is>
      </c>
      <c r="K116" s="11" t="inlineStr">
        <is>
          <t>Bản đồ</t>
        </is>
      </c>
      <c r="L116" s="12" t="n"/>
      <c r="M116" s="13" t="n"/>
      <c r="N116" s="13" t="n"/>
      <c r="O116" s="13" t="n"/>
      <c r="P116" s="13" t="n"/>
      <c r="Q116" s="13" t="n"/>
      <c r="R116" s="13" t="n"/>
    </row>
    <row r="117">
      <c r="A117" s="8" t="n">
        <v>113</v>
      </c>
      <c r="B117" s="8" t="inlineStr">
        <is>
          <t>PK-113</t>
        </is>
      </c>
      <c r="C117" s="9" t="inlineStr">
        <is>
          <t>BÚN ĐẬU MẮM TÔM GIA LAI ( CÔ DUYÊN)</t>
        </is>
      </c>
      <c r="D117" s="8" t="inlineStr">
        <is>
          <t>Nhà hàng</t>
        </is>
      </c>
      <c r="E117" s="9" t="inlineStr">
        <is>
          <t>199 Phan Đình Phùng, Phường Tây Sơn, TP. Pleiku</t>
        </is>
      </c>
      <c r="F117" s="9" t="inlineStr">
        <is>
          <t>Phan Đình Phùng</t>
        </is>
      </c>
      <c r="G117" s="8" t="inlineStr">
        <is>
          <t>Phường Pleiku</t>
        </is>
      </c>
      <c r="H117" s="8" t="inlineStr">
        <is>
          <t>Tây Sơn</t>
        </is>
      </c>
      <c r="I117" s="9" t="inlineStr"/>
      <c r="J117" s="9" t="inlineStr">
        <is>
          <t>Danh sách tham khảo</t>
        </is>
      </c>
      <c r="K117" s="11" t="inlineStr">
        <is>
          <t>Bản đồ</t>
        </is>
      </c>
      <c r="L117" s="12" t="n"/>
      <c r="M117" s="13" t="n"/>
      <c r="N117" s="13" t="n"/>
      <c r="O117" s="13" t="n"/>
      <c r="P117" s="13" t="n"/>
      <c r="Q117" s="13" t="n"/>
      <c r="R117" s="13" t="n"/>
    </row>
    <row r="118">
      <c r="A118" s="8" t="n">
        <v>114</v>
      </c>
      <c r="B118" s="8" t="inlineStr">
        <is>
          <t>PK-114</t>
        </is>
      </c>
      <c r="C118" s="9" t="inlineStr">
        <is>
          <t>Bún cua thối 243 PĐP</t>
        </is>
      </c>
      <c r="D118" s="8" t="inlineStr">
        <is>
          <t>Nhà hàng</t>
        </is>
      </c>
      <c r="E118" s="9" t="inlineStr">
        <is>
          <t>243 Phan Đình Phùng, Phường Tây Sơn, TP. Pleiku</t>
        </is>
      </c>
      <c r="F118" s="9" t="inlineStr">
        <is>
          <t>Phan Đình Phùng</t>
        </is>
      </c>
      <c r="G118" s="8" t="inlineStr">
        <is>
          <t>Phường Pleiku</t>
        </is>
      </c>
      <c r="H118" s="8" t="inlineStr">
        <is>
          <t>Tây Sơn</t>
        </is>
      </c>
      <c r="I118" s="9" t="inlineStr"/>
      <c r="J118" s="9" t="inlineStr">
        <is>
          <t>Danh sách tham khảo</t>
        </is>
      </c>
      <c r="K118" s="11" t="inlineStr">
        <is>
          <t>Bản đồ</t>
        </is>
      </c>
      <c r="L118" s="12" t="n"/>
      <c r="M118" s="13" t="n"/>
      <c r="N118" s="13" t="n"/>
      <c r="O118" s="13" t="n"/>
      <c r="P118" s="13" t="n"/>
      <c r="Q118" s="13" t="n"/>
      <c r="R118" s="13" t="n"/>
    </row>
    <row r="119">
      <c r="A119" s="8" t="n">
        <v>115</v>
      </c>
      <c r="B119" s="8" t="inlineStr">
        <is>
          <t>PK-115</t>
        </is>
      </c>
      <c r="C119" s="9" t="inlineStr">
        <is>
          <t>Quán Chốt 365</t>
        </is>
      </c>
      <c r="D119" s="8" t="inlineStr">
        <is>
          <t>Nhà hàng</t>
        </is>
      </c>
      <c r="E119" s="9" t="inlineStr">
        <is>
          <t>49 Phan Kế Bính, Phường Phù Đổng, TP. Pleiku</t>
        </is>
      </c>
      <c r="F119" s="9" t="inlineStr">
        <is>
          <t>Phan Kế Bính</t>
        </is>
      </c>
      <c r="G119" s="8" t="inlineStr">
        <is>
          <t>Phường Pleiku</t>
        </is>
      </c>
      <c r="H119" s="8" t="inlineStr">
        <is>
          <t>Phù Đổng</t>
        </is>
      </c>
      <c r="I119" s="9" t="inlineStr"/>
      <c r="J119" s="9" t="inlineStr">
        <is>
          <t>Danh sách tham khảo</t>
        </is>
      </c>
      <c r="K119" s="11" t="inlineStr">
        <is>
          <t>Bản đồ</t>
        </is>
      </c>
      <c r="L119" s="12" t="n"/>
      <c r="M119" s="13" t="n"/>
      <c r="N119" s="13" t="n"/>
      <c r="O119" s="13" t="n"/>
      <c r="P119" s="13" t="n"/>
      <c r="Q119" s="13" t="n"/>
      <c r="R119" s="13" t="n"/>
    </row>
    <row r="120">
      <c r="A120" s="8" t="n">
        <v>116</v>
      </c>
      <c r="B120" s="8" t="inlineStr">
        <is>
          <t>PK-116</t>
        </is>
      </c>
      <c r="C120" s="9" t="inlineStr">
        <is>
          <t>Cháo Lòng Bà Hoa</t>
        </is>
      </c>
      <c r="D120" s="8" t="inlineStr">
        <is>
          <t>Nhà hàng</t>
        </is>
      </c>
      <c r="E120" s="9" t="inlineStr">
        <is>
          <t>19 Phù Đổng, Phường Phù Đổng, TP. Pleiku</t>
        </is>
      </c>
      <c r="F120" s="9" t="inlineStr">
        <is>
          <t>Phù Đổng</t>
        </is>
      </c>
      <c r="G120" s="8" t="inlineStr">
        <is>
          <t>Phường Pleiku</t>
        </is>
      </c>
      <c r="H120" s="8" t="inlineStr">
        <is>
          <t>Phù Đổng</t>
        </is>
      </c>
      <c r="I120" s="9" t="inlineStr"/>
      <c r="J120" s="9" t="inlineStr">
        <is>
          <t>Danh sách tham khảo</t>
        </is>
      </c>
      <c r="K120" s="11" t="inlineStr">
        <is>
          <t>Bản đồ</t>
        </is>
      </c>
      <c r="L120" s="12" t="n"/>
      <c r="M120" s="13" t="n"/>
      <c r="N120" s="13" t="n"/>
      <c r="O120" s="13" t="n"/>
      <c r="P120" s="13" t="n"/>
      <c r="Q120" s="13" t="n"/>
      <c r="R120" s="13" t="n"/>
    </row>
    <row r="121">
      <c r="A121" s="8" t="n">
        <v>117</v>
      </c>
      <c r="B121" s="8" t="inlineStr">
        <is>
          <t>PK-117</t>
        </is>
      </c>
      <c r="C121" s="9" t="inlineStr">
        <is>
          <t>Bún Đậu Mắm Tôm</t>
        </is>
      </c>
      <c r="D121" s="8" t="inlineStr">
        <is>
          <t>Nhà hàng</t>
        </is>
      </c>
      <c r="E121" s="9" t="inlineStr">
        <is>
          <t>27 Phù Đổng, Phường Phù Đổng, TP. Pleiku</t>
        </is>
      </c>
      <c r="F121" s="9" t="inlineStr">
        <is>
          <t>Phù Đổng</t>
        </is>
      </c>
      <c r="G121" s="8" t="inlineStr">
        <is>
          <t>Phường Pleiku</t>
        </is>
      </c>
      <c r="H121" s="8" t="inlineStr">
        <is>
          <t>Phù Đổng</t>
        </is>
      </c>
      <c r="I121" s="9" t="inlineStr"/>
      <c r="J121" s="9" t="inlineStr">
        <is>
          <t>Danh sách tham khảo</t>
        </is>
      </c>
      <c r="K121" s="11" t="inlineStr">
        <is>
          <t>Bản đồ</t>
        </is>
      </c>
      <c r="L121" s="12" t="n"/>
      <c r="M121" s="13" t="n"/>
      <c r="N121" s="13" t="n"/>
      <c r="O121" s="13" t="n"/>
      <c r="P121" s="13" t="n"/>
      <c r="Q121" s="13" t="n"/>
      <c r="R121" s="13" t="n"/>
    </row>
    <row r="122">
      <c r="A122" s="8" t="n">
        <v>118</v>
      </c>
      <c r="B122" s="8" t="inlineStr">
        <is>
          <t>PK-118</t>
        </is>
      </c>
      <c r="C122" s="9" t="inlineStr">
        <is>
          <t>Quán phở Trang</t>
        </is>
      </c>
      <c r="D122" s="8" t="inlineStr">
        <is>
          <t>Nhà hàng</t>
        </is>
      </c>
      <c r="E122" s="9" t="inlineStr">
        <is>
          <t>39 Phù Đổng, Phường Phù Đổng, TP. Pleiku</t>
        </is>
      </c>
      <c r="F122" s="9" t="inlineStr">
        <is>
          <t>Phù Đổng</t>
        </is>
      </c>
      <c r="G122" s="8" t="inlineStr">
        <is>
          <t>Phường Pleiku</t>
        </is>
      </c>
      <c r="H122" s="8" t="inlineStr">
        <is>
          <t>Phù Đổng</t>
        </is>
      </c>
      <c r="I122" s="10" t="inlineStr">
        <is>
          <t>Trùng vị trí với: PHỞ LỘC</t>
        </is>
      </c>
      <c r="J122" s="9" t="inlineStr">
        <is>
          <t>Danh sách tham khảo</t>
        </is>
      </c>
      <c r="K122" s="11" t="inlineStr">
        <is>
          <t>Bản đồ</t>
        </is>
      </c>
      <c r="L122" s="12" t="n"/>
      <c r="M122" s="13" t="n"/>
      <c r="N122" s="13" t="n"/>
      <c r="O122" s="13" t="n"/>
      <c r="P122" s="13" t="n"/>
      <c r="Q122" s="13" t="n"/>
      <c r="R122" s="13" t="n"/>
    </row>
    <row r="123">
      <c r="A123" s="8" t="n">
        <v>119</v>
      </c>
      <c r="B123" s="8" t="inlineStr">
        <is>
          <t>PK-119</t>
        </is>
      </c>
      <c r="C123" s="9" t="inlineStr">
        <is>
          <t>BÚN CÁ NGỪ ĐẠI DƯƠNG THIÊN HƯƠNG</t>
        </is>
      </c>
      <c r="D123" s="8" t="inlineStr">
        <is>
          <t>Nhà hàng</t>
        </is>
      </c>
      <c r="E123" s="9" t="inlineStr">
        <is>
          <t>41 Phù Đổng, Phường Phù Đổng, TP. Pleiku</t>
        </is>
      </c>
      <c r="F123" s="9" t="inlineStr">
        <is>
          <t>Phù Đổng</t>
        </is>
      </c>
      <c r="G123" s="8" t="inlineStr">
        <is>
          <t>Phường Pleiku</t>
        </is>
      </c>
      <c r="H123" s="8" t="inlineStr">
        <is>
          <t>Phù Đổng</t>
        </is>
      </c>
      <c r="I123" s="10" t="inlineStr">
        <is>
          <t>Trùng vị trí với: PHỞ LỘC</t>
        </is>
      </c>
      <c r="J123" s="9" t="inlineStr">
        <is>
          <t>Danh sách tham khảo</t>
        </is>
      </c>
      <c r="K123" s="11" t="inlineStr">
        <is>
          <t>Bản đồ</t>
        </is>
      </c>
      <c r="L123" s="12" t="n"/>
      <c r="M123" s="13" t="n"/>
      <c r="N123" s="13" t="n"/>
      <c r="O123" s="13" t="n"/>
      <c r="P123" s="13" t="n"/>
      <c r="Q123" s="13" t="n"/>
      <c r="R123" s="13" t="n"/>
    </row>
    <row r="124">
      <c r="A124" s="8" t="n">
        <v>120</v>
      </c>
      <c r="B124" s="8" t="inlineStr">
        <is>
          <t>PK-120</t>
        </is>
      </c>
      <c r="C124" s="9" t="inlineStr">
        <is>
          <t>PHỞ LỘC</t>
        </is>
      </c>
      <c r="D124" s="8" t="inlineStr">
        <is>
          <t>Nhà hàng</t>
        </is>
      </c>
      <c r="E124" s="9" t="inlineStr">
        <is>
          <t>41 Phù Đổng, Phường Phù Đổng, TP. Pleiku</t>
        </is>
      </c>
      <c r="F124" s="9" t="inlineStr">
        <is>
          <t>Phù Đổng</t>
        </is>
      </c>
      <c r="G124" s="8" t="inlineStr">
        <is>
          <t>Phường Pleiku</t>
        </is>
      </c>
      <c r="H124" s="8" t="inlineStr">
        <is>
          <t>Phù Đổng</t>
        </is>
      </c>
      <c r="I124" s="10" t="inlineStr">
        <is>
          <t>Trùng vị trí với: BÚN CÁ NGỪ ĐẠI DƯƠNG THIÊN HƯƠNG, Quán phở Trang</t>
        </is>
      </c>
      <c r="J124" s="9" t="inlineStr">
        <is>
          <t>Danh sách tham khảo</t>
        </is>
      </c>
      <c r="K124" s="11" t="inlineStr">
        <is>
          <t>Bản đồ</t>
        </is>
      </c>
      <c r="L124" s="12" t="n"/>
      <c r="M124" s="13" t="n"/>
      <c r="N124" s="13" t="n"/>
      <c r="O124" s="13" t="n"/>
      <c r="P124" s="13" t="n"/>
      <c r="Q124" s="13" t="n"/>
      <c r="R124" s="13" t="n"/>
    </row>
    <row r="125">
      <c r="A125" s="8" t="n">
        <v>121</v>
      </c>
      <c r="B125" s="8" t="inlineStr">
        <is>
          <t>PK-121</t>
        </is>
      </c>
      <c r="C125" s="9" t="inlineStr">
        <is>
          <t>Quán Lệ Bún Thị Nướng 55 Phù Đổng</t>
        </is>
      </c>
      <c r="D125" s="8" t="inlineStr">
        <is>
          <t>Nhà hàng</t>
        </is>
      </c>
      <c r="E125" s="9" t="inlineStr">
        <is>
          <t>55 Phù Đổng, Phường Phù Đổng, TP. Pleiku</t>
        </is>
      </c>
      <c r="F125" s="9" t="inlineStr">
        <is>
          <t>Phù Đổng</t>
        </is>
      </c>
      <c r="G125" s="8" t="inlineStr">
        <is>
          <t>Phường Pleiku</t>
        </is>
      </c>
      <c r="H125" s="8" t="inlineStr">
        <is>
          <t>Phù Đổng</t>
        </is>
      </c>
      <c r="I125" s="9" t="inlineStr"/>
      <c r="J125" s="9" t="inlineStr">
        <is>
          <t>Danh sách tham khảo</t>
        </is>
      </c>
      <c r="K125" s="11" t="inlineStr">
        <is>
          <t>Bản đồ</t>
        </is>
      </c>
      <c r="L125" s="12" t="n"/>
      <c r="M125" s="13" t="n"/>
      <c r="N125" s="13" t="n"/>
      <c r="O125" s="13" t="n"/>
      <c r="P125" s="13" t="n"/>
      <c r="Q125" s="13" t="n"/>
      <c r="R125" s="13" t="n"/>
    </row>
    <row r="126">
      <c r="A126" s="8" t="n">
        <v>122</v>
      </c>
      <c r="B126" s="8" t="inlineStr">
        <is>
          <t>PK-122</t>
        </is>
      </c>
      <c r="C126" s="9" t="inlineStr">
        <is>
          <t>Quán Nhậu Anh Duy</t>
        </is>
      </c>
      <c r="D126" s="8" t="inlineStr">
        <is>
          <t>Nhà hàng</t>
        </is>
      </c>
      <c r="E126" s="9" t="inlineStr">
        <is>
          <t>60 Phù Đổng, Phường Phù Đổng, TP. Pleiku</t>
        </is>
      </c>
      <c r="F126" s="9" t="inlineStr">
        <is>
          <t>Phù Đổng</t>
        </is>
      </c>
      <c r="G126" s="8" t="inlineStr">
        <is>
          <t>Phường Pleiku</t>
        </is>
      </c>
      <c r="H126" s="8" t="inlineStr">
        <is>
          <t>Phù Đổng</t>
        </is>
      </c>
      <c r="I126" s="9" t="inlineStr"/>
      <c r="J126" s="9" t="inlineStr">
        <is>
          <t>Danh sách tham khảo</t>
        </is>
      </c>
      <c r="K126" s="11" t="inlineStr">
        <is>
          <t>Bản đồ</t>
        </is>
      </c>
      <c r="L126" s="12" t="n"/>
      <c r="M126" s="13" t="n"/>
      <c r="N126" s="13" t="n"/>
      <c r="O126" s="13" t="n"/>
      <c r="P126" s="13" t="n"/>
      <c r="Q126" s="13" t="n"/>
      <c r="R126" s="13" t="n"/>
    </row>
    <row r="127">
      <c r="A127" s="8" t="n">
        <v>123</v>
      </c>
      <c r="B127" s="8" t="inlineStr">
        <is>
          <t>PK-123</t>
        </is>
      </c>
      <c r="C127" s="9" t="inlineStr">
        <is>
          <t>Ốc Chỉ Trang 2</t>
        </is>
      </c>
      <c r="D127" s="8" t="inlineStr">
        <is>
          <t>Nhà hàng</t>
        </is>
      </c>
      <c r="E127" s="9" t="inlineStr">
        <is>
          <t>65 Phù Đổng, Phường Phù Đổng, TP. Pleiku</t>
        </is>
      </c>
      <c r="F127" s="9" t="inlineStr">
        <is>
          <t>Phù Đổng</t>
        </is>
      </c>
      <c r="G127" s="8" t="inlineStr">
        <is>
          <t>Phường Pleiku</t>
        </is>
      </c>
      <c r="H127" s="8" t="inlineStr">
        <is>
          <t>Phù Đổng</t>
        </is>
      </c>
      <c r="I127" s="9" t="inlineStr"/>
      <c r="J127" s="9" t="inlineStr">
        <is>
          <t>Danh sách tham khảo</t>
        </is>
      </c>
      <c r="K127" s="11" t="inlineStr">
        <is>
          <t>Bản đồ</t>
        </is>
      </c>
      <c r="L127" s="12" t="n"/>
      <c r="M127" s="13" t="n"/>
      <c r="N127" s="13" t="n"/>
      <c r="O127" s="13" t="n"/>
      <c r="P127" s="13" t="n"/>
      <c r="Q127" s="13" t="n"/>
      <c r="R127" s="13" t="n"/>
    </row>
    <row r="128">
      <c r="A128" s="8" t="n">
        <v>124</v>
      </c>
      <c r="B128" s="8" t="inlineStr">
        <is>
          <t>PK-124</t>
        </is>
      </c>
      <c r="C128" s="9" t="inlineStr">
        <is>
          <t>Lẩu Gà Lá É Phú Yên - Tao Ngộ Quán 84 Phù Đổng</t>
        </is>
      </c>
      <c r="D128" s="8" t="inlineStr">
        <is>
          <t>Nhà hàng</t>
        </is>
      </c>
      <c r="E128" s="9" t="inlineStr">
        <is>
          <t>84 Phù Đổng, Phường Phù Đổng, TP. Pleiku</t>
        </is>
      </c>
      <c r="F128" s="9" t="inlineStr">
        <is>
          <t>Phù Đổng</t>
        </is>
      </c>
      <c r="G128" s="8" t="inlineStr">
        <is>
          <t>Phường Pleiku</t>
        </is>
      </c>
      <c r="H128" s="8" t="inlineStr">
        <is>
          <t>Phù Đổng</t>
        </is>
      </c>
      <c r="I128" s="9" t="inlineStr"/>
      <c r="J128" s="9" t="inlineStr">
        <is>
          <t>Danh sách tham khảo</t>
        </is>
      </c>
      <c r="K128" s="11" t="inlineStr">
        <is>
          <t>Bản đồ</t>
        </is>
      </c>
      <c r="L128" s="12" t="n"/>
      <c r="M128" s="13" t="n"/>
      <c r="N128" s="13" t="n"/>
      <c r="O128" s="13" t="n"/>
      <c r="P128" s="13" t="n"/>
      <c r="Q128" s="13" t="n"/>
      <c r="R128" s="13" t="n"/>
    </row>
    <row r="129">
      <c r="A129" s="8" t="n">
        <v>125</v>
      </c>
      <c r="B129" s="8" t="inlineStr">
        <is>
          <t>PK-125</t>
        </is>
      </c>
      <c r="C129" s="9" t="inlineStr">
        <is>
          <t>Quán cô hương</t>
        </is>
      </c>
      <c r="D129" s="8" t="inlineStr">
        <is>
          <t>Nhà hàng</t>
        </is>
      </c>
      <c r="E129" s="9" t="inlineStr">
        <is>
          <t>175 Phù Đổng, Phường Phù Đổng, TP. Pleiku</t>
        </is>
      </c>
      <c r="F129" s="9" t="inlineStr">
        <is>
          <t>Phù Đổng</t>
        </is>
      </c>
      <c r="G129" s="8" t="inlineStr">
        <is>
          <t>Phường Pleiku</t>
        </is>
      </c>
      <c r="H129" s="8" t="inlineStr">
        <is>
          <t>Phù Đổng</t>
        </is>
      </c>
      <c r="I129" s="9" t="inlineStr"/>
      <c r="J129" s="9" t="inlineStr">
        <is>
          <t>Danh sách tham khảo</t>
        </is>
      </c>
      <c r="K129" s="11" t="inlineStr">
        <is>
          <t>Bản đồ</t>
        </is>
      </c>
      <c r="L129" s="12" t="n"/>
      <c r="M129" s="13" t="n"/>
      <c r="N129" s="13" t="n"/>
      <c r="O129" s="13" t="n"/>
      <c r="P129" s="13" t="n"/>
      <c r="Q129" s="13" t="n"/>
      <c r="R129" s="13" t="n"/>
    </row>
    <row r="130">
      <c r="A130" s="8" t="n">
        <v>126</v>
      </c>
      <c r="B130" s="8" t="inlineStr">
        <is>
          <t>PK-126</t>
        </is>
      </c>
      <c r="C130" s="9" t="inlineStr">
        <is>
          <t>Quán Bê Thui Pờ Tó</t>
        </is>
      </c>
      <c r="D130" s="8" t="inlineStr">
        <is>
          <t>Nhà hàng</t>
        </is>
      </c>
      <c r="E130" s="9" t="inlineStr">
        <is>
          <t>197 Phù Đổng, Phường Phù Đổng, TP. Pleiku</t>
        </is>
      </c>
      <c r="F130" s="9" t="inlineStr">
        <is>
          <t>Phù Đổng</t>
        </is>
      </c>
      <c r="G130" s="8" t="inlineStr">
        <is>
          <t>Phường Pleiku</t>
        </is>
      </c>
      <c r="H130" s="8" t="inlineStr">
        <is>
          <t>Phù Đổng</t>
        </is>
      </c>
      <c r="I130" s="9" t="inlineStr"/>
      <c r="J130" s="9" t="inlineStr">
        <is>
          <t>Danh sách tham khảo</t>
        </is>
      </c>
      <c r="K130" s="11" t="inlineStr">
        <is>
          <t>Bản đồ</t>
        </is>
      </c>
      <c r="L130" s="12" t="n"/>
      <c r="M130" s="13" t="n"/>
      <c r="N130" s="13" t="n"/>
      <c r="O130" s="13" t="n"/>
      <c r="P130" s="13" t="n"/>
      <c r="Q130" s="13" t="n"/>
      <c r="R130" s="13" t="n"/>
    </row>
    <row r="131">
      <c r="A131" s="8" t="n">
        <v>127</v>
      </c>
      <c r="B131" s="8" t="inlineStr">
        <is>
          <t>PK-127</t>
        </is>
      </c>
      <c r="C131" s="9" t="inlineStr">
        <is>
          <t>Bún cua Chi</t>
        </is>
      </c>
      <c r="D131" s="8" t="inlineStr">
        <is>
          <t>Nhà hàng</t>
        </is>
      </c>
      <c r="E131" s="9" t="inlineStr">
        <is>
          <t>2 Phùng Hưng, Phường Hội Thương, TP. Pleiku</t>
        </is>
      </c>
      <c r="F131" s="9" t="inlineStr">
        <is>
          <t>Phùng Hưng</t>
        </is>
      </c>
      <c r="G131" s="8" t="inlineStr">
        <is>
          <t>Phường Pleiku</t>
        </is>
      </c>
      <c r="H131" s="8" t="inlineStr">
        <is>
          <t>Hội Thương</t>
        </is>
      </c>
      <c r="I131" s="10" t="inlineStr">
        <is>
          <t>Đã có trên bản đồ – kiểm tra &amp; bổ sung</t>
        </is>
      </c>
      <c r="J131" s="9" t="inlineStr">
        <is>
          <t>Danh sách tham khảo, Hệ thống</t>
        </is>
      </c>
      <c r="K131" s="11" t="inlineStr">
        <is>
          <t>Bản đồ</t>
        </is>
      </c>
      <c r="L131" s="12" t="n"/>
      <c r="M131" s="13" t="n"/>
      <c r="N131" s="13" t="n"/>
      <c r="O131" s="13" t="n"/>
      <c r="P131" s="13" t="n"/>
      <c r="Q131" s="13" t="n"/>
      <c r="R131" s="13" t="n"/>
    </row>
    <row r="132">
      <c r="A132" s="8" t="n">
        <v>128</v>
      </c>
      <c r="B132" s="8" t="inlineStr">
        <is>
          <t>PK-128</t>
        </is>
      </c>
      <c r="C132" s="9" t="inlineStr">
        <is>
          <t>Cơm Tây Nguyên</t>
        </is>
      </c>
      <c r="D132" s="8" t="inlineStr">
        <is>
          <t>Nhà hàng</t>
        </is>
      </c>
      <c r="E132" s="9" t="inlineStr">
        <is>
          <t>3 Phùng Hưng, Phường Hội Thương, TP. Pleiku</t>
        </is>
      </c>
      <c r="F132" s="9" t="inlineStr">
        <is>
          <t>Phùng Hưng</t>
        </is>
      </c>
      <c r="G132" s="8" t="inlineStr">
        <is>
          <t>Phường Pleiku</t>
        </is>
      </c>
      <c r="H132" s="8" t="inlineStr">
        <is>
          <t>Hội Thương</t>
        </is>
      </c>
      <c r="I132" s="9" t="inlineStr"/>
      <c r="J132" s="9" t="inlineStr">
        <is>
          <t>Danh sách tham khảo</t>
        </is>
      </c>
      <c r="K132" s="11" t="inlineStr">
        <is>
          <t>Bản đồ</t>
        </is>
      </c>
      <c r="L132" s="12" t="n"/>
      <c r="M132" s="13" t="n"/>
      <c r="N132" s="13" t="n"/>
      <c r="O132" s="13" t="n"/>
      <c r="P132" s="13" t="n"/>
      <c r="Q132" s="13" t="n"/>
      <c r="R132" s="13" t="n"/>
    </row>
    <row r="133">
      <c r="A133" s="8" t="n">
        <v>129</v>
      </c>
      <c r="B133" s="8" t="inlineStr">
        <is>
          <t>PK-129</t>
        </is>
      </c>
      <c r="C133" s="9" t="inlineStr">
        <is>
          <t>Chè cô ba sài gòn</t>
        </is>
      </c>
      <c r="D133" s="8" t="inlineStr">
        <is>
          <t>Quán nước</t>
        </is>
      </c>
      <c r="E133" s="9" t="inlineStr">
        <is>
          <t>14 Phùng Hưng, Phường Hội Thương, TP. Pleiku</t>
        </is>
      </c>
      <c r="F133" s="9" t="inlineStr">
        <is>
          <t>Phùng Hưng</t>
        </is>
      </c>
      <c r="G133" s="8" t="inlineStr">
        <is>
          <t>Phường Pleiku</t>
        </is>
      </c>
      <c r="H133" s="8" t="inlineStr">
        <is>
          <t>Hội Thương</t>
        </is>
      </c>
      <c r="I133" s="9" t="inlineStr"/>
      <c r="J133" s="9" t="inlineStr">
        <is>
          <t>Danh sách tham khảo</t>
        </is>
      </c>
      <c r="K133" s="11" t="inlineStr">
        <is>
          <t>Bản đồ</t>
        </is>
      </c>
      <c r="L133" s="12" t="n"/>
      <c r="M133" s="13" t="n"/>
      <c r="N133" s="13" t="n"/>
      <c r="O133" s="13" t="n"/>
      <c r="P133" s="13" t="n"/>
      <c r="Q133" s="13" t="n"/>
      <c r="R133" s="13" t="n"/>
    </row>
    <row r="134">
      <c r="A134" s="8" t="n">
        <v>130</v>
      </c>
      <c r="B134" s="8" t="inlineStr">
        <is>
          <t>PK-130</t>
        </is>
      </c>
      <c r="C134" s="9" t="inlineStr">
        <is>
          <t>Bún Cua (19 phùng Hưng)</t>
        </is>
      </c>
      <c r="D134" s="8" t="inlineStr">
        <is>
          <t>Nhà hàng</t>
        </is>
      </c>
      <c r="E134" s="9" t="inlineStr">
        <is>
          <t>19 Phùng Hưng, Phường Hội Thương, TP. Pleiku</t>
        </is>
      </c>
      <c r="F134" s="9" t="inlineStr">
        <is>
          <t>Phùng Hưng</t>
        </is>
      </c>
      <c r="G134" s="8" t="inlineStr">
        <is>
          <t>Phường Pleiku</t>
        </is>
      </c>
      <c r="H134" s="8" t="inlineStr">
        <is>
          <t>Hội Thương</t>
        </is>
      </c>
      <c r="I134" s="9" t="inlineStr"/>
      <c r="J134" s="9" t="inlineStr">
        <is>
          <t>Danh sách tham khảo</t>
        </is>
      </c>
      <c r="K134" s="11" t="inlineStr">
        <is>
          <t>Bản đồ</t>
        </is>
      </c>
      <c r="L134" s="12" t="n"/>
      <c r="M134" s="13" t="n"/>
      <c r="N134" s="13" t="n"/>
      <c r="O134" s="13" t="n"/>
      <c r="P134" s="13" t="n"/>
      <c r="Q134" s="13" t="n"/>
      <c r="R134" s="13" t="n"/>
    </row>
    <row r="135">
      <c r="A135" s="8" t="n">
        <v>131</v>
      </c>
      <c r="B135" s="8" t="inlineStr">
        <is>
          <t>PK-131</t>
        </is>
      </c>
      <c r="C135" s="9" t="inlineStr">
        <is>
          <t>The Quao</t>
        </is>
      </c>
      <c r="D135" s="8" t="inlineStr">
        <is>
          <t>Quán cà phê</t>
        </is>
      </c>
      <c r="E135" s="9" t="inlineStr">
        <is>
          <t>Phùng Hưng</t>
        </is>
      </c>
      <c r="F135" s="9" t="inlineStr">
        <is>
          <t>Phùng Hưng</t>
        </is>
      </c>
      <c r="G135" s="8" t="inlineStr">
        <is>
          <t>Phường Pleiku</t>
        </is>
      </c>
      <c r="H135" s="8" t="inlineStr"/>
      <c r="I135" s="10" t="inlineStr">
        <is>
          <t>Địa chỉ chưa có số nhà</t>
        </is>
      </c>
      <c r="J135" s="9" t="inlineStr">
        <is>
          <t>OpenStreetMap</t>
        </is>
      </c>
      <c r="K135" s="11" t="inlineStr">
        <is>
          <t>Bản đồ</t>
        </is>
      </c>
      <c r="L135" s="12" t="n"/>
      <c r="M135" s="13" t="n"/>
      <c r="N135" s="13" t="n"/>
      <c r="O135" s="13" t="n"/>
      <c r="P135" s="13" t="n"/>
      <c r="Q135" s="13" t="n"/>
      <c r="R135" s="13" t="n"/>
    </row>
    <row r="136">
      <c r="A136" s="8" t="n">
        <v>132</v>
      </c>
      <c r="B136" s="8" t="inlineStr">
        <is>
          <t>PK-132</t>
        </is>
      </c>
      <c r="C136" s="9" t="inlineStr">
        <is>
          <t>Cơm gà Mỹ Tâm (since 1968)</t>
        </is>
      </c>
      <c r="D136" s="8" t="inlineStr">
        <is>
          <t>Nhà hàng</t>
        </is>
      </c>
      <c r="E136" s="9" t="inlineStr">
        <is>
          <t>03 Quang Trung, Phường Hội Thương, TP. Pleiku</t>
        </is>
      </c>
      <c r="F136" s="9" t="inlineStr">
        <is>
          <t>Quang Trung</t>
        </is>
      </c>
      <c r="G136" s="8" t="inlineStr">
        <is>
          <t>Phường Pleiku</t>
        </is>
      </c>
      <c r="H136" s="8" t="inlineStr">
        <is>
          <t>Hội Thương</t>
        </is>
      </c>
      <c r="I136" s="9" t="inlineStr"/>
      <c r="J136" s="9" t="inlineStr">
        <is>
          <t>Danh sách tham khảo</t>
        </is>
      </c>
      <c r="K136" s="11" t="inlineStr">
        <is>
          <t>Bản đồ</t>
        </is>
      </c>
      <c r="L136" s="12" t="n"/>
      <c r="M136" s="13" t="n"/>
      <c r="N136" s="13" t="n"/>
      <c r="O136" s="13" t="n"/>
      <c r="P136" s="13" t="n"/>
      <c r="Q136" s="13" t="n"/>
      <c r="R136" s="13" t="n"/>
    </row>
    <row r="137">
      <c r="A137" s="8" t="n">
        <v>133</v>
      </c>
      <c r="B137" s="8" t="inlineStr">
        <is>
          <t>PK-133</t>
        </is>
      </c>
      <c r="C137" s="9" t="inlineStr">
        <is>
          <t>Cơm Gà Mỹ Tâm 2 - 06 Quang Trung, Pleiku, Gia Lai</t>
        </is>
      </c>
      <c r="D137" s="8" t="inlineStr">
        <is>
          <t>Nhà hàng</t>
        </is>
      </c>
      <c r="E137" s="9" t="inlineStr">
        <is>
          <t>6 Quang Trung, Phường Hội Thương, TP. Pleiku</t>
        </is>
      </c>
      <c r="F137" s="9" t="inlineStr">
        <is>
          <t>Quang Trung</t>
        </is>
      </c>
      <c r="G137" s="8" t="inlineStr">
        <is>
          <t>Phường Pleiku</t>
        </is>
      </c>
      <c r="H137" s="8" t="inlineStr">
        <is>
          <t>Hội Thương</t>
        </is>
      </c>
      <c r="I137" s="9" t="inlineStr"/>
      <c r="J137" s="9" t="inlineStr">
        <is>
          <t>Danh sách tham khảo</t>
        </is>
      </c>
      <c r="K137" s="11" t="inlineStr">
        <is>
          <t>Bản đồ</t>
        </is>
      </c>
      <c r="L137" s="12" t="n"/>
      <c r="M137" s="13" t="n"/>
      <c r="N137" s="13" t="n"/>
      <c r="O137" s="13" t="n"/>
      <c r="P137" s="13" t="n"/>
      <c r="Q137" s="13" t="n"/>
      <c r="R137" s="13" t="n"/>
    </row>
    <row r="138">
      <c r="A138" s="8" t="n">
        <v>134</v>
      </c>
      <c r="B138" s="8" t="inlineStr">
        <is>
          <t>PK-134</t>
        </is>
      </c>
      <c r="C138" s="9" t="inlineStr">
        <is>
          <t>L’amant Café Gia Lai</t>
        </is>
      </c>
      <c r="D138" s="8" t="inlineStr">
        <is>
          <t>Quán cà phê</t>
        </is>
      </c>
      <c r="E138" s="9" t="inlineStr">
        <is>
          <t>8 Quang Trung, Pleiku, Gia Lai 600000, Việt Nam</t>
        </is>
      </c>
      <c r="F138" s="9" t="inlineStr">
        <is>
          <t>Quang Trung</t>
        </is>
      </c>
      <c r="G138" s="8" t="inlineStr">
        <is>
          <t>Phường Pleiku</t>
        </is>
      </c>
      <c r="H138" s="8" t="inlineStr"/>
      <c r="I138" s="10" t="inlineStr">
        <is>
          <t>Trùng vị trí với: Thành Tâm; Đã có trên bản đồ – kiểm tra &amp; bổ sung</t>
        </is>
      </c>
      <c r="J138" s="9" t="inlineStr">
        <is>
          <t>Hệ thống</t>
        </is>
      </c>
      <c r="K138" s="11" t="inlineStr">
        <is>
          <t>Bản đồ</t>
        </is>
      </c>
      <c r="L138" s="12" t="n"/>
      <c r="M138" s="13" t="n"/>
      <c r="N138" s="13" t="n"/>
      <c r="O138" s="13" t="n"/>
      <c r="P138" s="13" t="n"/>
      <c r="Q138" s="13" t="n"/>
      <c r="R138" s="13" t="n"/>
    </row>
    <row r="139">
      <c r="A139" s="8" t="n">
        <v>135</v>
      </c>
      <c r="B139" s="8" t="inlineStr">
        <is>
          <t>PK-135</t>
        </is>
      </c>
      <c r="C139" s="9" t="inlineStr">
        <is>
          <t>GoGi House</t>
        </is>
      </c>
      <c r="D139" s="8" t="inlineStr">
        <is>
          <t>Nhà hàng</t>
        </is>
      </c>
      <c r="E139" s="9" t="inlineStr">
        <is>
          <t>Lô P1.04 TTC Plaza, 53 Quang Trung, P, Pleiku, Gia Lai 600000, Việt Nam</t>
        </is>
      </c>
      <c r="F139" s="9" t="inlineStr">
        <is>
          <t>Quang Trung</t>
        </is>
      </c>
      <c r="G139" s="8" t="inlineStr">
        <is>
          <t>Phường Pleiku</t>
        </is>
      </c>
      <c r="H139" s="8" t="inlineStr"/>
      <c r="I139" s="10" t="inlineStr">
        <is>
          <t>Đã có trên bản đồ – kiểm tra &amp; bổ sung</t>
        </is>
      </c>
      <c r="J139" s="9" t="inlineStr">
        <is>
          <t>Hệ thống</t>
        </is>
      </c>
      <c r="K139" s="11" t="inlineStr">
        <is>
          <t>Bản đồ</t>
        </is>
      </c>
      <c r="L139" s="12" t="n"/>
      <c r="M139" s="13" t="n"/>
      <c r="N139" s="13" t="n"/>
      <c r="O139" s="13" t="n"/>
      <c r="P139" s="13" t="n"/>
      <c r="Q139" s="13" t="n"/>
      <c r="R139" s="13" t="n"/>
    </row>
    <row r="140">
      <c r="A140" s="8" t="n">
        <v>136</v>
      </c>
      <c r="B140" s="8" t="inlineStr">
        <is>
          <t>PK-136</t>
        </is>
      </c>
      <c r="C140" s="9" t="inlineStr">
        <is>
          <t>Kichi Kichi Gia Lai</t>
        </is>
      </c>
      <c r="D140" s="8" t="inlineStr">
        <is>
          <t>Nhà hàng</t>
        </is>
      </c>
      <c r="E140" s="9" t="inlineStr">
        <is>
          <t>TTC PLAZA, 53 Quang Trung, P.Pleiku, T, 53 Quang Trung</t>
        </is>
      </c>
      <c r="F140" s="9" t="inlineStr">
        <is>
          <t>Quang Trung</t>
        </is>
      </c>
      <c r="G140" s="8" t="inlineStr">
        <is>
          <t>Phường Pleiku</t>
        </is>
      </c>
      <c r="H140" s="8" t="inlineStr">
        <is>
          <t>Hội Thương</t>
        </is>
      </c>
      <c r="I140" s="10" t="inlineStr">
        <is>
          <t>Đã có trên bản đồ – kiểm tra &amp; bổ sung</t>
        </is>
      </c>
      <c r="J140" s="9" t="inlineStr">
        <is>
          <t>Danh sách tham khảo, Hệ thống</t>
        </is>
      </c>
      <c r="K140" s="11" t="inlineStr">
        <is>
          <t>Bản đồ</t>
        </is>
      </c>
      <c r="L140" s="12" t="n"/>
      <c r="M140" s="13" t="n"/>
      <c r="N140" s="13" t="n"/>
      <c r="O140" s="13" t="n"/>
      <c r="P140" s="13" t="n"/>
      <c r="Q140" s="13" t="n"/>
      <c r="R140" s="13" t="n"/>
    </row>
    <row r="141">
      <c r="A141" s="8" t="n">
        <v>137</v>
      </c>
      <c r="B141" s="8" t="inlineStr">
        <is>
          <t>PK-137</t>
        </is>
      </c>
      <c r="C141" s="9" t="inlineStr">
        <is>
          <t>Quán thịt rừng 33</t>
        </is>
      </c>
      <c r="D141" s="8" t="inlineStr">
        <is>
          <t>Nhà hàng</t>
        </is>
      </c>
      <c r="E141" s="9" t="inlineStr">
        <is>
          <t>172 Sư Vạn Hạnh, Phường Hội Thương, TP. Pleiku</t>
        </is>
      </c>
      <c r="F141" s="9" t="inlineStr">
        <is>
          <t>Sư Vạn Hạnh</t>
        </is>
      </c>
      <c r="G141" s="8" t="inlineStr">
        <is>
          <t>Phường Pleiku</t>
        </is>
      </c>
      <c r="H141" s="8" t="inlineStr">
        <is>
          <t>Hội Thương</t>
        </is>
      </c>
      <c r="I141" s="9" t="inlineStr"/>
      <c r="J141" s="9" t="inlineStr">
        <is>
          <t>Danh sách tham khảo</t>
        </is>
      </c>
      <c r="K141" s="11" t="inlineStr">
        <is>
          <t>Bản đồ</t>
        </is>
      </c>
      <c r="L141" s="12" t="n"/>
      <c r="M141" s="13" t="n"/>
      <c r="N141" s="13" t="n"/>
      <c r="O141" s="13" t="n"/>
      <c r="P141" s="13" t="n"/>
      <c r="Q141" s="13" t="n"/>
      <c r="R141" s="13" t="n"/>
    </row>
    <row r="142">
      <c r="A142" s="8" t="n">
        <v>138</v>
      </c>
      <c r="B142" s="8" t="inlineStr">
        <is>
          <t>PK-138</t>
        </is>
      </c>
      <c r="C142" s="9" t="inlineStr">
        <is>
          <t>nhà hàng sao đêm</t>
        </is>
      </c>
      <c r="D142" s="8" t="inlineStr">
        <is>
          <t>Nhà hàng</t>
        </is>
      </c>
      <c r="E142" s="9" t="inlineStr">
        <is>
          <t>178, Sư Vạn Hạnh, Phường Hội Thương, TP. Pleiku</t>
        </is>
      </c>
      <c r="F142" s="9" t="inlineStr">
        <is>
          <t>Sư Vạn Hạnh</t>
        </is>
      </c>
      <c r="G142" s="8" t="inlineStr">
        <is>
          <t>Phường Pleiku</t>
        </is>
      </c>
      <c r="H142" s="8" t="inlineStr">
        <is>
          <t>Hội Thương</t>
        </is>
      </c>
      <c r="I142" s="9" t="inlineStr"/>
      <c r="J142" s="9" t="inlineStr">
        <is>
          <t>Danh sách tham khảo</t>
        </is>
      </c>
      <c r="K142" s="11" t="inlineStr">
        <is>
          <t>Bản đồ</t>
        </is>
      </c>
      <c r="L142" s="12" t="n"/>
      <c r="M142" s="13" t="n"/>
      <c r="N142" s="13" t="n"/>
      <c r="O142" s="13" t="n"/>
      <c r="P142" s="13" t="n"/>
      <c r="Q142" s="13" t="n"/>
      <c r="R142" s="13" t="n"/>
    </row>
    <row r="143">
      <c r="A143" s="8" t="n">
        <v>139</v>
      </c>
      <c r="B143" s="8" t="inlineStr">
        <is>
          <t>PK-139</t>
        </is>
      </c>
      <c r="C143" s="9" t="inlineStr">
        <is>
          <t>Quán nhậu Cua 3H</t>
        </is>
      </c>
      <c r="D143" s="8" t="inlineStr">
        <is>
          <t>Nhà hàng</t>
        </is>
      </c>
      <c r="E143" s="9" t="inlineStr">
        <is>
          <t>Suối Hội Phú, Phường Hội Phú, TP. Pleiku</t>
        </is>
      </c>
      <c r="F143" s="9" t="inlineStr">
        <is>
          <t>Suối Hội Phú</t>
        </is>
      </c>
      <c r="G143" s="8" t="inlineStr">
        <is>
          <t>Phường Pleiku</t>
        </is>
      </c>
      <c r="H143" s="8" t="inlineStr">
        <is>
          <t>Hội Phú</t>
        </is>
      </c>
      <c r="I143" s="10" t="inlineStr">
        <is>
          <t>Địa chỉ ghi Phường Hội Phú nhưng vị trí thuộc Phường Pleiku; Địa chỉ chưa có số nhà</t>
        </is>
      </c>
      <c r="J143" s="9" t="inlineStr">
        <is>
          <t>Danh sách tham khảo</t>
        </is>
      </c>
      <c r="K143" s="11" t="inlineStr">
        <is>
          <t>Bản đồ</t>
        </is>
      </c>
      <c r="L143" s="12" t="n"/>
      <c r="M143" s="13" t="n"/>
      <c r="N143" s="13" t="n"/>
      <c r="O143" s="13" t="n"/>
      <c r="P143" s="13" t="n"/>
      <c r="Q143" s="13" t="n"/>
      <c r="R143" s="13" t="n"/>
    </row>
    <row r="144">
      <c r="A144" s="8" t="n">
        <v>140</v>
      </c>
      <c r="B144" s="8" t="inlineStr">
        <is>
          <t>PK-140</t>
        </is>
      </c>
      <c r="C144" s="9" t="inlineStr">
        <is>
          <t>Quán Bê Thui Sáu Cảnh</t>
        </is>
      </c>
      <c r="D144" s="8" t="inlineStr">
        <is>
          <t>Nhà hàng</t>
        </is>
      </c>
      <c r="E144" s="9" t="inlineStr">
        <is>
          <t>109/6 Tạ Quang Bửu, Phường Hoa Lư, TP. Pleiku</t>
        </is>
      </c>
      <c r="F144" s="9" t="inlineStr">
        <is>
          <t>Tạ Quang Bửu</t>
        </is>
      </c>
      <c r="G144" s="8" t="inlineStr">
        <is>
          <t>Phường Pleiku</t>
        </is>
      </c>
      <c r="H144" s="8" t="inlineStr">
        <is>
          <t>Hoa Lư</t>
        </is>
      </c>
      <c r="I144" s="9" t="inlineStr"/>
      <c r="J144" s="9" t="inlineStr">
        <is>
          <t>Danh sách tham khảo</t>
        </is>
      </c>
      <c r="K144" s="11" t="inlineStr">
        <is>
          <t>Bản đồ</t>
        </is>
      </c>
      <c r="L144" s="12" t="n"/>
      <c r="M144" s="13" t="n"/>
      <c r="N144" s="13" t="n"/>
      <c r="O144" s="13" t="n"/>
      <c r="P144" s="13" t="n"/>
      <c r="Q144" s="13" t="n"/>
      <c r="R144" s="13" t="n"/>
    </row>
    <row r="145">
      <c r="A145" s="8" t="n">
        <v>141</v>
      </c>
      <c r="B145" s="8" t="inlineStr">
        <is>
          <t>PK-141</t>
        </is>
      </c>
      <c r="C145" s="9" t="inlineStr">
        <is>
          <t>Ốc Phố</t>
        </is>
      </c>
      <c r="D145" s="8" t="inlineStr">
        <is>
          <t>Nhà hàng</t>
        </is>
      </c>
      <c r="E145" s="9" t="inlineStr">
        <is>
          <t>115 Tạ Quang Bửu, Phường Hoa Lư, TP. Pleiku</t>
        </is>
      </c>
      <c r="F145" s="9" t="inlineStr">
        <is>
          <t>Tạ Quang Bửu</t>
        </is>
      </c>
      <c r="G145" s="8" t="inlineStr">
        <is>
          <t>Phường Pleiku</t>
        </is>
      </c>
      <c r="H145" s="8" t="inlineStr">
        <is>
          <t>Hoa Lư</t>
        </is>
      </c>
      <c r="I145" s="9" t="inlineStr"/>
      <c r="J145" s="9" t="inlineStr">
        <is>
          <t>Danh sách tham khảo</t>
        </is>
      </c>
      <c r="K145" s="11" t="inlineStr">
        <is>
          <t>Bản đồ</t>
        </is>
      </c>
      <c r="L145" s="12" t="n"/>
      <c r="M145" s="13" t="n"/>
      <c r="N145" s="13" t="n"/>
      <c r="O145" s="13" t="n"/>
      <c r="P145" s="13" t="n"/>
      <c r="Q145" s="13" t="n"/>
      <c r="R145" s="13" t="n"/>
    </row>
    <row r="146">
      <c r="A146" s="8" t="n">
        <v>142</v>
      </c>
      <c r="B146" s="8" t="inlineStr">
        <is>
          <t>PK-142</t>
        </is>
      </c>
      <c r="C146" s="9" t="inlineStr">
        <is>
          <t>Quán Bảy Dũng</t>
        </is>
      </c>
      <c r="D146" s="8" t="inlineStr">
        <is>
          <t>Nhà hàng</t>
        </is>
      </c>
      <c r="E146" s="9" t="inlineStr">
        <is>
          <t>Hẻm 73 Tạ Quang Bửu, Phường Hội Phú, TP. Pleiku</t>
        </is>
      </c>
      <c r="F146" s="9" t="inlineStr">
        <is>
          <t>Tạ Quang Bửu</t>
        </is>
      </c>
      <c r="G146" s="8" t="inlineStr">
        <is>
          <t>Phường Pleiku</t>
        </is>
      </c>
      <c r="H146" s="8" t="inlineStr">
        <is>
          <t>Hội Phú</t>
        </is>
      </c>
      <c r="I146" s="10" t="inlineStr">
        <is>
          <t>Địa chỉ ghi Phường Hội Phú nhưng vị trí thuộc Phường Pleiku</t>
        </is>
      </c>
      <c r="J146" s="9" t="inlineStr">
        <is>
          <t>Danh sách tham khảo</t>
        </is>
      </c>
      <c r="K146" s="11" t="inlineStr">
        <is>
          <t>Bản đồ</t>
        </is>
      </c>
      <c r="L146" s="12" t="n"/>
      <c r="M146" s="13" t="n"/>
      <c r="N146" s="13" t="n"/>
      <c r="O146" s="13" t="n"/>
      <c r="P146" s="13" t="n"/>
      <c r="Q146" s="13" t="n"/>
      <c r="R146" s="13" t="n"/>
    </row>
    <row r="147">
      <c r="A147" s="8" t="n">
        <v>143</v>
      </c>
      <c r="B147" s="8" t="inlineStr">
        <is>
          <t>PK-143</t>
        </is>
      </c>
      <c r="C147" s="9" t="inlineStr">
        <is>
          <t>From Heart Kitchen</t>
        </is>
      </c>
      <c r="D147" s="8" t="inlineStr">
        <is>
          <t>Nhà hàng</t>
        </is>
      </c>
      <c r="E147" s="9" t="inlineStr">
        <is>
          <t>11/3 Thống Nhất, Phường Thống Nhất, TP. Pleiku</t>
        </is>
      </c>
      <c r="F147" s="9" t="inlineStr">
        <is>
          <t>Thống Nhất</t>
        </is>
      </c>
      <c r="G147" s="8" t="inlineStr">
        <is>
          <t>Phường Pleiku</t>
        </is>
      </c>
      <c r="H147" s="8" t="inlineStr">
        <is>
          <t>Thống Nhất</t>
        </is>
      </c>
      <c r="I147" s="10" t="inlineStr">
        <is>
          <t>Địa chỉ ghi Phường Thống Nhất nhưng vị trí thuộc Phường Pleiku</t>
        </is>
      </c>
      <c r="J147" s="9" t="inlineStr">
        <is>
          <t>Danh sách tham khảo</t>
        </is>
      </c>
      <c r="K147" s="11" t="inlineStr">
        <is>
          <t>Bản đồ</t>
        </is>
      </c>
      <c r="L147" s="12" t="n"/>
      <c r="M147" s="13" t="n"/>
      <c r="N147" s="13" t="n"/>
      <c r="O147" s="13" t="n"/>
      <c r="P147" s="13" t="n"/>
      <c r="Q147" s="13" t="n"/>
      <c r="R147" s="13" t="n"/>
    </row>
    <row r="148">
      <c r="A148" s="8" t="n">
        <v>144</v>
      </c>
      <c r="B148" s="8" t="inlineStr">
        <is>
          <t>PK-144</t>
        </is>
      </c>
      <c r="C148" s="9" t="inlineStr">
        <is>
          <t>Quán Ăn Văn Chừng</t>
        </is>
      </c>
      <c r="D148" s="8" t="inlineStr">
        <is>
          <t>Nhà hàng</t>
        </is>
      </c>
      <c r="E148" s="9" t="inlineStr">
        <is>
          <t>17 Thống Nhất, Phường Thống Nhất, TP. Pleiku</t>
        </is>
      </c>
      <c r="F148" s="9" t="inlineStr">
        <is>
          <t>Thống Nhất</t>
        </is>
      </c>
      <c r="G148" s="8" t="inlineStr">
        <is>
          <t>Phường Pleiku</t>
        </is>
      </c>
      <c r="H148" s="8" t="inlineStr">
        <is>
          <t>Thống Nhất</t>
        </is>
      </c>
      <c r="I148" s="10" t="inlineStr">
        <is>
          <t>Địa chỉ ghi Phường Thống Nhất nhưng vị trí thuộc Phường Pleiku</t>
        </is>
      </c>
      <c r="J148" s="9" t="inlineStr">
        <is>
          <t>Danh sách tham khảo</t>
        </is>
      </c>
      <c r="K148" s="11" t="inlineStr">
        <is>
          <t>Bản đồ</t>
        </is>
      </c>
      <c r="L148" s="12" t="n"/>
      <c r="M148" s="13" t="n"/>
      <c r="N148" s="13" t="n"/>
      <c r="O148" s="13" t="n"/>
      <c r="P148" s="13" t="n"/>
      <c r="Q148" s="13" t="n"/>
      <c r="R148" s="13" t="n"/>
    </row>
    <row r="149">
      <c r="A149" s="8" t="n">
        <v>145</v>
      </c>
      <c r="B149" s="8" t="inlineStr">
        <is>
          <t>PK-145</t>
        </is>
      </c>
      <c r="C149" s="9" t="inlineStr">
        <is>
          <t>Phở Liên</t>
        </is>
      </c>
      <c r="D149" s="8" t="inlineStr">
        <is>
          <t>Nhà hàng</t>
        </is>
      </c>
      <c r="E149" s="9" t="inlineStr">
        <is>
          <t>25 Thống Nhất, Phường Thống Nhất, TP. Pleiku</t>
        </is>
      </c>
      <c r="F149" s="9" t="inlineStr">
        <is>
          <t>Thống Nhất</t>
        </is>
      </c>
      <c r="G149" s="8" t="inlineStr">
        <is>
          <t>Phường Pleiku</t>
        </is>
      </c>
      <c r="H149" s="8" t="inlineStr">
        <is>
          <t>Thống Nhất</t>
        </is>
      </c>
      <c r="I149" s="10" t="inlineStr">
        <is>
          <t>Địa chỉ ghi Phường Thống Nhất nhưng vị trí thuộc Phường Pleiku</t>
        </is>
      </c>
      <c r="J149" s="9" t="inlineStr">
        <is>
          <t>Danh sách tham khảo</t>
        </is>
      </c>
      <c r="K149" s="11" t="inlineStr">
        <is>
          <t>Bản đồ</t>
        </is>
      </c>
      <c r="L149" s="12" t="n"/>
      <c r="M149" s="13" t="n"/>
      <c r="N149" s="13" t="n"/>
      <c r="O149" s="13" t="n"/>
      <c r="P149" s="13" t="n"/>
      <c r="Q149" s="13" t="n"/>
      <c r="R149" s="13" t="n"/>
    </row>
    <row r="150">
      <c r="A150" s="8" t="n">
        <v>146</v>
      </c>
      <c r="B150" s="8" t="inlineStr">
        <is>
          <t>PK-146</t>
        </is>
      </c>
      <c r="C150" s="9" t="inlineStr">
        <is>
          <t>Mì Cay Kitachi Gia Lai</t>
        </is>
      </c>
      <c r="D150" s="8" t="inlineStr">
        <is>
          <t>Nhà hàng</t>
        </is>
      </c>
      <c r="E150" s="9" t="inlineStr">
        <is>
          <t>29 Thống Nhất, Phường Thống Nhất, TP. Pleiku</t>
        </is>
      </c>
      <c r="F150" s="9" t="inlineStr">
        <is>
          <t>Thống Nhất</t>
        </is>
      </c>
      <c r="G150" s="8" t="inlineStr">
        <is>
          <t>Phường Pleiku</t>
        </is>
      </c>
      <c r="H150" s="8" t="inlineStr">
        <is>
          <t>Thống Nhất</t>
        </is>
      </c>
      <c r="I150" s="10" t="inlineStr">
        <is>
          <t>Địa chỉ ghi Phường Thống Nhất nhưng vị trí thuộc Phường Pleiku; Đã có trên bản đồ – kiểm tra &amp; bổ sung</t>
        </is>
      </c>
      <c r="J150" s="9" t="inlineStr">
        <is>
          <t>Danh sách tham khảo, Hệ thống</t>
        </is>
      </c>
      <c r="K150" s="11" t="inlineStr">
        <is>
          <t>Bản đồ</t>
        </is>
      </c>
      <c r="L150" s="12" t="n"/>
      <c r="M150" s="13" t="n"/>
      <c r="N150" s="13" t="n"/>
      <c r="O150" s="13" t="n"/>
      <c r="P150" s="13" t="n"/>
      <c r="Q150" s="13" t="n"/>
      <c r="R150" s="13" t="n"/>
    </row>
    <row r="151">
      <c r="A151" s="8" t="n">
        <v>147</v>
      </c>
      <c r="B151" s="8" t="inlineStr">
        <is>
          <t>PK-147</t>
        </is>
      </c>
      <c r="C151" s="9" t="inlineStr">
        <is>
          <t>Nhà hàng Trầu Cau Hưng Long</t>
        </is>
      </c>
      <c r="D151" s="8" t="inlineStr">
        <is>
          <t>Nhà hàng</t>
        </is>
      </c>
      <c r="E151" s="9" t="inlineStr">
        <is>
          <t>47 Thống Nhất, Phường Thống Nhất, TP. Pleiku</t>
        </is>
      </c>
      <c r="F151" s="9" t="inlineStr">
        <is>
          <t>Thống Nhất</t>
        </is>
      </c>
      <c r="G151" s="8" t="inlineStr">
        <is>
          <t>Phường Pleiku</t>
        </is>
      </c>
      <c r="H151" s="8" t="inlineStr">
        <is>
          <t>Thống Nhất</t>
        </is>
      </c>
      <c r="I151" s="10" t="inlineStr">
        <is>
          <t>Địa chỉ ghi Phường Thống Nhất nhưng vị trí thuộc Phường Pleiku; Đã có trên bản đồ – kiểm tra &amp; bổ sung</t>
        </is>
      </c>
      <c r="J151" s="9" t="inlineStr">
        <is>
          <t>Danh sách tham khảo, Hệ thống, OpenStreetMap</t>
        </is>
      </c>
      <c r="K151" s="11" t="inlineStr">
        <is>
          <t>Bản đồ</t>
        </is>
      </c>
      <c r="L151" s="12" t="n"/>
      <c r="M151" s="13" t="n"/>
      <c r="N151" s="13" t="n"/>
      <c r="O151" s="13" t="n"/>
      <c r="P151" s="13" t="n"/>
      <c r="Q151" s="13" t="n"/>
      <c r="R151" s="13" t="n"/>
    </row>
    <row r="152">
      <c r="A152" s="8" t="n">
        <v>148</v>
      </c>
      <c r="B152" s="8" t="inlineStr">
        <is>
          <t>PK-148</t>
        </is>
      </c>
      <c r="C152" s="9" t="inlineStr">
        <is>
          <t>Pleiku xanh</t>
        </is>
      </c>
      <c r="D152" s="8" t="inlineStr">
        <is>
          <t>Nhà hàng</t>
        </is>
      </c>
      <c r="E152" s="9" t="inlineStr">
        <is>
          <t>Tổ 12 Bùi Dự, Phường Hoa Lư, TP. Pleiku</t>
        </is>
      </c>
      <c r="F152" s="9" t="inlineStr">
        <is>
          <t>Tổ 12 Bùi Dự</t>
        </is>
      </c>
      <c r="G152" s="8" t="inlineStr">
        <is>
          <t>Phường Pleiku</t>
        </is>
      </c>
      <c r="H152" s="8" t="inlineStr">
        <is>
          <t>Hoa Lư</t>
        </is>
      </c>
      <c r="I152" s="10" t="inlineStr">
        <is>
          <t>Địa chỉ chưa có số nhà; Đã có trên bản đồ – kiểm tra &amp; bổ sung</t>
        </is>
      </c>
      <c r="J152" s="9" t="inlineStr">
        <is>
          <t>Danh sách tham khảo, Hệ thống</t>
        </is>
      </c>
      <c r="K152" s="11" t="inlineStr">
        <is>
          <t>Bản đồ</t>
        </is>
      </c>
      <c r="L152" s="12" t="n"/>
      <c r="M152" s="13" t="n"/>
      <c r="N152" s="13" t="n"/>
      <c r="O152" s="13" t="n"/>
      <c r="P152" s="13" t="n"/>
      <c r="Q152" s="13" t="n"/>
      <c r="R152" s="13" t="n"/>
    </row>
    <row r="153">
      <c r="A153" s="8" t="n">
        <v>149</v>
      </c>
      <c r="B153" s="8" t="inlineStr">
        <is>
          <t>PK-149</t>
        </is>
      </c>
      <c r="C153" s="9" t="inlineStr">
        <is>
          <t>Chill Tre – Beer &amp; Food Pleiku</t>
        </is>
      </c>
      <c r="D153" s="8" t="inlineStr">
        <is>
          <t>Nhà hàng</t>
        </is>
      </c>
      <c r="E153" s="9" t="inlineStr">
        <is>
          <t>41 Tô Vĩnh Diện, Phường Hoa Lư, TP. Pleiku</t>
        </is>
      </c>
      <c r="F153" s="9" t="inlineStr">
        <is>
          <t>Tô Vĩnh Diện</t>
        </is>
      </c>
      <c r="G153" s="8" t="inlineStr">
        <is>
          <t>Phường Pleiku</t>
        </is>
      </c>
      <c r="H153" s="8" t="inlineStr">
        <is>
          <t>Hoa Lư</t>
        </is>
      </c>
      <c r="I153" s="9" t="inlineStr"/>
      <c r="J153" s="9" t="inlineStr">
        <is>
          <t>Danh sách tham khảo</t>
        </is>
      </c>
      <c r="K153" s="11" t="inlineStr">
        <is>
          <t>Bản đồ</t>
        </is>
      </c>
      <c r="L153" s="12" t="n"/>
      <c r="M153" s="13" t="n"/>
      <c r="N153" s="13" t="n"/>
      <c r="O153" s="13" t="n"/>
      <c r="P153" s="13" t="n"/>
      <c r="Q153" s="13" t="n"/>
      <c r="R153" s="13" t="n"/>
    </row>
    <row r="154">
      <c r="A154" s="8" t="n">
        <v>150</v>
      </c>
      <c r="B154" s="8" t="inlineStr">
        <is>
          <t>PK-150</t>
        </is>
      </c>
      <c r="C154" s="9" t="inlineStr">
        <is>
          <t>Chill Lưng Chừng</t>
        </is>
      </c>
      <c r="D154" s="8" t="inlineStr">
        <is>
          <t>Nhà hàng</t>
        </is>
      </c>
      <c r="E154" s="9" t="inlineStr">
        <is>
          <t>59A Tô Vĩnh Diện, Phường Hoa Lư, TP. Pleiku</t>
        </is>
      </c>
      <c r="F154" s="9" t="inlineStr">
        <is>
          <t>Tô Vĩnh Diện</t>
        </is>
      </c>
      <c r="G154" s="8" t="inlineStr">
        <is>
          <t>Phường Pleiku</t>
        </is>
      </c>
      <c r="H154" s="8" t="inlineStr">
        <is>
          <t>Hoa Lư</t>
        </is>
      </c>
      <c r="I154" s="10" t="inlineStr">
        <is>
          <t>Đã có trên bản đồ – kiểm tra &amp; bổ sung</t>
        </is>
      </c>
      <c r="J154" s="9" t="inlineStr">
        <is>
          <t>Danh sách tham khảo, Hệ thống</t>
        </is>
      </c>
      <c r="K154" s="11" t="inlineStr">
        <is>
          <t>Bản đồ</t>
        </is>
      </c>
      <c r="L154" s="12" t="n"/>
      <c r="M154" s="13" t="n"/>
      <c r="N154" s="13" t="n"/>
      <c r="O154" s="13" t="n"/>
      <c r="P154" s="13" t="n"/>
      <c r="Q154" s="13" t="n"/>
      <c r="R154" s="13" t="n"/>
    </row>
    <row r="155">
      <c r="A155" s="8" t="n">
        <v>151</v>
      </c>
      <c r="B155" s="8" t="inlineStr">
        <is>
          <t>PK-151</t>
        </is>
      </c>
      <c r="C155" s="9" t="inlineStr">
        <is>
          <t>Tiệm cà phê Ngày Bình Yên</t>
        </is>
      </c>
      <c r="D155" s="8" t="inlineStr">
        <is>
          <t>Quán cà phê</t>
        </is>
      </c>
      <c r="E155" s="9" t="inlineStr">
        <is>
          <t>113C Tô Vĩnh Diện, Pleiku, Gia Lai 600000, Việt Nam</t>
        </is>
      </c>
      <c r="F155" s="9" t="inlineStr">
        <is>
          <t>Tô Vĩnh Diện</t>
        </is>
      </c>
      <c r="G155" s="8" t="inlineStr">
        <is>
          <t>Phường Pleiku</t>
        </is>
      </c>
      <c r="H155" s="8" t="inlineStr"/>
      <c r="I155" s="10" t="inlineStr">
        <is>
          <t>Đã có trên bản đồ – kiểm tra &amp; bổ sung</t>
        </is>
      </c>
      <c r="J155" s="9" t="inlineStr">
        <is>
          <t>Hệ thống</t>
        </is>
      </c>
      <c r="K155" s="11" t="inlineStr">
        <is>
          <t>Bản đồ</t>
        </is>
      </c>
      <c r="L155" s="12" t="n"/>
      <c r="M155" s="13" t="n"/>
      <c r="N155" s="13" t="n"/>
      <c r="O155" s="13" t="n"/>
      <c r="P155" s="13" t="n"/>
      <c r="Q155" s="13" t="n"/>
      <c r="R155" s="13" t="n"/>
    </row>
    <row r="156">
      <c r="A156" s="8" t="n">
        <v>152</v>
      </c>
      <c r="B156" s="8" t="inlineStr">
        <is>
          <t>PK-152</t>
        </is>
      </c>
      <c r="C156" s="9" t="inlineStr">
        <is>
          <t>The Door Pleiku</t>
        </is>
      </c>
      <c r="D156" s="8" t="inlineStr">
        <is>
          <t>Nhà hàng</t>
        </is>
      </c>
      <c r="E156" s="9" t="inlineStr">
        <is>
          <t>150 Tô Vĩnh Diện, Phường Hoa Lư, TP. Pleiku</t>
        </is>
      </c>
      <c r="F156" s="9" t="inlineStr">
        <is>
          <t>Tô Vĩnh Diện</t>
        </is>
      </c>
      <c r="G156" s="8" t="inlineStr">
        <is>
          <t>Phường Pleiku</t>
        </is>
      </c>
      <c r="H156" s="8" t="inlineStr">
        <is>
          <t>Hoa Lư</t>
        </is>
      </c>
      <c r="I156" s="10" t="inlineStr">
        <is>
          <t>Có thể không phải quán ăn</t>
        </is>
      </c>
      <c r="J156" s="9" t="inlineStr">
        <is>
          <t>Danh sách tham khảo</t>
        </is>
      </c>
      <c r="K156" s="11" t="inlineStr">
        <is>
          <t>Bản đồ</t>
        </is>
      </c>
      <c r="L156" s="12" t="n"/>
      <c r="M156" s="13" t="n"/>
      <c r="N156" s="13" t="n"/>
      <c r="O156" s="13" t="n"/>
      <c r="P156" s="13" t="n"/>
      <c r="Q156" s="13" t="n"/>
      <c r="R156" s="13" t="n"/>
    </row>
    <row r="157">
      <c r="A157" s="8" t="n">
        <v>153</v>
      </c>
      <c r="B157" s="8" t="inlineStr">
        <is>
          <t>PK-153</t>
        </is>
      </c>
      <c r="C157" s="9" t="inlineStr">
        <is>
          <t>Ban Dê Quán</t>
        </is>
      </c>
      <c r="D157" s="8" t="inlineStr">
        <is>
          <t>Nhà hàng</t>
        </is>
      </c>
      <c r="E157" s="9" t="inlineStr">
        <is>
          <t>06 Tôn Thất Tùng, Phường Hoa Lư, TP. Pleiku</t>
        </is>
      </c>
      <c r="F157" s="9" t="inlineStr">
        <is>
          <t>Tôn Thất Tùng</t>
        </is>
      </c>
      <c r="G157" s="8" t="inlineStr">
        <is>
          <t>Phường Pleiku</t>
        </is>
      </c>
      <c r="H157" s="8" t="inlineStr">
        <is>
          <t>Hoa Lư</t>
        </is>
      </c>
      <c r="I157" s="9" t="inlineStr"/>
      <c r="J157" s="9" t="inlineStr">
        <is>
          <t>Danh sách tham khảo</t>
        </is>
      </c>
      <c r="K157" s="11" t="inlineStr">
        <is>
          <t>Bản đồ</t>
        </is>
      </c>
      <c r="L157" s="12" t="n"/>
      <c r="M157" s="13" t="n"/>
      <c r="N157" s="13" t="n"/>
      <c r="O157" s="13" t="n"/>
      <c r="P157" s="13" t="n"/>
      <c r="Q157" s="13" t="n"/>
      <c r="R157" s="13" t="n"/>
    </row>
    <row r="158">
      <c r="A158" s="8" t="n">
        <v>154</v>
      </c>
      <c r="B158" s="8" t="inlineStr">
        <is>
          <t>PK-154</t>
        </is>
      </c>
      <c r="C158" s="9" t="inlineStr">
        <is>
          <t>Dé Đắng 22 - Các món nhậu bình dân</t>
        </is>
      </c>
      <c r="D158" s="8" t="inlineStr">
        <is>
          <t>Nhà hàng</t>
        </is>
      </c>
      <c r="E158" s="9" t="inlineStr">
        <is>
          <t>22 Tôn Thất Tùng, Phường Hoa Lư, TP. Pleiku</t>
        </is>
      </c>
      <c r="F158" s="9" t="inlineStr">
        <is>
          <t>Tôn Thất Tùng</t>
        </is>
      </c>
      <c r="G158" s="8" t="inlineStr">
        <is>
          <t>Phường Pleiku</t>
        </is>
      </c>
      <c r="H158" s="8" t="inlineStr">
        <is>
          <t>Hoa Lư</t>
        </is>
      </c>
      <c r="I158" s="10" t="inlineStr">
        <is>
          <t>Trùng vị trí với: Quán Phở Bé</t>
        </is>
      </c>
      <c r="J158" s="9" t="inlineStr">
        <is>
          <t>Danh sách tham khảo</t>
        </is>
      </c>
      <c r="K158" s="11" t="inlineStr">
        <is>
          <t>Bản đồ</t>
        </is>
      </c>
      <c r="L158" s="12" t="n"/>
      <c r="M158" s="13" t="n"/>
      <c r="N158" s="13" t="n"/>
      <c r="O158" s="13" t="n"/>
      <c r="P158" s="13" t="n"/>
      <c r="Q158" s="13" t="n"/>
      <c r="R158" s="13" t="n"/>
    </row>
    <row r="159">
      <c r="A159" s="8" t="n">
        <v>155</v>
      </c>
      <c r="B159" s="8" t="inlineStr">
        <is>
          <t>PK-155</t>
        </is>
      </c>
      <c r="C159" s="9" t="inlineStr">
        <is>
          <t>Quán Phở Bé</t>
        </is>
      </c>
      <c r="D159" s="8" t="inlineStr">
        <is>
          <t>Nhà hàng</t>
        </is>
      </c>
      <c r="E159" s="9" t="inlineStr">
        <is>
          <t>22A Tôn Thất Tùng, Phường Hoa Lư, TP. Pleiku</t>
        </is>
      </c>
      <c r="F159" s="9" t="inlineStr">
        <is>
          <t>Tôn Thất Tùng</t>
        </is>
      </c>
      <c r="G159" s="8" t="inlineStr">
        <is>
          <t>Phường Pleiku</t>
        </is>
      </c>
      <c r="H159" s="8" t="inlineStr">
        <is>
          <t>Hoa Lư</t>
        </is>
      </c>
      <c r="I159" s="10" t="inlineStr">
        <is>
          <t>Trùng vị trí với: Dé Đắng 22 - Các món nhậu bình dân</t>
        </is>
      </c>
      <c r="J159" s="9" t="inlineStr">
        <is>
          <t>Danh sách tham khảo</t>
        </is>
      </c>
      <c r="K159" s="11" t="inlineStr">
        <is>
          <t>Bản đồ</t>
        </is>
      </c>
      <c r="L159" s="12" t="n"/>
      <c r="M159" s="13" t="n"/>
      <c r="N159" s="13" t="n"/>
      <c r="O159" s="13" t="n"/>
      <c r="P159" s="13" t="n"/>
      <c r="Q159" s="13" t="n"/>
      <c r="R159" s="13" t="n"/>
    </row>
    <row r="160">
      <c r="A160" s="8" t="n">
        <v>156</v>
      </c>
      <c r="B160" s="8" t="inlineStr">
        <is>
          <t>PK-156</t>
        </is>
      </c>
      <c r="C160" s="9" t="inlineStr">
        <is>
          <t>Quán Cháo Lòng - Bánh Hỏi 65</t>
        </is>
      </c>
      <c r="D160" s="8" t="inlineStr">
        <is>
          <t>Nhà hàng</t>
        </is>
      </c>
      <c r="E160" s="9" t="inlineStr">
        <is>
          <t>65 Tôn Thất Tùng, Phường Hoa Lư, TP. Pleiku</t>
        </is>
      </c>
      <c r="F160" s="9" t="inlineStr">
        <is>
          <t>Tôn Thất Tùng</t>
        </is>
      </c>
      <c r="G160" s="8" t="inlineStr">
        <is>
          <t>Phường Pleiku</t>
        </is>
      </c>
      <c r="H160" s="8" t="inlineStr">
        <is>
          <t>Hoa Lư</t>
        </is>
      </c>
      <c r="I160" s="9" t="inlineStr"/>
      <c r="J160" s="9" t="inlineStr">
        <is>
          <t>Danh sách tham khảo</t>
        </is>
      </c>
      <c r="K160" s="11" t="inlineStr">
        <is>
          <t>Bản đồ</t>
        </is>
      </c>
      <c r="L160" s="12" t="n"/>
      <c r="M160" s="13" t="n"/>
      <c r="N160" s="13" t="n"/>
      <c r="O160" s="13" t="n"/>
      <c r="P160" s="13" t="n"/>
      <c r="Q160" s="13" t="n"/>
      <c r="R160" s="13" t="n"/>
    </row>
    <row r="161">
      <c r="A161" s="8" t="n">
        <v>157</v>
      </c>
      <c r="B161" s="8" t="inlineStr">
        <is>
          <t>PK-157</t>
        </is>
      </c>
      <c r="C161" s="9" t="inlineStr">
        <is>
          <t>Bánh Canh Cá Lóc Huế</t>
        </is>
      </c>
      <c r="D161" s="8" t="inlineStr">
        <is>
          <t>Nhà hàng</t>
        </is>
      </c>
      <c r="E161" s="9" t="inlineStr">
        <is>
          <t>Trần Phú</t>
        </is>
      </c>
      <c r="F161" s="9" t="inlineStr">
        <is>
          <t>Trần Phú</t>
        </is>
      </c>
      <c r="G161" s="8" t="inlineStr">
        <is>
          <t>Phường Pleiku</t>
        </is>
      </c>
      <c r="H161" s="8" t="inlineStr"/>
      <c r="I161" s="10" t="inlineStr">
        <is>
          <t>Địa chỉ chưa có số nhà</t>
        </is>
      </c>
      <c r="J161" s="9" t="inlineStr">
        <is>
          <t>OpenStreetMap</t>
        </is>
      </c>
      <c r="K161" s="11" t="inlineStr">
        <is>
          <t>Bản đồ</t>
        </is>
      </c>
      <c r="L161" s="12" t="n"/>
      <c r="M161" s="13" t="n"/>
      <c r="N161" s="13" t="n"/>
      <c r="O161" s="13" t="n"/>
      <c r="P161" s="13" t="n"/>
      <c r="Q161" s="13" t="n"/>
      <c r="R161" s="13" t="n"/>
    </row>
    <row r="162">
      <c r="A162" s="8" t="n">
        <v>158</v>
      </c>
      <c r="B162" s="8" t="inlineStr">
        <is>
          <t>PK-158</t>
        </is>
      </c>
      <c r="C162" s="9" t="inlineStr">
        <is>
          <t>Nhà Hàng Việt Phú</t>
        </is>
      </c>
      <c r="D162" s="8" t="inlineStr">
        <is>
          <t>Nhà hàng</t>
        </is>
      </c>
      <c r="E162" s="9" t="inlineStr">
        <is>
          <t>94 Trần Quý Cáp, Phường Yên Đỗ, TP. Pleiku</t>
        </is>
      </c>
      <c r="F162" s="9" t="inlineStr">
        <is>
          <t>Trần Quý Cáp</t>
        </is>
      </c>
      <c r="G162" s="8" t="inlineStr">
        <is>
          <t>Phường Pleiku</t>
        </is>
      </c>
      <c r="H162" s="8" t="inlineStr">
        <is>
          <t>Yên Đỗ</t>
        </is>
      </c>
      <c r="I162" s="10" t="inlineStr">
        <is>
          <t>Địa chỉ ghi Phường Yên Đỗ nhưng vị trí thuộc Phường Pleiku</t>
        </is>
      </c>
      <c r="J162" s="9" t="inlineStr">
        <is>
          <t>Danh sách tham khảo</t>
        </is>
      </c>
      <c r="K162" s="11" t="inlineStr">
        <is>
          <t>Bản đồ</t>
        </is>
      </c>
      <c r="L162" s="12" t="n"/>
      <c r="M162" s="13" t="n"/>
      <c r="N162" s="13" t="n"/>
      <c r="O162" s="13" t="n"/>
      <c r="P162" s="13" t="n"/>
      <c r="Q162" s="13" t="n"/>
      <c r="R162" s="13" t="n"/>
    </row>
    <row r="163">
      <c r="A163" s="8" t="n">
        <v>159</v>
      </c>
      <c r="B163" s="8" t="inlineStr">
        <is>
          <t>PK-159</t>
        </is>
      </c>
      <c r="C163" s="9" t="inlineStr">
        <is>
          <t>Bê Thui Bồng Lai</t>
        </is>
      </c>
      <c r="D163" s="8" t="inlineStr">
        <is>
          <t>Nhà hàng</t>
        </is>
      </c>
      <c r="E163" s="9" t="inlineStr">
        <is>
          <t>03 Triệu Quang Phục, Phường Phù Đổng, TP. Pleiku</t>
        </is>
      </c>
      <c r="F163" s="9" t="inlineStr">
        <is>
          <t>Triệu Quang Phục</t>
        </is>
      </c>
      <c r="G163" s="8" t="inlineStr">
        <is>
          <t>Phường Pleiku</t>
        </is>
      </c>
      <c r="H163" s="8" t="inlineStr">
        <is>
          <t>Phù Đổng</t>
        </is>
      </c>
      <c r="I163" s="9" t="inlineStr"/>
      <c r="J163" s="9" t="inlineStr">
        <is>
          <t>Danh sách tham khảo</t>
        </is>
      </c>
      <c r="K163" s="11" t="inlineStr">
        <is>
          <t>Bản đồ</t>
        </is>
      </c>
      <c r="L163" s="12" t="n"/>
      <c r="M163" s="13" t="n"/>
      <c r="N163" s="13" t="n"/>
      <c r="O163" s="13" t="n"/>
      <c r="P163" s="13" t="n"/>
      <c r="Q163" s="13" t="n"/>
      <c r="R163" s="13" t="n"/>
    </row>
    <row r="164">
      <c r="A164" s="8" t="n">
        <v>160</v>
      </c>
      <c r="B164" s="8" t="inlineStr">
        <is>
          <t>PK-160</t>
        </is>
      </c>
      <c r="C164" s="9" t="inlineStr">
        <is>
          <t>Quán Mọc Việt</t>
        </is>
      </c>
      <c r="D164" s="8" t="inlineStr">
        <is>
          <t>Nhà hàng</t>
        </is>
      </c>
      <c r="E164" s="9" t="inlineStr">
        <is>
          <t>73 Triệu Quang Phục, Phường Trà Bá, TP. Pleiku</t>
        </is>
      </c>
      <c r="F164" s="9" t="inlineStr">
        <is>
          <t>Triệu Quang Phục</t>
        </is>
      </c>
      <c r="G164" s="8" t="inlineStr">
        <is>
          <t>Phường Pleiku</t>
        </is>
      </c>
      <c r="H164" s="8" t="inlineStr">
        <is>
          <t>Trà Bá</t>
        </is>
      </c>
      <c r="I164" s="10" t="inlineStr">
        <is>
          <t>Địa chỉ ghi Phường Trà Bá nhưng vị trí thuộc Phường Pleiku</t>
        </is>
      </c>
      <c r="J164" s="9" t="inlineStr">
        <is>
          <t>Danh sách tham khảo</t>
        </is>
      </c>
      <c r="K164" s="11" t="inlineStr">
        <is>
          <t>Bản đồ</t>
        </is>
      </c>
      <c r="L164" s="12" t="n"/>
      <c r="M164" s="13" t="n"/>
      <c r="N164" s="13" t="n"/>
      <c r="O164" s="13" t="n"/>
      <c r="P164" s="13" t="n"/>
      <c r="Q164" s="13" t="n"/>
      <c r="R164" s="13" t="n"/>
    </row>
    <row r="165">
      <c r="A165" s="8" t="n">
        <v>161</v>
      </c>
      <c r="B165" s="8" t="inlineStr">
        <is>
          <t>PK-161</t>
        </is>
      </c>
      <c r="C165" s="9" t="inlineStr">
        <is>
          <t>Quán 90 Trường Chinh</t>
        </is>
      </c>
      <c r="D165" s="8" t="inlineStr">
        <is>
          <t>Nhà hàng</t>
        </is>
      </c>
      <c r="E165" s="9" t="inlineStr">
        <is>
          <t>90 Trường Chinh, Phường Trà Bá, TP. Pleiku</t>
        </is>
      </c>
      <c r="F165" s="9" t="inlineStr">
        <is>
          <t>Trường Chinh</t>
        </is>
      </c>
      <c r="G165" s="8" t="inlineStr">
        <is>
          <t>Phường Pleiku</t>
        </is>
      </c>
      <c r="H165" s="8" t="inlineStr">
        <is>
          <t>Trà Bá</t>
        </is>
      </c>
      <c r="I165" s="10" t="inlineStr">
        <is>
          <t>Địa chỉ ghi Phường Trà Bá nhưng vị trí thuộc Phường Pleiku</t>
        </is>
      </c>
      <c r="J165" s="9" t="inlineStr">
        <is>
          <t>Danh sách tham khảo</t>
        </is>
      </c>
      <c r="K165" s="11" t="inlineStr">
        <is>
          <t>Bản đồ</t>
        </is>
      </c>
      <c r="L165" s="12" t="n"/>
      <c r="M165" s="13" t="n"/>
      <c r="N165" s="13" t="n"/>
      <c r="O165" s="13" t="n"/>
      <c r="P165" s="13" t="n"/>
      <c r="Q165" s="13" t="n"/>
      <c r="R165" s="13" t="n"/>
    </row>
    <row r="166">
      <c r="A166" s="8" t="n">
        <v>162</v>
      </c>
      <c r="B166" s="8" t="inlineStr">
        <is>
          <t>PK-162</t>
        </is>
      </c>
      <c r="C166" s="9" t="inlineStr">
        <is>
          <t>Trung tâm tiệc cưới Cung Hy Restaurant.</t>
        </is>
      </c>
      <c r="D166" s="8" t="inlineStr">
        <is>
          <t>Nhà hàng</t>
        </is>
      </c>
      <c r="E166" s="9" t="inlineStr">
        <is>
          <t>170 Đường Wừu, Phường Hội Thương, TP. Pleiku</t>
        </is>
      </c>
      <c r="F166" s="9" t="inlineStr">
        <is>
          <t>Wừu</t>
        </is>
      </c>
      <c r="G166" s="8" t="inlineStr">
        <is>
          <t>Phường Pleiku</t>
        </is>
      </c>
      <c r="H166" s="8" t="inlineStr">
        <is>
          <t>Hội Thương</t>
        </is>
      </c>
      <c r="I166" s="9" t="inlineStr"/>
      <c r="J166" s="9" t="inlineStr">
        <is>
          <t>Danh sách tham khảo</t>
        </is>
      </c>
      <c r="K166" s="11" t="inlineStr">
        <is>
          <t>Bản đồ</t>
        </is>
      </c>
      <c r="L166" s="12" t="n"/>
      <c r="M166" s="13" t="n"/>
      <c r="N166" s="13" t="n"/>
      <c r="O166" s="13" t="n"/>
      <c r="P166" s="13" t="n"/>
      <c r="Q166" s="13" t="n"/>
      <c r="R166" s="13" t="n"/>
    </row>
    <row r="167">
      <c r="A167" s="8" t="n">
        <v>163</v>
      </c>
      <c r="B167" s="8" t="inlineStr">
        <is>
          <t>PK-163</t>
        </is>
      </c>
      <c r="C167" s="9" t="inlineStr">
        <is>
          <t>Quán Nhậu 213 Dzô Dzô Quán</t>
        </is>
      </c>
      <c r="D167" s="8" t="inlineStr">
        <is>
          <t>Nhà hàng</t>
        </is>
      </c>
      <c r="E167" s="9" t="inlineStr">
        <is>
          <t>213 Đường Wừu, Phường Hội Thương, TP. Pleiku</t>
        </is>
      </c>
      <c r="F167" s="9" t="inlineStr">
        <is>
          <t>Wừu</t>
        </is>
      </c>
      <c r="G167" s="8" t="inlineStr">
        <is>
          <t>Phường Pleiku</t>
        </is>
      </c>
      <c r="H167" s="8" t="inlineStr">
        <is>
          <t>Hội Thương</t>
        </is>
      </c>
      <c r="I167" s="9" t="inlineStr"/>
      <c r="J167" s="9" t="inlineStr">
        <is>
          <t>Danh sách tham khảo</t>
        </is>
      </c>
      <c r="K167" s="11" t="inlineStr">
        <is>
          <t>Bản đồ</t>
        </is>
      </c>
      <c r="L167" s="12" t="n"/>
      <c r="M167" s="13" t="n"/>
      <c r="N167" s="13" t="n"/>
      <c r="O167" s="13" t="n"/>
      <c r="P167" s="13" t="n"/>
      <c r="Q167" s="13" t="n"/>
      <c r="R167" s="13" t="n"/>
    </row>
    <row r="168">
      <c r="A168" s="8" t="n">
        <v>164</v>
      </c>
      <c r="B168" s="8" t="inlineStr">
        <is>
          <t>PK-164</t>
        </is>
      </c>
      <c r="C168" s="9" t="inlineStr">
        <is>
          <t>Bún riêu bà Vương</t>
        </is>
      </c>
      <c r="D168" s="8" t="inlineStr">
        <is>
          <t>Nhà hàng</t>
        </is>
      </c>
      <c r="E168" s="9" t="inlineStr">
        <is>
          <t>X2C7+7CM, Phường Trà Bá, TP. Pleiku</t>
        </is>
      </c>
      <c r="F168" s="9" t="inlineStr">
        <is>
          <t>X2C7+7CM</t>
        </is>
      </c>
      <c r="G168" s="8" t="inlineStr">
        <is>
          <t>Phường Pleiku</t>
        </is>
      </c>
      <c r="H168" s="8" t="inlineStr">
        <is>
          <t>Trà Bá</t>
        </is>
      </c>
      <c r="I168" s="10" t="inlineStr">
        <is>
          <t>Địa chỉ ghi Phường Trà Bá nhưng vị trí thuộc Phường Pleiku; Địa chỉ chưa có số nhà</t>
        </is>
      </c>
      <c r="J168" s="9" t="inlineStr">
        <is>
          <t>Danh sách tham khảo</t>
        </is>
      </c>
      <c r="K168" s="11" t="inlineStr">
        <is>
          <t>Bản đồ</t>
        </is>
      </c>
      <c r="L168" s="12" t="n"/>
      <c r="M168" s="13" t="n"/>
      <c r="N168" s="13" t="n"/>
      <c r="O168" s="13" t="n"/>
      <c r="P168" s="13" t="n"/>
      <c r="Q168" s="13" t="n"/>
      <c r="R168" s="13" t="n"/>
    </row>
    <row r="169">
      <c r="A169" s="8" t="n">
        <v>165</v>
      </c>
      <c r="B169" s="8" t="inlineStr">
        <is>
          <t>PK-165</t>
        </is>
      </c>
      <c r="C169" s="9" t="inlineStr">
        <is>
          <t>Quán Nhậu HẠNH - Bờ kè suối Hội Phú</t>
        </is>
      </c>
      <c r="D169" s="8" t="inlineStr">
        <is>
          <t>Nhà hàng</t>
        </is>
      </c>
      <c r="E169" s="9" t="inlineStr">
        <is>
          <t>X2H5+9XW, Đường Bờ kè, Phường Hội Phú, TP. Pleiku</t>
        </is>
      </c>
      <c r="F169" s="9" t="inlineStr">
        <is>
          <t>X2H5+9XW</t>
        </is>
      </c>
      <c r="G169" s="8" t="inlineStr">
        <is>
          <t>Phường Pleiku</t>
        </is>
      </c>
      <c r="H169" s="8" t="inlineStr">
        <is>
          <t>Hội Phú</t>
        </is>
      </c>
      <c r="I169" s="10" t="inlineStr">
        <is>
          <t>Địa chỉ ghi Phường Hội Phú nhưng vị trí thuộc Phường Pleiku; Địa chỉ chưa có số nhà; Trùng vị trí với: Rông Ana - Cà Phê &amp; Nhà Hàng -Cơm Đồng Bào, 1990 BỜ KÈ PLEIKU</t>
        </is>
      </c>
      <c r="J169" s="9" t="inlineStr">
        <is>
          <t>Danh sách tham khảo</t>
        </is>
      </c>
      <c r="K169" s="11" t="inlineStr">
        <is>
          <t>Bản đồ</t>
        </is>
      </c>
      <c r="L169" s="12" t="n"/>
      <c r="M169" s="13" t="n"/>
      <c r="N169" s="13" t="n"/>
      <c r="O169" s="13" t="n"/>
      <c r="P169" s="13" t="n"/>
      <c r="Q169" s="13" t="n"/>
      <c r="R169" s="13" t="n"/>
    </row>
    <row r="170">
      <c r="A170" s="8" t="n">
        <v>166</v>
      </c>
      <c r="B170" s="8" t="inlineStr">
        <is>
          <t>PK-166</t>
        </is>
      </c>
      <c r="C170" s="9" t="inlineStr">
        <is>
          <t>Chợ Hoa Lư mới</t>
        </is>
      </c>
      <c r="D170" s="8" t="inlineStr">
        <is>
          <t>Nhà hàng</t>
        </is>
      </c>
      <c r="E170" s="9" t="inlineStr">
        <is>
          <t>X2Q6+7HG, Nguyễn Bá Lân, Phường Hoa Lư, TP. Pleiku</t>
        </is>
      </c>
      <c r="F170" s="9" t="inlineStr">
        <is>
          <t>X2Q6+7HG</t>
        </is>
      </c>
      <c r="G170" s="8" t="inlineStr">
        <is>
          <t>Phường Pleiku</t>
        </is>
      </c>
      <c r="H170" s="8" t="inlineStr">
        <is>
          <t>Hoa Lư</t>
        </is>
      </c>
      <c r="I170" s="10" t="inlineStr">
        <is>
          <t>Địa chỉ chưa có số nhà; Có thể không phải quán ăn</t>
        </is>
      </c>
      <c r="J170" s="9" t="inlineStr">
        <is>
          <t>Danh sách tham khảo</t>
        </is>
      </c>
      <c r="K170" s="11" t="inlineStr">
        <is>
          <t>Bản đồ</t>
        </is>
      </c>
      <c r="L170" s="12" t="n"/>
      <c r="M170" s="13" t="n"/>
      <c r="N170" s="13" t="n"/>
      <c r="O170" s="13" t="n"/>
      <c r="P170" s="13" t="n"/>
      <c r="Q170" s="13" t="n"/>
      <c r="R170" s="13" t="n"/>
    </row>
    <row r="171">
      <c r="A171" s="8" t="n">
        <v>167</v>
      </c>
      <c r="B171" s="8" t="inlineStr">
        <is>
          <t>PK-167</t>
        </is>
      </c>
      <c r="C171" s="9" t="inlineStr">
        <is>
          <t>Nhà hàng NA</t>
        </is>
      </c>
      <c r="D171" s="8" t="inlineStr">
        <is>
          <t>Nhà hàng</t>
        </is>
      </c>
      <c r="E171" s="9" t="inlineStr">
        <is>
          <t>X2R5+5JF, Phường Hoa Lư, TP. Pleiku</t>
        </is>
      </c>
      <c r="F171" s="9" t="inlineStr">
        <is>
          <t>X2R5+5JF</t>
        </is>
      </c>
      <c r="G171" s="8" t="inlineStr">
        <is>
          <t>Phường Pleiku</t>
        </is>
      </c>
      <c r="H171" s="8" t="inlineStr">
        <is>
          <t>Hoa Lư</t>
        </is>
      </c>
      <c r="I171" s="10" t="inlineStr">
        <is>
          <t>Địa chỉ chưa có số nhà</t>
        </is>
      </c>
      <c r="J171" s="9" t="inlineStr">
        <is>
          <t>Danh sách tham khảo</t>
        </is>
      </c>
      <c r="K171" s="11" t="inlineStr">
        <is>
          <t>Bản đồ</t>
        </is>
      </c>
      <c r="L171" s="12" t="n"/>
      <c r="M171" s="13" t="n"/>
      <c r="N171" s="13" t="n"/>
      <c r="O171" s="13" t="n"/>
      <c r="P171" s="13" t="n"/>
      <c r="Q171" s="13" t="n"/>
      <c r="R171" s="13" t="n"/>
    </row>
    <row r="172">
      <c r="A172" s="8" t="n">
        <v>168</v>
      </c>
      <c r="B172" s="8" t="inlineStr">
        <is>
          <t>PK-168</t>
        </is>
      </c>
      <c r="C172" s="9" t="inlineStr">
        <is>
          <t>Ẩm Thực Plây Núi Lửa Ia Lâm</t>
        </is>
      </c>
      <c r="D172" s="8" t="inlineStr">
        <is>
          <t>Nhà hàng</t>
        </is>
      </c>
      <c r="E172" s="9" t="inlineStr">
        <is>
          <t>X2VC+566, Bùi Dự, Phường Hoa Lư, TP. Pleiku</t>
        </is>
      </c>
      <c r="F172" s="9" t="inlineStr">
        <is>
          <t>X2VC+566</t>
        </is>
      </c>
      <c r="G172" s="8" t="inlineStr">
        <is>
          <t>Phường Pleiku</t>
        </is>
      </c>
      <c r="H172" s="8" t="inlineStr">
        <is>
          <t>Hoa Lư</t>
        </is>
      </c>
      <c r="I172" s="10" t="inlineStr">
        <is>
          <t>Địa chỉ chưa có số nhà</t>
        </is>
      </c>
      <c r="J172" s="9" t="inlineStr">
        <is>
          <t>Danh sách tham khảo</t>
        </is>
      </c>
      <c r="K172" s="11" t="inlineStr">
        <is>
          <t>Bản đồ</t>
        </is>
      </c>
      <c r="L172" s="12" t="n"/>
      <c r="M172" s="13" t="n"/>
      <c r="N172" s="13" t="n"/>
      <c r="O172" s="13" t="n"/>
      <c r="P172" s="13" t="n"/>
      <c r="Q172" s="13" t="n"/>
      <c r="R172" s="13" t="n"/>
    </row>
    <row r="173">
      <c r="A173" s="8" t="n">
        <v>169</v>
      </c>
      <c r="B173" s="8" t="inlineStr">
        <is>
          <t>PK-169</t>
        </is>
      </c>
      <c r="C173" s="9" t="inlineStr">
        <is>
          <t>Dv nấu ăn lưu động Minh Tâm</t>
        </is>
      </c>
      <c r="D173" s="8" t="inlineStr">
        <is>
          <t>Nhà hàng</t>
        </is>
      </c>
      <c r="E173" s="9" t="inlineStr">
        <is>
          <t>X2W8+GH4, Phường Hoa Lư, TP. Pleiku</t>
        </is>
      </c>
      <c r="F173" s="9" t="inlineStr">
        <is>
          <t>X2W8+GH4</t>
        </is>
      </c>
      <c r="G173" s="8" t="inlineStr">
        <is>
          <t>Phường Pleiku</t>
        </is>
      </c>
      <c r="H173" s="8" t="inlineStr">
        <is>
          <t>Hoa Lư</t>
        </is>
      </c>
      <c r="I173" s="10" t="inlineStr">
        <is>
          <t>Địa chỉ chưa có số nhà</t>
        </is>
      </c>
      <c r="J173" s="9" t="inlineStr">
        <is>
          <t>Danh sách tham khảo</t>
        </is>
      </c>
      <c r="K173" s="11" t="inlineStr">
        <is>
          <t>Bản đồ</t>
        </is>
      </c>
      <c r="L173" s="12" t="n"/>
      <c r="M173" s="13" t="n"/>
      <c r="N173" s="13" t="n"/>
      <c r="O173" s="13" t="n"/>
      <c r="P173" s="13" t="n"/>
      <c r="Q173" s="13" t="n"/>
      <c r="R173" s="13" t="n"/>
    </row>
    <row r="174">
      <c r="A174" s="8" t="n">
        <v>170</v>
      </c>
      <c r="B174" s="8" t="inlineStr">
        <is>
          <t>PK-170</t>
        </is>
      </c>
      <c r="C174" s="9" t="inlineStr">
        <is>
          <t>Cơm lam gà nướng Jrai</t>
        </is>
      </c>
      <c r="D174" s="8" t="inlineStr">
        <is>
          <t>Nhà hàng</t>
        </is>
      </c>
      <c r="E174" s="9" t="inlineStr">
        <is>
          <t>XXQW+WVW, Phường Tây Sơn, TP. Pleiku</t>
        </is>
      </c>
      <c r="F174" s="9" t="inlineStr">
        <is>
          <t>XXQW+WVW</t>
        </is>
      </c>
      <c r="G174" s="8" t="inlineStr">
        <is>
          <t>Phường Pleiku</t>
        </is>
      </c>
      <c r="H174" s="8" t="inlineStr">
        <is>
          <t>Tây Sơn</t>
        </is>
      </c>
      <c r="I174" s="10" t="inlineStr">
        <is>
          <t>Địa chỉ chưa có số nhà</t>
        </is>
      </c>
      <c r="J174" s="9" t="inlineStr">
        <is>
          <t>Danh sách tham khảo</t>
        </is>
      </c>
      <c r="K174" s="11" t="inlineStr">
        <is>
          <t>Bản đồ</t>
        </is>
      </c>
      <c r="L174" s="12" t="n"/>
      <c r="M174" s="13" t="n"/>
      <c r="N174" s="13" t="n"/>
      <c r="O174" s="13" t="n"/>
      <c r="P174" s="13" t="n"/>
      <c r="Q174" s="13" t="n"/>
      <c r="R174" s="13" t="n"/>
    </row>
    <row r="175">
      <c r="A175" s="8" t="n">
        <v>171</v>
      </c>
      <c r="B175" s="8" t="inlineStr">
        <is>
          <t>PK-171</t>
        </is>
      </c>
      <c r="C175" s="9" t="inlineStr">
        <is>
          <t>Ẩm Thực Pleiku Chay</t>
        </is>
      </c>
      <c r="D175" s="8" t="inlineStr">
        <is>
          <t>Nhà hàng</t>
        </is>
      </c>
      <c r="E175" s="9" t="inlineStr">
        <is>
          <t>13 Bùi Thị Xuân, 96 Tăng Bạt Hổ, Phường Yên Đỗ, TP. Pleiku</t>
        </is>
      </c>
      <c r="F175" s="9" t="inlineStr">
        <is>
          <t>Bùi Thị Xuân</t>
        </is>
      </c>
      <c r="G175" s="8" t="inlineStr">
        <is>
          <t>Phường Diên Hồng</t>
        </is>
      </c>
      <c r="H175" s="8" t="inlineStr">
        <is>
          <t>Yên Đỗ</t>
        </is>
      </c>
      <c r="I175" s="9" t="inlineStr"/>
      <c r="J175" s="9" t="inlineStr">
        <is>
          <t>Danh sách tham khảo</t>
        </is>
      </c>
      <c r="K175" s="11" t="inlineStr">
        <is>
          <t>Bản đồ</t>
        </is>
      </c>
      <c r="L175" s="12" t="n"/>
      <c r="M175" s="13" t="n"/>
      <c r="N175" s="13" t="n"/>
      <c r="O175" s="13" t="n"/>
      <c r="P175" s="13" t="n"/>
      <c r="Q175" s="13" t="n"/>
      <c r="R175" s="13" t="n"/>
    </row>
    <row r="176">
      <c r="A176" s="8" t="n">
        <v>172</v>
      </c>
      <c r="B176" s="8" t="inlineStr">
        <is>
          <t>PK-172</t>
        </is>
      </c>
      <c r="C176" s="9" t="inlineStr">
        <is>
          <t>QUÁN ĂN HÀN QUỐC MAANG CHI</t>
        </is>
      </c>
      <c r="D176" s="8" t="inlineStr">
        <is>
          <t>Nhà hàng</t>
        </is>
      </c>
      <c r="E176" s="9" t="inlineStr">
        <is>
          <t>92 Cao Bá Quát, Phường Yên Đỗ, TP. Pleiku</t>
        </is>
      </c>
      <c r="F176" s="9" t="inlineStr">
        <is>
          <t>Cao Bá Quát</t>
        </is>
      </c>
      <c r="G176" s="8" t="inlineStr">
        <is>
          <t>Phường Diên Hồng</t>
        </is>
      </c>
      <c r="H176" s="8" t="inlineStr">
        <is>
          <t>Yên Đỗ</t>
        </is>
      </c>
      <c r="I176" s="9" t="inlineStr"/>
      <c r="J176" s="9" t="inlineStr">
        <is>
          <t>Danh sách tham khảo</t>
        </is>
      </c>
      <c r="K176" s="11" t="inlineStr">
        <is>
          <t>Bản đồ</t>
        </is>
      </c>
      <c r="L176" s="12" t="n"/>
      <c r="M176" s="13" t="n"/>
      <c r="N176" s="13" t="n"/>
      <c r="O176" s="13" t="n"/>
      <c r="P176" s="13" t="n"/>
      <c r="Q176" s="13" t="n"/>
      <c r="R176" s="13" t="n"/>
    </row>
    <row r="177">
      <c r="A177" s="8" t="n">
        <v>173</v>
      </c>
      <c r="B177" s="8" t="inlineStr">
        <is>
          <t>PK-173</t>
        </is>
      </c>
      <c r="C177" s="9" t="inlineStr">
        <is>
          <t>Quán Lụi Bà Sáu</t>
        </is>
      </c>
      <c r="D177" s="8" t="inlineStr">
        <is>
          <t>Nhà hàng</t>
        </is>
      </c>
      <c r="E177" s="9" t="inlineStr">
        <is>
          <t>122 Cao Bá Quát, Phường Yên Đỗ, TP. Pleiku</t>
        </is>
      </c>
      <c r="F177" s="9" t="inlineStr">
        <is>
          <t>Cao Bá Quát</t>
        </is>
      </c>
      <c r="G177" s="8" t="inlineStr">
        <is>
          <t>Phường Diên Hồng</t>
        </is>
      </c>
      <c r="H177" s="8" t="inlineStr">
        <is>
          <t>Yên Đỗ</t>
        </is>
      </c>
      <c r="I177" s="10" t="inlineStr">
        <is>
          <t>Đã có trên bản đồ – kiểm tra &amp; bổ sung</t>
        </is>
      </c>
      <c r="J177" s="9" t="inlineStr">
        <is>
          <t>Danh sách tham khảo, Hệ thống</t>
        </is>
      </c>
      <c r="K177" s="11" t="inlineStr">
        <is>
          <t>Bản đồ</t>
        </is>
      </c>
      <c r="L177" s="12" t="n"/>
      <c r="M177" s="13" t="n"/>
      <c r="N177" s="13" t="n"/>
      <c r="O177" s="13" t="n"/>
      <c r="P177" s="13" t="n"/>
      <c r="Q177" s="13" t="n"/>
      <c r="R177" s="13" t="n"/>
    </row>
    <row r="178">
      <c r="A178" s="8" t="n">
        <v>174</v>
      </c>
      <c r="B178" s="8" t="inlineStr">
        <is>
          <t>PK-174</t>
        </is>
      </c>
      <c r="C178" s="9" t="inlineStr">
        <is>
          <t>81 Coffee-Juice Box &amp; Ice Cream (185PĐP-Pleiku-Gialai)</t>
        </is>
      </c>
      <c r="D178" s="8" t="inlineStr">
        <is>
          <t>Quán cà phê</t>
        </is>
      </c>
      <c r="E178" s="9" t="inlineStr"/>
      <c r="F178" s="9" t="inlineStr">
        <is>
          <t>(chưa rõ đường)</t>
        </is>
      </c>
      <c r="G178" s="8" t="inlineStr">
        <is>
          <t>Phường Diên Hồng</t>
        </is>
      </c>
      <c r="H178" s="8" t="inlineStr"/>
      <c r="I178" s="10" t="inlineStr">
        <is>
          <t>Địa chỉ chưa có số nhà</t>
        </is>
      </c>
      <c r="J178" s="9" t="inlineStr">
        <is>
          <t>OpenStreetMap</t>
        </is>
      </c>
      <c r="K178" s="11" t="inlineStr">
        <is>
          <t>Bản đồ</t>
        </is>
      </c>
      <c r="L178" s="12" t="n"/>
      <c r="M178" s="13" t="n"/>
      <c r="N178" s="13" t="n"/>
      <c r="O178" s="13" t="n"/>
      <c r="P178" s="13" t="n"/>
      <c r="Q178" s="13" t="n"/>
      <c r="R178" s="13" t="n"/>
    </row>
    <row r="179">
      <c r="A179" s="8" t="n">
        <v>175</v>
      </c>
      <c r="B179" s="8" t="inlineStr">
        <is>
          <t>PK-175</t>
        </is>
      </c>
      <c r="C179" s="9" t="inlineStr">
        <is>
          <t>Bánh canh Cô Bảy</t>
        </is>
      </c>
      <c r="D179" s="8" t="inlineStr">
        <is>
          <t>Nhà hàng</t>
        </is>
      </c>
      <c r="E179" s="9" t="inlineStr"/>
      <c r="F179" s="9" t="inlineStr">
        <is>
          <t>(chưa rõ đường)</t>
        </is>
      </c>
      <c r="G179" s="8" t="inlineStr">
        <is>
          <t>Phường Diên Hồng</t>
        </is>
      </c>
      <c r="H179" s="8" t="inlineStr"/>
      <c r="I179" s="10" t="inlineStr">
        <is>
          <t>Địa chỉ chưa có số nhà</t>
        </is>
      </c>
      <c r="J179" s="9" t="inlineStr">
        <is>
          <t>OpenStreetMap</t>
        </is>
      </c>
      <c r="K179" s="11" t="inlineStr">
        <is>
          <t>Bản đồ</t>
        </is>
      </c>
      <c r="L179" s="12" t="n"/>
      <c r="M179" s="13" t="n"/>
      <c r="N179" s="13" t="n"/>
      <c r="O179" s="13" t="n"/>
      <c r="P179" s="13" t="n"/>
      <c r="Q179" s="13" t="n"/>
      <c r="R179" s="13" t="n"/>
    </row>
    <row r="180">
      <c r="A180" s="8" t="n">
        <v>176</v>
      </c>
      <c r="B180" s="8" t="inlineStr">
        <is>
          <t>PK-176</t>
        </is>
      </c>
      <c r="C180" s="9" t="inlineStr">
        <is>
          <t>Bánh Canh Hiền</t>
        </is>
      </c>
      <c r="D180" s="8" t="inlineStr">
        <is>
          <t>Nhà hàng</t>
        </is>
      </c>
      <c r="E180" s="9" t="inlineStr"/>
      <c r="F180" s="9" t="inlineStr">
        <is>
          <t>(chưa rõ đường)</t>
        </is>
      </c>
      <c r="G180" s="8" t="inlineStr">
        <is>
          <t>Phường Diên Hồng</t>
        </is>
      </c>
      <c r="H180" s="8" t="inlineStr"/>
      <c r="I180" s="10" t="inlineStr">
        <is>
          <t>Địa chỉ chưa có số nhà</t>
        </is>
      </c>
      <c r="J180" s="9" t="inlineStr">
        <is>
          <t>OpenStreetMap</t>
        </is>
      </c>
      <c r="K180" s="11" t="inlineStr">
        <is>
          <t>Bản đồ</t>
        </is>
      </c>
      <c r="L180" s="12" t="n"/>
      <c r="M180" s="13" t="n"/>
      <c r="N180" s="13" t="n"/>
      <c r="O180" s="13" t="n"/>
      <c r="P180" s="13" t="n"/>
      <c r="Q180" s="13" t="n"/>
      <c r="R180" s="13" t="n"/>
    </row>
    <row r="181">
      <c r="A181" s="8" t="n">
        <v>177</v>
      </c>
      <c r="B181" s="8" t="inlineStr">
        <is>
          <t>PK-177</t>
        </is>
      </c>
      <c r="C181" s="9" t="inlineStr">
        <is>
          <t>Bánh canh Ngọc Ánh</t>
        </is>
      </c>
      <c r="D181" s="8" t="inlineStr">
        <is>
          <t>Nhà hàng</t>
        </is>
      </c>
      <c r="E181" s="9" t="inlineStr"/>
      <c r="F181" s="9" t="inlineStr">
        <is>
          <t>(chưa rõ đường)</t>
        </is>
      </c>
      <c r="G181" s="8" t="inlineStr">
        <is>
          <t>Phường Diên Hồng</t>
        </is>
      </c>
      <c r="H181" s="8" t="inlineStr"/>
      <c r="I181" s="10" t="inlineStr">
        <is>
          <t>Địa chỉ chưa có số nhà</t>
        </is>
      </c>
      <c r="J181" s="9" t="inlineStr">
        <is>
          <t>OpenStreetMap</t>
        </is>
      </c>
      <c r="K181" s="11" t="inlineStr">
        <is>
          <t>Bản đồ</t>
        </is>
      </c>
      <c r="L181" s="12" t="n"/>
      <c r="M181" s="13" t="n"/>
      <c r="N181" s="13" t="n"/>
      <c r="O181" s="13" t="n"/>
      <c r="P181" s="13" t="n"/>
      <c r="Q181" s="13" t="n"/>
      <c r="R181" s="13" t="n"/>
    </row>
    <row r="182">
      <c r="A182" s="8" t="n">
        <v>178</v>
      </c>
      <c r="B182" s="8" t="inlineStr">
        <is>
          <t>PK-178</t>
        </is>
      </c>
      <c r="C182" s="9" t="inlineStr">
        <is>
          <t>Bánh mì chay</t>
        </is>
      </c>
      <c r="D182" s="8" t="inlineStr">
        <is>
          <t>Nhà hàng</t>
        </is>
      </c>
      <c r="E182" s="9" t="inlineStr"/>
      <c r="F182" s="9" t="inlineStr">
        <is>
          <t>(chưa rõ đường)</t>
        </is>
      </c>
      <c r="G182" s="8" t="inlineStr">
        <is>
          <t>Phường Diên Hồng</t>
        </is>
      </c>
      <c r="H182" s="8" t="inlineStr"/>
      <c r="I182" s="10" t="inlineStr">
        <is>
          <t>Địa chỉ chưa có số nhà; Trùng vị trí với: Quán Cơm Chay An Bình, Quán Chay An Tâm</t>
        </is>
      </c>
      <c r="J182" s="9" t="inlineStr">
        <is>
          <t>OpenStreetMap</t>
        </is>
      </c>
      <c r="K182" s="11" t="inlineStr">
        <is>
          <t>Bản đồ</t>
        </is>
      </c>
      <c r="L182" s="12" t="n"/>
      <c r="M182" s="13" t="n"/>
      <c r="N182" s="13" t="n"/>
      <c r="O182" s="13" t="n"/>
      <c r="P182" s="13" t="n"/>
      <c r="Q182" s="13" t="n"/>
      <c r="R182" s="13" t="n"/>
    </row>
    <row r="183">
      <c r="A183" s="8" t="n">
        <v>179</v>
      </c>
      <c r="B183" s="8" t="inlineStr">
        <is>
          <t>PK-179</t>
        </is>
      </c>
      <c r="C183" s="9" t="inlineStr">
        <is>
          <t>Bánh Xèo Khánh Hiền</t>
        </is>
      </c>
      <c r="D183" s="8" t="inlineStr">
        <is>
          <t>Nhà hàng</t>
        </is>
      </c>
      <c r="E183" s="9" t="inlineStr"/>
      <c r="F183" s="9" t="inlineStr">
        <is>
          <t>(chưa rõ đường)</t>
        </is>
      </c>
      <c r="G183" s="8" t="inlineStr">
        <is>
          <t>Phường Diên Hồng</t>
        </is>
      </c>
      <c r="H183" s="8" t="inlineStr"/>
      <c r="I183" s="10" t="inlineStr">
        <is>
          <t>Địa chỉ chưa có số nhà</t>
        </is>
      </c>
      <c r="J183" s="9" t="inlineStr">
        <is>
          <t>OpenStreetMap</t>
        </is>
      </c>
      <c r="K183" s="11" t="inlineStr">
        <is>
          <t>Bản đồ</t>
        </is>
      </c>
      <c r="L183" s="12" t="n"/>
      <c r="M183" s="13" t="n"/>
      <c r="N183" s="13" t="n"/>
      <c r="O183" s="13" t="n"/>
      <c r="P183" s="13" t="n"/>
      <c r="Q183" s="13" t="n"/>
      <c r="R183" s="13" t="n"/>
    </row>
    <row r="184">
      <c r="A184" s="8" t="n">
        <v>180</v>
      </c>
      <c r="B184" s="8" t="inlineStr">
        <is>
          <t>PK-180</t>
        </is>
      </c>
      <c r="C184" s="9" t="inlineStr">
        <is>
          <t>BBQ Vien Dong</t>
        </is>
      </c>
      <c r="D184" s="8" t="inlineStr">
        <is>
          <t>Nhà hàng</t>
        </is>
      </c>
      <c r="E184" s="9" t="inlineStr"/>
      <c r="F184" s="9" t="inlineStr">
        <is>
          <t>(chưa rõ đường)</t>
        </is>
      </c>
      <c r="G184" s="8" t="inlineStr">
        <is>
          <t>Phường Diên Hồng</t>
        </is>
      </c>
      <c r="H184" s="8" t="inlineStr"/>
      <c r="I184" s="10" t="inlineStr">
        <is>
          <t>Địa chỉ chưa có số nhà</t>
        </is>
      </c>
      <c r="J184" s="9" t="inlineStr">
        <is>
          <t>OpenStreetMap</t>
        </is>
      </c>
      <c r="K184" s="11" t="inlineStr">
        <is>
          <t>Bản đồ</t>
        </is>
      </c>
      <c r="L184" s="12" t="n"/>
      <c r="M184" s="13" t="n"/>
      <c r="N184" s="13" t="n"/>
      <c r="O184" s="13" t="n"/>
      <c r="P184" s="13" t="n"/>
      <c r="Q184" s="13" t="n"/>
      <c r="R184" s="13" t="n"/>
    </row>
    <row r="185">
      <c r="A185" s="8" t="n">
        <v>181</v>
      </c>
      <c r="B185" s="8" t="inlineStr">
        <is>
          <t>PK-181</t>
        </is>
      </c>
      <c r="C185" s="9" t="inlineStr">
        <is>
          <t>BẾP NHÀ MÌNH</t>
        </is>
      </c>
      <c r="D185" s="8" t="inlineStr">
        <is>
          <t>Nhà hàng</t>
        </is>
      </c>
      <c r="E185" s="9" t="inlineStr"/>
      <c r="F185" s="9" t="inlineStr">
        <is>
          <t>(chưa rõ đường)</t>
        </is>
      </c>
      <c r="G185" s="8" t="inlineStr">
        <is>
          <t>Phường Diên Hồng</t>
        </is>
      </c>
      <c r="H185" s="8" t="inlineStr"/>
      <c r="I185" s="10" t="inlineStr">
        <is>
          <t>Địa chỉ chưa có số nhà</t>
        </is>
      </c>
      <c r="J185" s="9" t="inlineStr">
        <is>
          <t>OpenStreetMap</t>
        </is>
      </c>
      <c r="K185" s="11" t="inlineStr">
        <is>
          <t>Bản đồ</t>
        </is>
      </c>
      <c r="L185" s="12" t="n"/>
      <c r="M185" s="13" t="n"/>
      <c r="N185" s="13" t="n"/>
      <c r="O185" s="13" t="n"/>
      <c r="P185" s="13" t="n"/>
      <c r="Q185" s="13" t="n"/>
      <c r="R185" s="13" t="n"/>
    </row>
    <row r="186">
      <c r="A186" s="8" t="n">
        <v>182</v>
      </c>
      <c r="B186" s="8" t="inlineStr">
        <is>
          <t>PK-182</t>
        </is>
      </c>
      <c r="C186" s="9" t="inlineStr">
        <is>
          <t>Bobo quán</t>
        </is>
      </c>
      <c r="D186" s="8" t="inlineStr">
        <is>
          <t>Quán cà phê</t>
        </is>
      </c>
      <c r="E186" s="9" t="inlineStr"/>
      <c r="F186" s="9" t="inlineStr">
        <is>
          <t>(chưa rõ đường)</t>
        </is>
      </c>
      <c r="G186" s="8" t="inlineStr">
        <is>
          <t>Phường Diên Hồng</t>
        </is>
      </c>
      <c r="H186" s="8" t="inlineStr"/>
      <c r="I186" s="10" t="inlineStr">
        <is>
          <t>Địa chỉ chưa có số nhà</t>
        </is>
      </c>
      <c r="J186" s="9" t="inlineStr">
        <is>
          <t>OpenStreetMap</t>
        </is>
      </c>
      <c r="K186" s="11" t="inlineStr">
        <is>
          <t>Bản đồ</t>
        </is>
      </c>
      <c r="L186" s="12" t="n"/>
      <c r="M186" s="13" t="n"/>
      <c r="N186" s="13" t="n"/>
      <c r="O186" s="13" t="n"/>
      <c r="P186" s="13" t="n"/>
      <c r="Q186" s="13" t="n"/>
      <c r="R186" s="13" t="n"/>
    </row>
    <row r="187">
      <c r="A187" s="8" t="n">
        <v>183</v>
      </c>
      <c r="B187" s="8" t="inlineStr">
        <is>
          <t>PK-183</t>
        </is>
      </c>
      <c r="C187" s="9" t="inlineStr">
        <is>
          <t>Bún phở Cô Năm</t>
        </is>
      </c>
      <c r="D187" s="8" t="inlineStr">
        <is>
          <t>Nhà hàng</t>
        </is>
      </c>
      <c r="E187" s="9" t="inlineStr"/>
      <c r="F187" s="9" t="inlineStr">
        <is>
          <t>(chưa rõ đường)</t>
        </is>
      </c>
      <c r="G187" s="8" t="inlineStr">
        <is>
          <t>Phường Diên Hồng</t>
        </is>
      </c>
      <c r="H187" s="8" t="inlineStr"/>
      <c r="I187" s="10" t="inlineStr">
        <is>
          <t>Địa chỉ chưa có số nhà</t>
        </is>
      </c>
      <c r="J187" s="9" t="inlineStr">
        <is>
          <t>OpenStreetMap</t>
        </is>
      </c>
      <c r="K187" s="11" t="inlineStr">
        <is>
          <t>Bản đồ</t>
        </is>
      </c>
      <c r="L187" s="12" t="n"/>
      <c r="M187" s="13" t="n"/>
      <c r="N187" s="13" t="n"/>
      <c r="O187" s="13" t="n"/>
      <c r="P187" s="13" t="n"/>
      <c r="Q187" s="13" t="n"/>
      <c r="R187" s="13" t="n"/>
    </row>
    <row r="188">
      <c r="A188" s="8" t="n">
        <v>184</v>
      </c>
      <c r="B188" s="8" t="inlineStr">
        <is>
          <t>PK-184</t>
        </is>
      </c>
      <c r="C188" s="9" t="inlineStr">
        <is>
          <t>C.INE Restaurant</t>
        </is>
      </c>
      <c r="D188" s="8" t="inlineStr">
        <is>
          <t>Nhà hàng</t>
        </is>
      </c>
      <c r="E188" s="9" t="inlineStr"/>
      <c r="F188" s="9" t="inlineStr">
        <is>
          <t>(chưa rõ đường)</t>
        </is>
      </c>
      <c r="G188" s="8" t="inlineStr">
        <is>
          <t>Phường Diên Hồng</t>
        </is>
      </c>
      <c r="H188" s="8" t="inlineStr"/>
      <c r="I188" s="10" t="inlineStr">
        <is>
          <t>Địa chỉ chưa có số nhà</t>
        </is>
      </c>
      <c r="J188" s="9" t="inlineStr">
        <is>
          <t>OpenStreetMap</t>
        </is>
      </c>
      <c r="K188" s="11" t="inlineStr">
        <is>
          <t>Bản đồ</t>
        </is>
      </c>
      <c r="L188" s="12" t="n"/>
      <c r="M188" s="13" t="n"/>
      <c r="N188" s="13" t="n"/>
      <c r="O188" s="13" t="n"/>
      <c r="P188" s="13" t="n"/>
      <c r="Q188" s="13" t="n"/>
      <c r="R188" s="13" t="n"/>
    </row>
    <row r="189">
      <c r="A189" s="8" t="n">
        <v>185</v>
      </c>
      <c r="B189" s="8" t="inlineStr">
        <is>
          <t>PK-185</t>
        </is>
      </c>
      <c r="C189" s="9" t="inlineStr">
        <is>
          <t>C4 19-22</t>
        </is>
      </c>
      <c r="D189" s="8" t="inlineStr">
        <is>
          <t>Nhà hàng</t>
        </is>
      </c>
      <c r="E189" s="9" t="inlineStr"/>
      <c r="F189" s="9" t="inlineStr">
        <is>
          <t>(chưa rõ đường)</t>
        </is>
      </c>
      <c r="G189" s="8" t="inlineStr">
        <is>
          <t>Phường Diên Hồng</t>
        </is>
      </c>
      <c r="H189" s="8" t="inlineStr"/>
      <c r="I189" s="10" t="inlineStr">
        <is>
          <t>Địa chỉ chưa có số nhà</t>
        </is>
      </c>
      <c r="J189" s="9" t="inlineStr">
        <is>
          <t>OpenStreetMap</t>
        </is>
      </c>
      <c r="K189" s="11" t="inlineStr">
        <is>
          <t>Bản đồ</t>
        </is>
      </c>
      <c r="L189" s="12" t="n"/>
      <c r="M189" s="13" t="n"/>
      <c r="N189" s="13" t="n"/>
      <c r="O189" s="13" t="n"/>
      <c r="P189" s="13" t="n"/>
      <c r="Q189" s="13" t="n"/>
      <c r="R189" s="13" t="n"/>
    </row>
    <row r="190">
      <c r="A190" s="8" t="n">
        <v>186</v>
      </c>
      <c r="B190" s="8" t="inlineStr">
        <is>
          <t>PK-186</t>
        </is>
      </c>
      <c r="C190" s="9" t="inlineStr">
        <is>
          <t>Ca Fe 123</t>
        </is>
      </c>
      <c r="D190" s="8" t="inlineStr">
        <is>
          <t>Quán cà phê</t>
        </is>
      </c>
      <c r="E190" s="9" t="inlineStr"/>
      <c r="F190" s="9" t="inlineStr">
        <is>
          <t>(chưa rõ đường)</t>
        </is>
      </c>
      <c r="G190" s="8" t="inlineStr">
        <is>
          <t>Phường Diên Hồng</t>
        </is>
      </c>
      <c r="H190" s="8" t="inlineStr"/>
      <c r="I190" s="10" t="inlineStr">
        <is>
          <t>Địa chỉ chưa có số nhà</t>
        </is>
      </c>
      <c r="J190" s="9" t="inlineStr">
        <is>
          <t>OpenStreetMap</t>
        </is>
      </c>
      <c r="K190" s="11" t="inlineStr">
        <is>
          <t>Bản đồ</t>
        </is>
      </c>
      <c r="L190" s="12" t="n"/>
      <c r="M190" s="13" t="n"/>
      <c r="N190" s="13" t="n"/>
      <c r="O190" s="13" t="n"/>
      <c r="P190" s="13" t="n"/>
      <c r="Q190" s="13" t="n"/>
      <c r="R190" s="13" t="n"/>
    </row>
    <row r="191">
      <c r="A191" s="8" t="n">
        <v>187</v>
      </c>
      <c r="B191" s="8" t="inlineStr">
        <is>
          <t>PK-187</t>
        </is>
      </c>
      <c r="C191" s="9" t="inlineStr">
        <is>
          <t>Cà Phê Cây Nhãn</t>
        </is>
      </c>
      <c r="D191" s="8" t="inlineStr">
        <is>
          <t>Quán cà phê</t>
        </is>
      </c>
      <c r="E191" s="9" t="inlineStr"/>
      <c r="F191" s="9" t="inlineStr">
        <is>
          <t>(chưa rõ đường)</t>
        </is>
      </c>
      <c r="G191" s="8" t="inlineStr">
        <is>
          <t>Phường Diên Hồng</t>
        </is>
      </c>
      <c r="H191" s="8" t="inlineStr"/>
      <c r="I191" s="10" t="inlineStr">
        <is>
          <t>Địa chỉ chưa có số nhà</t>
        </is>
      </c>
      <c r="J191" s="9" t="inlineStr">
        <is>
          <t>OpenStreetMap</t>
        </is>
      </c>
      <c r="K191" s="11" t="inlineStr">
        <is>
          <t>Bản đồ</t>
        </is>
      </c>
      <c r="L191" s="12" t="n"/>
      <c r="M191" s="13" t="n"/>
      <c r="N191" s="13" t="n"/>
      <c r="O191" s="13" t="n"/>
      <c r="P191" s="13" t="n"/>
      <c r="Q191" s="13" t="n"/>
      <c r="R191" s="13" t="n"/>
    </row>
    <row r="192">
      <c r="A192" s="8" t="n">
        <v>188</v>
      </c>
      <c r="B192" s="8" t="inlineStr">
        <is>
          <t>PK-188</t>
        </is>
      </c>
      <c r="C192" s="9" t="inlineStr">
        <is>
          <t>Cà phê Hoàng Khánh</t>
        </is>
      </c>
      <c r="D192" s="8" t="inlineStr">
        <is>
          <t>Quán cà phê</t>
        </is>
      </c>
      <c r="E192" s="9" t="inlineStr"/>
      <c r="F192" s="9" t="inlineStr">
        <is>
          <t>(chưa rõ đường)</t>
        </is>
      </c>
      <c r="G192" s="8" t="inlineStr">
        <is>
          <t>Phường Diên Hồng</t>
        </is>
      </c>
      <c r="H192" s="8" t="inlineStr"/>
      <c r="I192" s="10" t="inlineStr">
        <is>
          <t>Địa chỉ chưa có số nhà</t>
        </is>
      </c>
      <c r="J192" s="9" t="inlineStr">
        <is>
          <t>OpenStreetMap</t>
        </is>
      </c>
      <c r="K192" s="11" t="inlineStr">
        <is>
          <t>Bản đồ</t>
        </is>
      </c>
      <c r="L192" s="12" t="n"/>
      <c r="M192" s="13" t="n"/>
      <c r="N192" s="13" t="n"/>
      <c r="O192" s="13" t="n"/>
      <c r="P192" s="13" t="n"/>
      <c r="Q192" s="13" t="n"/>
      <c r="R192" s="13" t="n"/>
    </row>
    <row r="193">
      <c r="A193" s="8" t="n">
        <v>189</v>
      </c>
      <c r="B193" s="8" t="inlineStr">
        <is>
          <t>PK-189</t>
        </is>
      </c>
      <c r="C193" s="9" t="inlineStr">
        <is>
          <t>Cà Phê Ng.Chất RX</t>
        </is>
      </c>
      <c r="D193" s="8" t="inlineStr">
        <is>
          <t>Quán cà phê</t>
        </is>
      </c>
      <c r="E193" s="9" t="inlineStr"/>
      <c r="F193" s="9" t="inlineStr">
        <is>
          <t>(chưa rõ đường)</t>
        </is>
      </c>
      <c r="G193" s="8" t="inlineStr">
        <is>
          <t>Phường Diên Hồng</t>
        </is>
      </c>
      <c r="H193" s="8" t="inlineStr"/>
      <c r="I193" s="10" t="inlineStr">
        <is>
          <t>Địa chỉ chưa có số nhà</t>
        </is>
      </c>
      <c r="J193" s="9" t="inlineStr">
        <is>
          <t>OpenStreetMap</t>
        </is>
      </c>
      <c r="K193" s="11" t="inlineStr">
        <is>
          <t>Bản đồ</t>
        </is>
      </c>
      <c r="L193" s="12" t="n"/>
      <c r="M193" s="13" t="n"/>
      <c r="N193" s="13" t="n"/>
      <c r="O193" s="13" t="n"/>
      <c r="P193" s="13" t="n"/>
      <c r="Q193" s="13" t="n"/>
      <c r="R193" s="13" t="n"/>
    </row>
    <row r="194">
      <c r="A194" s="8" t="n">
        <v>190</v>
      </c>
      <c r="B194" s="8" t="inlineStr">
        <is>
          <t>PK-190</t>
        </is>
      </c>
      <c r="C194" s="9" t="inlineStr">
        <is>
          <t>Cà Phê Ruby Koi</t>
        </is>
      </c>
      <c r="D194" s="8" t="inlineStr">
        <is>
          <t>Quán cà phê</t>
        </is>
      </c>
      <c r="E194" s="9" t="inlineStr"/>
      <c r="F194" s="9" t="inlineStr">
        <is>
          <t>(chưa rõ đường)</t>
        </is>
      </c>
      <c r="G194" s="8" t="inlineStr">
        <is>
          <t>Phường Diên Hồng</t>
        </is>
      </c>
      <c r="H194" s="8" t="inlineStr"/>
      <c r="I194" s="10" t="inlineStr">
        <is>
          <t>Địa chỉ chưa có số nhà</t>
        </is>
      </c>
      <c r="J194" s="9" t="inlineStr">
        <is>
          <t>OpenStreetMap</t>
        </is>
      </c>
      <c r="K194" s="11" t="inlineStr">
        <is>
          <t>Bản đồ</t>
        </is>
      </c>
      <c r="L194" s="12" t="n"/>
      <c r="M194" s="13" t="n"/>
      <c r="N194" s="13" t="n"/>
      <c r="O194" s="13" t="n"/>
      <c r="P194" s="13" t="n"/>
      <c r="Q194" s="13" t="n"/>
      <c r="R194" s="13" t="n"/>
    </row>
    <row r="195">
      <c r="A195" s="8" t="n">
        <v>191</v>
      </c>
      <c r="B195" s="8" t="inlineStr">
        <is>
          <t>PK-191</t>
        </is>
      </c>
      <c r="C195" s="9" t="inlineStr">
        <is>
          <t>Cà Phê Sunrise 159 Lê Thánh Tôn Pleiku Gia Lai</t>
        </is>
      </c>
      <c r="D195" s="8" t="inlineStr">
        <is>
          <t>Quán cà phê</t>
        </is>
      </c>
      <c r="E195" s="9" t="inlineStr"/>
      <c r="F195" s="9" t="inlineStr">
        <is>
          <t>(chưa rõ đường)</t>
        </is>
      </c>
      <c r="G195" s="8" t="inlineStr">
        <is>
          <t>Phường Diên Hồng</t>
        </is>
      </c>
      <c r="H195" s="8" t="inlineStr"/>
      <c r="I195" s="10" t="inlineStr">
        <is>
          <t>Địa chỉ chưa có số nhà</t>
        </is>
      </c>
      <c r="J195" s="9" t="inlineStr">
        <is>
          <t>OpenStreetMap</t>
        </is>
      </c>
      <c r="K195" s="11" t="inlineStr">
        <is>
          <t>Bản đồ</t>
        </is>
      </c>
      <c r="L195" s="12" t="n"/>
      <c r="M195" s="13" t="n"/>
      <c r="N195" s="13" t="n"/>
      <c r="O195" s="13" t="n"/>
      <c r="P195" s="13" t="n"/>
      <c r="Q195" s="13" t="n"/>
      <c r="R195" s="13" t="n"/>
    </row>
    <row r="196">
      <c r="A196" s="8" t="n">
        <v>192</v>
      </c>
      <c r="B196" s="8" t="inlineStr">
        <is>
          <t>PK-192</t>
        </is>
      </c>
      <c r="C196" s="9" t="inlineStr">
        <is>
          <t>Cafe Chim Ưng</t>
        </is>
      </c>
      <c r="D196" s="8" t="inlineStr">
        <is>
          <t>Quán cà phê</t>
        </is>
      </c>
      <c r="E196" s="9" t="inlineStr"/>
      <c r="F196" s="9" t="inlineStr">
        <is>
          <t>(chưa rõ đường)</t>
        </is>
      </c>
      <c r="G196" s="8" t="inlineStr">
        <is>
          <t>Phường Diên Hồng</t>
        </is>
      </c>
      <c r="H196" s="8" t="inlineStr"/>
      <c r="I196" s="10" t="inlineStr">
        <is>
          <t>Địa chỉ chưa có số nhà</t>
        </is>
      </c>
      <c r="J196" s="9" t="inlineStr">
        <is>
          <t>OpenStreetMap</t>
        </is>
      </c>
      <c r="K196" s="11" t="inlineStr">
        <is>
          <t>Bản đồ</t>
        </is>
      </c>
      <c r="L196" s="12" t="n"/>
      <c r="M196" s="13" t="n"/>
      <c r="N196" s="13" t="n"/>
      <c r="O196" s="13" t="n"/>
      <c r="P196" s="13" t="n"/>
      <c r="Q196" s="13" t="n"/>
      <c r="R196" s="13" t="n"/>
    </row>
    <row r="197">
      <c r="A197" s="8" t="n">
        <v>193</v>
      </c>
      <c r="B197" s="8" t="inlineStr">
        <is>
          <t>PK-193</t>
        </is>
      </c>
      <c r="C197" s="9" t="inlineStr">
        <is>
          <t>Cafe LAN</t>
        </is>
      </c>
      <c r="D197" s="8" t="inlineStr">
        <is>
          <t>Quán cà phê</t>
        </is>
      </c>
      <c r="E197" s="9" t="inlineStr"/>
      <c r="F197" s="9" t="inlineStr">
        <is>
          <t>(chưa rõ đường)</t>
        </is>
      </c>
      <c r="G197" s="8" t="inlineStr">
        <is>
          <t>Phường Diên Hồng</t>
        </is>
      </c>
      <c r="H197" s="8" t="inlineStr"/>
      <c r="I197" s="10" t="inlineStr">
        <is>
          <t>Địa chỉ chưa có số nhà</t>
        </is>
      </c>
      <c r="J197" s="9" t="inlineStr">
        <is>
          <t>OpenStreetMap</t>
        </is>
      </c>
      <c r="K197" s="11" t="inlineStr">
        <is>
          <t>Bản đồ</t>
        </is>
      </c>
      <c r="L197" s="12" t="n"/>
      <c r="M197" s="13" t="n"/>
      <c r="N197" s="13" t="n"/>
      <c r="O197" s="13" t="n"/>
      <c r="P197" s="13" t="n"/>
      <c r="Q197" s="13" t="n"/>
      <c r="R197" s="13" t="n"/>
    </row>
    <row r="198">
      <c r="A198" s="8" t="n">
        <v>194</v>
      </c>
      <c r="B198" s="8" t="inlineStr">
        <is>
          <t>PK-194</t>
        </is>
      </c>
      <c r="C198" s="9" t="inlineStr">
        <is>
          <t>Cafe New Star</t>
        </is>
      </c>
      <c r="D198" s="8" t="inlineStr">
        <is>
          <t>Quán cà phê</t>
        </is>
      </c>
      <c r="E198" s="9" t="inlineStr"/>
      <c r="F198" s="9" t="inlineStr">
        <is>
          <t>(chưa rõ đường)</t>
        </is>
      </c>
      <c r="G198" s="8" t="inlineStr">
        <is>
          <t>Phường Diên Hồng</t>
        </is>
      </c>
      <c r="H198" s="8" t="inlineStr"/>
      <c r="I198" s="10" t="inlineStr">
        <is>
          <t>Địa chỉ chưa có số nhà</t>
        </is>
      </c>
      <c r="J198" s="9" t="inlineStr">
        <is>
          <t>OpenStreetMap</t>
        </is>
      </c>
      <c r="K198" s="11" t="inlineStr">
        <is>
          <t>Bản đồ</t>
        </is>
      </c>
      <c r="L198" s="12" t="n"/>
      <c r="M198" s="13" t="n"/>
      <c r="N198" s="13" t="n"/>
      <c r="O198" s="13" t="n"/>
      <c r="P198" s="13" t="n"/>
      <c r="Q198" s="13" t="n"/>
      <c r="R198" s="13" t="n"/>
    </row>
    <row r="199">
      <c r="A199" s="8" t="n">
        <v>195</v>
      </c>
      <c r="B199" s="8" t="inlineStr">
        <is>
          <t>PK-195</t>
        </is>
      </c>
      <c r="C199" s="9" t="inlineStr">
        <is>
          <t>cafee</t>
        </is>
      </c>
      <c r="D199" s="8" t="inlineStr">
        <is>
          <t>Quán cà phê</t>
        </is>
      </c>
      <c r="E199" s="9" t="inlineStr"/>
      <c r="F199" s="9" t="inlineStr">
        <is>
          <t>(chưa rõ đường)</t>
        </is>
      </c>
      <c r="G199" s="8" t="inlineStr">
        <is>
          <t>Phường Diên Hồng</t>
        </is>
      </c>
      <c r="H199" s="8" t="inlineStr"/>
      <c r="I199" s="10" t="inlineStr">
        <is>
          <t>Địa chỉ chưa có số nhà</t>
        </is>
      </c>
      <c r="J199" s="9" t="inlineStr">
        <is>
          <t>OpenStreetMap</t>
        </is>
      </c>
      <c r="K199" s="11" t="inlineStr">
        <is>
          <t>Bản đồ</t>
        </is>
      </c>
      <c r="L199" s="12" t="n"/>
      <c r="M199" s="13" t="n"/>
      <c r="N199" s="13" t="n"/>
      <c r="O199" s="13" t="n"/>
      <c r="P199" s="13" t="n"/>
      <c r="Q199" s="13" t="n"/>
      <c r="R199" s="13" t="n"/>
    </row>
    <row r="200">
      <c r="A200" s="8" t="n">
        <v>196</v>
      </c>
      <c r="B200" s="8" t="inlineStr">
        <is>
          <t>PK-196</t>
        </is>
      </c>
      <c r="C200" s="9" t="inlineStr">
        <is>
          <t>CAFFEE Thùy Dung</t>
        </is>
      </c>
      <c r="D200" s="8" t="inlineStr">
        <is>
          <t>Quán cà phê</t>
        </is>
      </c>
      <c r="E200" s="9" t="inlineStr"/>
      <c r="F200" s="9" t="inlineStr">
        <is>
          <t>(chưa rõ đường)</t>
        </is>
      </c>
      <c r="G200" s="8" t="inlineStr">
        <is>
          <t>Phường Diên Hồng</t>
        </is>
      </c>
      <c r="H200" s="8" t="inlineStr"/>
      <c r="I200" s="10" t="inlineStr">
        <is>
          <t>Địa chỉ chưa có số nhà</t>
        </is>
      </c>
      <c r="J200" s="9" t="inlineStr">
        <is>
          <t>OpenStreetMap</t>
        </is>
      </c>
      <c r="K200" s="11" t="inlineStr">
        <is>
          <t>Bản đồ</t>
        </is>
      </c>
      <c r="L200" s="12" t="n"/>
      <c r="M200" s="13" t="n"/>
      <c r="N200" s="13" t="n"/>
      <c r="O200" s="13" t="n"/>
      <c r="P200" s="13" t="n"/>
      <c r="Q200" s="13" t="n"/>
      <c r="R200" s="13" t="n"/>
    </row>
    <row r="201">
      <c r="A201" s="8" t="n">
        <v>197</v>
      </c>
      <c r="B201" s="8" t="inlineStr">
        <is>
          <t>PK-197</t>
        </is>
      </c>
      <c r="C201" s="9" t="inlineStr">
        <is>
          <t>CÔ TRANG - BÚN BÒ GÂN</t>
        </is>
      </c>
      <c r="D201" s="8" t="inlineStr">
        <is>
          <t>Nhà hàng</t>
        </is>
      </c>
      <c r="E201" s="9" t="inlineStr"/>
      <c r="F201" s="9" t="inlineStr">
        <is>
          <t>(chưa rõ đường)</t>
        </is>
      </c>
      <c r="G201" s="8" t="inlineStr">
        <is>
          <t>Phường Diên Hồng</t>
        </is>
      </c>
      <c r="H201" s="8" t="inlineStr"/>
      <c r="I201" s="10" t="inlineStr">
        <is>
          <t>Địa chỉ chưa có số nhà</t>
        </is>
      </c>
      <c r="J201" s="9" t="inlineStr">
        <is>
          <t>OpenStreetMap</t>
        </is>
      </c>
      <c r="K201" s="11" t="inlineStr">
        <is>
          <t>Bản đồ</t>
        </is>
      </c>
      <c r="L201" s="12" t="n"/>
      <c r="M201" s="13" t="n"/>
      <c r="N201" s="13" t="n"/>
      <c r="O201" s="13" t="n"/>
      <c r="P201" s="13" t="n"/>
      <c r="Q201" s="13" t="n"/>
      <c r="R201" s="13" t="n"/>
    </row>
    <row r="202">
      <c r="A202" s="8" t="n">
        <v>198</v>
      </c>
      <c r="B202" s="8" t="inlineStr">
        <is>
          <t>PK-198</t>
        </is>
      </c>
      <c r="C202" s="9" t="inlineStr">
        <is>
          <t>Coffe CP10</t>
        </is>
      </c>
      <c r="D202" s="8" t="inlineStr">
        <is>
          <t>Quán cà phê</t>
        </is>
      </c>
      <c r="E202" s="9" t="inlineStr"/>
      <c r="F202" s="9" t="inlineStr">
        <is>
          <t>(chưa rõ đường)</t>
        </is>
      </c>
      <c r="G202" s="8" t="inlineStr">
        <is>
          <t>Phường Diên Hồng</t>
        </is>
      </c>
      <c r="H202" s="8" t="inlineStr"/>
      <c r="I202" s="10" t="inlineStr">
        <is>
          <t>Địa chỉ chưa có số nhà</t>
        </is>
      </c>
      <c r="J202" s="9" t="inlineStr">
        <is>
          <t>OpenStreetMap</t>
        </is>
      </c>
      <c r="K202" s="11" t="inlineStr">
        <is>
          <t>Bản đồ</t>
        </is>
      </c>
      <c r="L202" s="12" t="n"/>
      <c r="M202" s="13" t="n"/>
      <c r="N202" s="13" t="n"/>
      <c r="O202" s="13" t="n"/>
      <c r="P202" s="13" t="n"/>
      <c r="Q202" s="13" t="n"/>
      <c r="R202" s="13" t="n"/>
    </row>
    <row r="203">
      <c r="A203" s="8" t="n">
        <v>199</v>
      </c>
      <c r="B203" s="8" t="inlineStr">
        <is>
          <t>PK-199</t>
        </is>
      </c>
      <c r="C203" s="9" t="inlineStr">
        <is>
          <t>cơm Gà Ngọc Ký</t>
        </is>
      </c>
      <c r="D203" s="8" t="inlineStr">
        <is>
          <t>Nhà hàng</t>
        </is>
      </c>
      <c r="E203" s="9" t="inlineStr"/>
      <c r="F203" s="9" t="inlineStr">
        <is>
          <t>(chưa rõ đường)</t>
        </is>
      </c>
      <c r="G203" s="8" t="inlineStr">
        <is>
          <t>Phường Diên Hồng</t>
        </is>
      </c>
      <c r="H203" s="8" t="inlineStr"/>
      <c r="I203" s="10" t="inlineStr">
        <is>
          <t>Địa chỉ chưa có số nhà; Trùng vị trí với: Quán ăn Đông Kinh</t>
        </is>
      </c>
      <c r="J203" s="9" t="inlineStr">
        <is>
          <t>OpenStreetMap</t>
        </is>
      </c>
      <c r="K203" s="11" t="inlineStr">
        <is>
          <t>Bản đồ</t>
        </is>
      </c>
      <c r="L203" s="12" t="n"/>
      <c r="M203" s="13" t="n"/>
      <c r="N203" s="13" t="n"/>
      <c r="O203" s="13" t="n"/>
      <c r="P203" s="13" t="n"/>
      <c r="Q203" s="13" t="n"/>
      <c r="R203" s="13" t="n"/>
    </row>
    <row r="204">
      <c r="A204" s="8" t="n">
        <v>200</v>
      </c>
      <c r="B204" s="8" t="inlineStr">
        <is>
          <t>PK-200</t>
        </is>
      </c>
      <c r="C204" s="9" t="inlineStr">
        <is>
          <t>Cộng Cà Phê</t>
        </is>
      </c>
      <c r="D204" s="8" t="inlineStr">
        <is>
          <t>Quán cà phê</t>
        </is>
      </c>
      <c r="E204" s="9" t="inlineStr"/>
      <c r="F204" s="9" t="inlineStr">
        <is>
          <t>(chưa rõ đường)</t>
        </is>
      </c>
      <c r="G204" s="8" t="inlineStr">
        <is>
          <t>Phường Diên Hồng</t>
        </is>
      </c>
      <c r="H204" s="8" t="inlineStr"/>
      <c r="I204" s="10" t="inlineStr">
        <is>
          <t>Địa chỉ chưa có số nhà</t>
        </is>
      </c>
      <c r="J204" s="9" t="inlineStr">
        <is>
          <t>OpenStreetMap</t>
        </is>
      </c>
      <c r="K204" s="11" t="inlineStr">
        <is>
          <t>Bản đồ</t>
        </is>
      </c>
      <c r="L204" s="12" t="n"/>
      <c r="M204" s="13" t="n"/>
      <c r="N204" s="13" t="n"/>
      <c r="O204" s="13" t="n"/>
      <c r="P204" s="13" t="n"/>
      <c r="Q204" s="13" t="n"/>
      <c r="R204" s="13" t="n"/>
    </row>
    <row r="205">
      <c r="A205" s="8" t="n">
        <v>201</v>
      </c>
      <c r="B205" s="8" t="inlineStr">
        <is>
          <t>PK-201</t>
        </is>
      </c>
      <c r="C205" s="9" t="inlineStr">
        <is>
          <t>Cộng Cà Phê</t>
        </is>
      </c>
      <c r="D205" s="8" t="inlineStr">
        <is>
          <t>Quán cà phê</t>
        </is>
      </c>
      <c r="E205" s="9" t="inlineStr"/>
      <c r="F205" s="9" t="inlineStr">
        <is>
          <t>(chưa rõ đường)</t>
        </is>
      </c>
      <c r="G205" s="8" t="inlineStr">
        <is>
          <t>Phường Diên Hồng</t>
        </is>
      </c>
      <c r="H205" s="8" t="inlineStr"/>
      <c r="I205" s="10" t="inlineStr">
        <is>
          <t>Địa chỉ chưa có số nhà</t>
        </is>
      </c>
      <c r="J205" s="9" t="inlineStr">
        <is>
          <t>OpenStreetMap</t>
        </is>
      </c>
      <c r="K205" s="11" t="inlineStr">
        <is>
          <t>Bản đồ</t>
        </is>
      </c>
      <c r="L205" s="12" t="n"/>
      <c r="M205" s="13" t="n"/>
      <c r="N205" s="13" t="n"/>
      <c r="O205" s="13" t="n"/>
      <c r="P205" s="13" t="n"/>
      <c r="Q205" s="13" t="n"/>
      <c r="R205" s="13" t="n"/>
    </row>
    <row r="206">
      <c r="A206" s="8" t="n">
        <v>202</v>
      </c>
      <c r="B206" s="8" t="inlineStr">
        <is>
          <t>PK-202</t>
        </is>
      </c>
      <c r="C206" s="9" t="inlineStr">
        <is>
          <t>Diễm Xưa Cafe</t>
        </is>
      </c>
      <c r="D206" s="8" t="inlineStr">
        <is>
          <t>Quán cà phê</t>
        </is>
      </c>
      <c r="E206" s="9" t="inlineStr"/>
      <c r="F206" s="9" t="inlineStr">
        <is>
          <t>(chưa rõ đường)</t>
        </is>
      </c>
      <c r="G206" s="8" t="inlineStr">
        <is>
          <t>Phường Diên Hồng</t>
        </is>
      </c>
      <c r="H206" s="8" t="inlineStr"/>
      <c r="I206" s="10" t="inlineStr">
        <is>
          <t>Địa chỉ chưa có số nhà</t>
        </is>
      </c>
      <c r="J206" s="9" t="inlineStr">
        <is>
          <t>OpenStreetMap</t>
        </is>
      </c>
      <c r="K206" s="11" t="inlineStr">
        <is>
          <t>Bản đồ</t>
        </is>
      </c>
      <c r="L206" s="12" t="n"/>
      <c r="M206" s="13" t="n"/>
      <c r="N206" s="13" t="n"/>
      <c r="O206" s="13" t="n"/>
      <c r="P206" s="13" t="n"/>
      <c r="Q206" s="13" t="n"/>
      <c r="R206" s="13" t="n"/>
    </row>
    <row r="207">
      <c r="A207" s="8" t="n">
        <v>203</v>
      </c>
      <c r="B207" s="8" t="inlineStr">
        <is>
          <t>PK-203</t>
        </is>
      </c>
      <c r="C207" s="9" t="inlineStr">
        <is>
          <t>Ding Tea</t>
        </is>
      </c>
      <c r="D207" s="8" t="inlineStr">
        <is>
          <t>Quán cà phê</t>
        </is>
      </c>
      <c r="E207" s="9" t="inlineStr"/>
      <c r="F207" s="9" t="inlineStr">
        <is>
          <t>(chưa rõ đường)</t>
        </is>
      </c>
      <c r="G207" s="8" t="inlineStr">
        <is>
          <t>Phường Diên Hồng</t>
        </is>
      </c>
      <c r="H207" s="8" t="inlineStr"/>
      <c r="I207" s="10" t="inlineStr">
        <is>
          <t>Địa chỉ chưa có số nhà</t>
        </is>
      </c>
      <c r="J207" s="9" t="inlineStr">
        <is>
          <t>OpenStreetMap</t>
        </is>
      </c>
      <c r="K207" s="11" t="inlineStr">
        <is>
          <t>Bản đồ</t>
        </is>
      </c>
      <c r="L207" s="12" t="n"/>
      <c r="M207" s="13" t="n"/>
      <c r="N207" s="13" t="n"/>
      <c r="O207" s="13" t="n"/>
      <c r="P207" s="13" t="n"/>
      <c r="Q207" s="13" t="n"/>
      <c r="R207" s="13" t="n"/>
    </row>
    <row r="208">
      <c r="A208" s="8" t="n">
        <v>204</v>
      </c>
      <c r="B208" s="8" t="inlineStr">
        <is>
          <t>PK-204</t>
        </is>
      </c>
      <c r="C208" s="9" t="inlineStr">
        <is>
          <t>Fast Coffee</t>
        </is>
      </c>
      <c r="D208" s="8" t="inlineStr">
        <is>
          <t>Quán cà phê</t>
        </is>
      </c>
      <c r="E208" s="9" t="inlineStr"/>
      <c r="F208" s="9" t="inlineStr">
        <is>
          <t>(chưa rõ đường)</t>
        </is>
      </c>
      <c r="G208" s="8" t="inlineStr">
        <is>
          <t>Phường Diên Hồng</t>
        </is>
      </c>
      <c r="H208" s="8" t="inlineStr"/>
      <c r="I208" s="10" t="inlineStr">
        <is>
          <t>Địa chỉ chưa có số nhà</t>
        </is>
      </c>
      <c r="J208" s="9" t="inlineStr">
        <is>
          <t>OpenStreetMap</t>
        </is>
      </c>
      <c r="K208" s="11" t="inlineStr">
        <is>
          <t>Bản đồ</t>
        </is>
      </c>
      <c r="L208" s="12" t="n"/>
      <c r="M208" s="13" t="n"/>
      <c r="N208" s="13" t="n"/>
      <c r="O208" s="13" t="n"/>
      <c r="P208" s="13" t="n"/>
      <c r="Q208" s="13" t="n"/>
      <c r="R208" s="13" t="n"/>
    </row>
    <row r="209">
      <c r="A209" s="8" t="n">
        <v>205</v>
      </c>
      <c r="B209" s="8" t="inlineStr">
        <is>
          <t>PK-205</t>
        </is>
      </c>
      <c r="C209" s="9" t="inlineStr">
        <is>
          <t>Garden Cafe</t>
        </is>
      </c>
      <c r="D209" s="8" t="inlineStr">
        <is>
          <t>Quán cà phê</t>
        </is>
      </c>
      <c r="E209" s="9" t="inlineStr"/>
      <c r="F209" s="9" t="inlineStr">
        <is>
          <t>(chưa rõ đường)</t>
        </is>
      </c>
      <c r="G209" s="8" t="inlineStr">
        <is>
          <t>Phường Diên Hồng</t>
        </is>
      </c>
      <c r="H209" s="8" t="inlineStr"/>
      <c r="I209" s="10" t="inlineStr">
        <is>
          <t>Địa chỉ chưa có số nhà; Trùng vị trí với: Quán ăn Pháp Paris</t>
        </is>
      </c>
      <c r="J209" s="9" t="inlineStr">
        <is>
          <t>OpenStreetMap</t>
        </is>
      </c>
      <c r="K209" s="11" t="inlineStr">
        <is>
          <t>Bản đồ</t>
        </is>
      </c>
      <c r="L209" s="12" t="n"/>
      <c r="M209" s="13" t="n"/>
      <c r="N209" s="13" t="n"/>
      <c r="O209" s="13" t="n"/>
      <c r="P209" s="13" t="n"/>
      <c r="Q209" s="13" t="n"/>
      <c r="R209" s="13" t="n"/>
    </row>
    <row r="210">
      <c r="A210" s="8" t="n">
        <v>206</v>
      </c>
      <c r="B210" s="8" t="inlineStr">
        <is>
          <t>PK-206</t>
        </is>
      </c>
      <c r="C210" s="9" t="inlineStr">
        <is>
          <t>Gcafe GiaLai Office</t>
        </is>
      </c>
      <c r="D210" s="8" t="inlineStr">
        <is>
          <t>Quán cà phê</t>
        </is>
      </c>
      <c r="E210" s="9" t="inlineStr"/>
      <c r="F210" s="9" t="inlineStr">
        <is>
          <t>(chưa rõ đường)</t>
        </is>
      </c>
      <c r="G210" s="8" t="inlineStr">
        <is>
          <t>Phường Diên Hồng</t>
        </is>
      </c>
      <c r="H210" s="8" t="inlineStr"/>
      <c r="I210" s="10" t="inlineStr">
        <is>
          <t>Địa chỉ chưa có số nhà</t>
        </is>
      </c>
      <c r="J210" s="9" t="inlineStr">
        <is>
          <t>OpenStreetMap</t>
        </is>
      </c>
      <c r="K210" s="11" t="inlineStr">
        <is>
          <t>Bản đồ</t>
        </is>
      </c>
      <c r="L210" s="12" t="n"/>
      <c r="M210" s="13" t="n"/>
      <c r="N210" s="13" t="n"/>
      <c r="O210" s="13" t="n"/>
      <c r="P210" s="13" t="n"/>
      <c r="Q210" s="13" t="n"/>
      <c r="R210" s="13" t="n"/>
    </row>
    <row r="211">
      <c r="A211" s="8" t="n">
        <v>207</v>
      </c>
      <c r="B211" s="8" t="inlineStr">
        <is>
          <t>PK-207</t>
        </is>
      </c>
      <c r="C211" s="9" t="inlineStr">
        <is>
          <t>LẨU NƯỚNG 112 - Hot Pot &amp; BBQ</t>
        </is>
      </c>
      <c r="D211" s="8" t="inlineStr">
        <is>
          <t>Nhà hàng</t>
        </is>
      </c>
      <c r="E211" s="9" t="inlineStr"/>
      <c r="F211" s="9" t="inlineStr">
        <is>
          <t>(chưa rõ đường)</t>
        </is>
      </c>
      <c r="G211" s="8" t="inlineStr">
        <is>
          <t>Phường Diên Hồng</t>
        </is>
      </c>
      <c r="H211" s="8" t="inlineStr"/>
      <c r="I211" s="10" t="inlineStr">
        <is>
          <t>Địa chỉ chưa có số nhà</t>
        </is>
      </c>
      <c r="J211" s="9" t="inlineStr">
        <is>
          <t>OpenStreetMap</t>
        </is>
      </c>
      <c r="K211" s="11" t="inlineStr">
        <is>
          <t>Bản đồ</t>
        </is>
      </c>
      <c r="L211" s="12" t="n"/>
      <c r="M211" s="13" t="n"/>
      <c r="N211" s="13" t="n"/>
      <c r="O211" s="13" t="n"/>
      <c r="P211" s="13" t="n"/>
      <c r="Q211" s="13" t="n"/>
      <c r="R211" s="13" t="n"/>
    </row>
    <row r="212">
      <c r="A212" s="8" t="n">
        <v>208</v>
      </c>
      <c r="B212" s="8" t="inlineStr">
        <is>
          <t>PK-208</t>
        </is>
      </c>
      <c r="C212" s="9" t="inlineStr">
        <is>
          <t>Nâu cha</t>
        </is>
      </c>
      <c r="D212" s="8" t="inlineStr">
        <is>
          <t>Nhà hàng</t>
        </is>
      </c>
      <c r="E212" s="9" t="inlineStr"/>
      <c r="F212" s="9" t="inlineStr">
        <is>
          <t>(chưa rõ đường)</t>
        </is>
      </c>
      <c r="G212" s="8" t="inlineStr">
        <is>
          <t>Phường Diên Hồng</t>
        </is>
      </c>
      <c r="H212" s="8" t="inlineStr"/>
      <c r="I212" s="10" t="inlineStr">
        <is>
          <t>Địa chỉ chưa có số nhà; Trùng vị trí với: Quán Ăn 77</t>
        </is>
      </c>
      <c r="J212" s="9" t="inlineStr">
        <is>
          <t>OpenStreetMap</t>
        </is>
      </c>
      <c r="K212" s="11" t="inlineStr">
        <is>
          <t>Bản đồ</t>
        </is>
      </c>
      <c r="L212" s="12" t="n"/>
      <c r="M212" s="13" t="n"/>
      <c r="N212" s="13" t="n"/>
      <c r="O212" s="13" t="n"/>
      <c r="P212" s="13" t="n"/>
      <c r="Q212" s="13" t="n"/>
      <c r="R212" s="13" t="n"/>
    </row>
    <row r="213">
      <c r="A213" s="8" t="n">
        <v>209</v>
      </c>
      <c r="B213" s="8" t="inlineStr">
        <is>
          <t>PK-209</t>
        </is>
      </c>
      <c r="C213" s="9" t="inlineStr">
        <is>
          <t>New Cafe - Giải Khát</t>
        </is>
      </c>
      <c r="D213" s="8" t="inlineStr">
        <is>
          <t>Quán cà phê</t>
        </is>
      </c>
      <c r="E213" s="9" t="inlineStr"/>
      <c r="F213" s="9" t="inlineStr">
        <is>
          <t>(chưa rõ đường)</t>
        </is>
      </c>
      <c r="G213" s="8" t="inlineStr">
        <is>
          <t>Phường Diên Hồng</t>
        </is>
      </c>
      <c r="H213" s="8" t="inlineStr"/>
      <c r="I213" s="10" t="inlineStr">
        <is>
          <t>Địa chỉ chưa có số nhà</t>
        </is>
      </c>
      <c r="J213" s="9" t="inlineStr">
        <is>
          <t>OpenStreetMap</t>
        </is>
      </c>
      <c r="K213" s="11" t="inlineStr">
        <is>
          <t>Bản đồ</t>
        </is>
      </c>
      <c r="L213" s="12" t="n"/>
      <c r="M213" s="13" t="n"/>
      <c r="N213" s="13" t="n"/>
      <c r="O213" s="13" t="n"/>
      <c r="P213" s="13" t="n"/>
      <c r="Q213" s="13" t="n"/>
      <c r="R213" s="13" t="n"/>
    </row>
    <row r="214">
      <c r="A214" s="8" t="n">
        <v>210</v>
      </c>
      <c r="B214" s="8" t="inlineStr">
        <is>
          <t>PK-210</t>
        </is>
      </c>
      <c r="C214" s="9" t="inlineStr">
        <is>
          <t>Ngoc Lam</t>
        </is>
      </c>
      <c r="D214" s="8" t="inlineStr">
        <is>
          <t>Nhà hàng</t>
        </is>
      </c>
      <c r="E214" s="9" t="inlineStr"/>
      <c r="F214" s="9" t="inlineStr">
        <is>
          <t>(chưa rõ đường)</t>
        </is>
      </c>
      <c r="G214" s="8" t="inlineStr">
        <is>
          <t>Phường Diên Hồng</t>
        </is>
      </c>
      <c r="H214" s="8" t="inlineStr"/>
      <c r="I214" s="10" t="inlineStr">
        <is>
          <t>Địa chỉ chưa có số nhà; Trùng vị trí với: Cơm Niêu Ngọc Lâm</t>
        </is>
      </c>
      <c r="J214" s="9" t="inlineStr">
        <is>
          <t>OpenStreetMap</t>
        </is>
      </c>
      <c r="K214" s="11" t="inlineStr">
        <is>
          <t>Bản đồ</t>
        </is>
      </c>
      <c r="L214" s="12" t="n"/>
      <c r="M214" s="13" t="n"/>
      <c r="N214" s="13" t="n"/>
      <c r="O214" s="13" t="n"/>
      <c r="P214" s="13" t="n"/>
      <c r="Q214" s="13" t="n"/>
      <c r="R214" s="13" t="n"/>
    </row>
    <row r="215">
      <c r="A215" s="8" t="n">
        <v>211</v>
      </c>
      <c r="B215" s="8" t="inlineStr">
        <is>
          <t>PK-211</t>
        </is>
      </c>
      <c r="C215" s="9" t="inlineStr">
        <is>
          <t>Nhà hàng Bảy Nhuần</t>
        </is>
      </c>
      <c r="D215" s="8" t="inlineStr">
        <is>
          <t>Nhà hàng</t>
        </is>
      </c>
      <c r="E215" s="9" t="inlineStr"/>
      <c r="F215" s="9" t="inlineStr">
        <is>
          <t>(chưa rõ đường)</t>
        </is>
      </c>
      <c r="G215" s="8" t="inlineStr">
        <is>
          <t>Phường Diên Hồng</t>
        </is>
      </c>
      <c r="H215" s="8" t="inlineStr"/>
      <c r="I215" s="10" t="inlineStr">
        <is>
          <t>Địa chỉ chưa có số nhà</t>
        </is>
      </c>
      <c r="J215" s="9" t="inlineStr">
        <is>
          <t>OpenStreetMap</t>
        </is>
      </c>
      <c r="K215" s="11" t="inlineStr">
        <is>
          <t>Bản đồ</t>
        </is>
      </c>
      <c r="L215" s="12" t="n"/>
      <c r="M215" s="13" t="n"/>
      <c r="N215" s="13" t="n"/>
      <c r="O215" s="13" t="n"/>
      <c r="P215" s="13" t="n"/>
      <c r="Q215" s="13" t="n"/>
      <c r="R215" s="13" t="n"/>
    </row>
    <row r="216">
      <c r="A216" s="8" t="n">
        <v>212</v>
      </c>
      <c r="B216" s="8" t="inlineStr">
        <is>
          <t>PK-212</t>
        </is>
      </c>
      <c r="C216" s="9" t="inlineStr">
        <is>
          <t>Nhà Hàng Candle</t>
        </is>
      </c>
      <c r="D216" s="8" t="inlineStr">
        <is>
          <t>Quán cà phê</t>
        </is>
      </c>
      <c r="E216" s="9" t="inlineStr"/>
      <c r="F216" s="9" t="inlineStr">
        <is>
          <t>(chưa rõ đường)</t>
        </is>
      </c>
      <c r="G216" s="8" t="inlineStr">
        <is>
          <t>Phường Diên Hồng</t>
        </is>
      </c>
      <c r="H216" s="8" t="inlineStr"/>
      <c r="I216" s="10" t="inlineStr">
        <is>
          <t>Địa chỉ chưa có số nhà</t>
        </is>
      </c>
      <c r="J216" s="9" t="inlineStr">
        <is>
          <t>OpenStreetMap</t>
        </is>
      </c>
      <c r="K216" s="11" t="inlineStr">
        <is>
          <t>Bản đồ</t>
        </is>
      </c>
      <c r="L216" s="12" t="n"/>
      <c r="M216" s="13" t="n"/>
      <c r="N216" s="13" t="n"/>
      <c r="O216" s="13" t="n"/>
      <c r="P216" s="13" t="n"/>
      <c r="Q216" s="13" t="n"/>
      <c r="R216" s="13" t="n"/>
    </row>
    <row r="217">
      <c r="A217" s="8" t="n">
        <v>213</v>
      </c>
      <c r="B217" s="8" t="inlineStr">
        <is>
          <t>PK-213</t>
        </is>
      </c>
      <c r="C217" s="9" t="inlineStr">
        <is>
          <t>Nhà Hàng Đông Kinh</t>
        </is>
      </c>
      <c r="D217" s="8" t="inlineStr">
        <is>
          <t>Nhà hàng</t>
        </is>
      </c>
      <c r="E217" s="9" t="inlineStr"/>
      <c r="F217" s="9" t="inlineStr">
        <is>
          <t>(chưa rõ đường)</t>
        </is>
      </c>
      <c r="G217" s="8" t="inlineStr">
        <is>
          <t>Phường Diên Hồng</t>
        </is>
      </c>
      <c r="H217" s="8" t="inlineStr"/>
      <c r="I217" s="10" t="inlineStr">
        <is>
          <t>Địa chỉ chưa có số nhà</t>
        </is>
      </c>
      <c r="J217" s="9" t="inlineStr">
        <is>
          <t>OpenStreetMap</t>
        </is>
      </c>
      <c r="K217" s="11" t="inlineStr">
        <is>
          <t>Bản đồ</t>
        </is>
      </c>
      <c r="L217" s="12" t="n"/>
      <c r="M217" s="13" t="n"/>
      <c r="N217" s="13" t="n"/>
      <c r="O217" s="13" t="n"/>
      <c r="P217" s="13" t="n"/>
      <c r="Q217" s="13" t="n"/>
      <c r="R217" s="13" t="n"/>
    </row>
    <row r="218">
      <c r="A218" s="8" t="n">
        <v>214</v>
      </c>
      <c r="B218" s="8" t="inlineStr">
        <is>
          <t>PK-214</t>
        </is>
      </c>
      <c r="C218" s="9" t="inlineStr">
        <is>
          <t>Ơi Quán Siêu Ăn Vặt</t>
        </is>
      </c>
      <c r="D218" s="8" t="inlineStr">
        <is>
          <t>Nhà hàng</t>
        </is>
      </c>
      <c r="E218" s="9" t="inlineStr"/>
      <c r="F218" s="9" t="inlineStr">
        <is>
          <t>(chưa rõ đường)</t>
        </is>
      </c>
      <c r="G218" s="8" t="inlineStr">
        <is>
          <t>Phường Diên Hồng</t>
        </is>
      </c>
      <c r="H218" s="8" t="inlineStr"/>
      <c r="I218" s="10" t="inlineStr">
        <is>
          <t>Địa chỉ chưa có số nhà</t>
        </is>
      </c>
      <c r="J218" s="9" t="inlineStr">
        <is>
          <t>OpenStreetMap</t>
        </is>
      </c>
      <c r="K218" s="11" t="inlineStr">
        <is>
          <t>Bản đồ</t>
        </is>
      </c>
      <c r="L218" s="12" t="n"/>
      <c r="M218" s="13" t="n"/>
      <c r="N218" s="13" t="n"/>
      <c r="O218" s="13" t="n"/>
      <c r="P218" s="13" t="n"/>
      <c r="Q218" s="13" t="n"/>
      <c r="R218" s="13" t="n"/>
    </row>
    <row r="219">
      <c r="A219" s="8" t="n">
        <v>215</v>
      </c>
      <c r="B219" s="8" t="inlineStr">
        <is>
          <t>PK-215</t>
        </is>
      </c>
      <c r="C219" s="9" t="inlineStr">
        <is>
          <t>Phở Thành Phát</t>
        </is>
      </c>
      <c r="D219" s="8" t="inlineStr">
        <is>
          <t>Nhà hàng</t>
        </is>
      </c>
      <c r="E219" s="9" t="inlineStr"/>
      <c r="F219" s="9" t="inlineStr">
        <is>
          <t>(chưa rõ đường)</t>
        </is>
      </c>
      <c r="G219" s="8" t="inlineStr">
        <is>
          <t>Phường Diên Hồng</t>
        </is>
      </c>
      <c r="H219" s="8" t="inlineStr"/>
      <c r="I219" s="10" t="inlineStr">
        <is>
          <t>Địa chỉ chưa có số nhà</t>
        </is>
      </c>
      <c r="J219" s="9" t="inlineStr">
        <is>
          <t>OpenStreetMap</t>
        </is>
      </c>
      <c r="K219" s="11" t="inlineStr">
        <is>
          <t>Bản đồ</t>
        </is>
      </c>
      <c r="L219" s="12" t="n"/>
      <c r="M219" s="13" t="n"/>
      <c r="N219" s="13" t="n"/>
      <c r="O219" s="13" t="n"/>
      <c r="P219" s="13" t="n"/>
      <c r="Q219" s="13" t="n"/>
      <c r="R219" s="13" t="n"/>
    </row>
    <row r="220">
      <c r="A220" s="8" t="n">
        <v>216</v>
      </c>
      <c r="B220" s="8" t="inlineStr">
        <is>
          <t>PK-216</t>
        </is>
      </c>
      <c r="C220" s="9" t="inlineStr">
        <is>
          <t>quán 47</t>
        </is>
      </c>
      <c r="D220" s="8" t="inlineStr">
        <is>
          <t>Nhà hàng</t>
        </is>
      </c>
      <c r="E220" s="9" t="inlineStr"/>
      <c r="F220" s="9" t="inlineStr">
        <is>
          <t>(chưa rõ đường)</t>
        </is>
      </c>
      <c r="G220" s="8" t="inlineStr">
        <is>
          <t>Phường Diên Hồng</t>
        </is>
      </c>
      <c r="H220" s="8" t="inlineStr"/>
      <c r="I220" s="10" t="inlineStr">
        <is>
          <t>Địa chỉ chưa có số nhà</t>
        </is>
      </c>
      <c r="J220" s="9" t="inlineStr">
        <is>
          <t>OpenStreetMap</t>
        </is>
      </c>
      <c r="K220" s="11" t="inlineStr">
        <is>
          <t>Bản đồ</t>
        </is>
      </c>
      <c r="L220" s="12" t="n"/>
      <c r="M220" s="13" t="n"/>
      <c r="N220" s="13" t="n"/>
      <c r="O220" s="13" t="n"/>
      <c r="P220" s="13" t="n"/>
      <c r="Q220" s="13" t="n"/>
      <c r="R220" s="13" t="n"/>
    </row>
    <row r="221">
      <c r="A221" s="8" t="n">
        <v>217</v>
      </c>
      <c r="B221" s="8" t="inlineStr">
        <is>
          <t>PK-217</t>
        </is>
      </c>
      <c r="C221" s="9" t="inlineStr">
        <is>
          <t>QUÁN CÀ PHÊ 151</t>
        </is>
      </c>
      <c r="D221" s="8" t="inlineStr">
        <is>
          <t>Quán cà phê</t>
        </is>
      </c>
      <c r="E221" s="9" t="inlineStr"/>
      <c r="F221" s="9" t="inlineStr">
        <is>
          <t>(chưa rõ đường)</t>
        </is>
      </c>
      <c r="G221" s="8" t="inlineStr">
        <is>
          <t>Phường Diên Hồng</t>
        </is>
      </c>
      <c r="H221" s="8" t="inlineStr"/>
      <c r="I221" s="10" t="inlineStr">
        <is>
          <t>Địa chỉ chưa có số nhà</t>
        </is>
      </c>
      <c r="J221" s="9" t="inlineStr">
        <is>
          <t>OpenStreetMap</t>
        </is>
      </c>
      <c r="K221" s="11" t="inlineStr">
        <is>
          <t>Bản đồ</t>
        </is>
      </c>
      <c r="L221" s="12" t="n"/>
      <c r="M221" s="13" t="n"/>
      <c r="N221" s="13" t="n"/>
      <c r="O221" s="13" t="n"/>
      <c r="P221" s="13" t="n"/>
      <c r="Q221" s="13" t="n"/>
      <c r="R221" s="13" t="n"/>
    </row>
    <row r="222">
      <c r="A222" s="8" t="n">
        <v>218</v>
      </c>
      <c r="B222" s="8" t="inlineStr">
        <is>
          <t>PK-218</t>
        </is>
      </c>
      <c r="C222" s="9" t="inlineStr">
        <is>
          <t>Quán Cafe Giải Khát 167</t>
        </is>
      </c>
      <c r="D222" s="8" t="inlineStr">
        <is>
          <t>Quán cà phê</t>
        </is>
      </c>
      <c r="E222" s="9" t="inlineStr"/>
      <c r="F222" s="9" t="inlineStr">
        <is>
          <t>(chưa rõ đường)</t>
        </is>
      </c>
      <c r="G222" s="8" t="inlineStr">
        <is>
          <t>Phường Diên Hồng</t>
        </is>
      </c>
      <c r="H222" s="8" t="inlineStr"/>
      <c r="I222" s="10" t="inlineStr">
        <is>
          <t>Địa chỉ chưa có số nhà</t>
        </is>
      </c>
      <c r="J222" s="9" t="inlineStr">
        <is>
          <t>OpenStreetMap</t>
        </is>
      </c>
      <c r="K222" s="11" t="inlineStr">
        <is>
          <t>Bản đồ</t>
        </is>
      </c>
      <c r="L222" s="12" t="n"/>
      <c r="M222" s="13" t="n"/>
      <c r="N222" s="13" t="n"/>
      <c r="O222" s="13" t="n"/>
      <c r="P222" s="13" t="n"/>
      <c r="Q222" s="13" t="n"/>
      <c r="R222" s="13" t="n"/>
    </row>
    <row r="223">
      <c r="A223" s="8" t="n">
        <v>219</v>
      </c>
      <c r="B223" s="8" t="inlineStr">
        <is>
          <t>PK-219</t>
        </is>
      </c>
      <c r="C223" s="9" t="inlineStr">
        <is>
          <t>Quán Cafe K Cộng</t>
        </is>
      </c>
      <c r="D223" s="8" t="inlineStr">
        <is>
          <t>Quán cà phê</t>
        </is>
      </c>
      <c r="E223" s="9" t="inlineStr"/>
      <c r="F223" s="9" t="inlineStr">
        <is>
          <t>(chưa rõ đường)</t>
        </is>
      </c>
      <c r="G223" s="8" t="inlineStr">
        <is>
          <t>Phường Diên Hồng</t>
        </is>
      </c>
      <c r="H223" s="8" t="inlineStr"/>
      <c r="I223" s="10" t="inlineStr">
        <is>
          <t>Địa chỉ chưa có số nhà</t>
        </is>
      </c>
      <c r="J223" s="9" t="inlineStr">
        <is>
          <t>OpenStreetMap</t>
        </is>
      </c>
      <c r="K223" s="11" t="inlineStr">
        <is>
          <t>Bản đồ</t>
        </is>
      </c>
      <c r="L223" s="12" t="n"/>
      <c r="M223" s="13" t="n"/>
      <c r="N223" s="13" t="n"/>
      <c r="O223" s="13" t="n"/>
      <c r="P223" s="13" t="n"/>
      <c r="Q223" s="13" t="n"/>
      <c r="R223" s="13" t="n"/>
    </row>
    <row r="224">
      <c r="A224" s="8" t="n">
        <v>220</v>
      </c>
      <c r="B224" s="8" t="inlineStr">
        <is>
          <t>PK-220</t>
        </is>
      </c>
      <c r="C224" s="9" t="inlineStr">
        <is>
          <t>quán dốc - bún đậu mẹt hà nội</t>
        </is>
      </c>
      <c r="D224" s="8" t="inlineStr">
        <is>
          <t>Nhà hàng</t>
        </is>
      </c>
      <c r="E224" s="9" t="inlineStr"/>
      <c r="F224" s="9" t="inlineStr">
        <is>
          <t>(chưa rõ đường)</t>
        </is>
      </c>
      <c r="G224" s="8" t="inlineStr">
        <is>
          <t>Phường Diên Hồng</t>
        </is>
      </c>
      <c r="H224" s="8" t="inlineStr"/>
      <c r="I224" s="10" t="inlineStr">
        <is>
          <t>Địa chỉ chưa có số nhà</t>
        </is>
      </c>
      <c r="J224" s="9" t="inlineStr">
        <is>
          <t>OpenStreetMap</t>
        </is>
      </c>
      <c r="K224" s="11" t="inlineStr">
        <is>
          <t>Bản đồ</t>
        </is>
      </c>
      <c r="L224" s="12" t="n"/>
      <c r="M224" s="13" t="n"/>
      <c r="N224" s="13" t="n"/>
      <c r="O224" s="13" t="n"/>
      <c r="P224" s="13" t="n"/>
      <c r="Q224" s="13" t="n"/>
      <c r="R224" s="13" t="n"/>
    </row>
    <row r="225">
      <c r="A225" s="8" t="n">
        <v>221</v>
      </c>
      <c r="B225" s="8" t="inlineStr">
        <is>
          <t>PK-221</t>
        </is>
      </c>
      <c r="C225" s="9" t="inlineStr">
        <is>
          <t>Quán Nướng Sinh Viên</t>
        </is>
      </c>
      <c r="D225" s="8" t="inlineStr">
        <is>
          <t>Nhà hàng</t>
        </is>
      </c>
      <c r="E225" s="9" t="inlineStr"/>
      <c r="F225" s="9" t="inlineStr">
        <is>
          <t>(chưa rõ đường)</t>
        </is>
      </c>
      <c r="G225" s="8" t="inlineStr">
        <is>
          <t>Phường Diên Hồng</t>
        </is>
      </c>
      <c r="H225" s="8" t="inlineStr"/>
      <c r="I225" s="10" t="inlineStr">
        <is>
          <t>Địa chỉ chưa có số nhà</t>
        </is>
      </c>
      <c r="J225" s="9" t="inlineStr">
        <is>
          <t>OpenStreetMap</t>
        </is>
      </c>
      <c r="K225" s="11" t="inlineStr">
        <is>
          <t>Bản đồ</t>
        </is>
      </c>
      <c r="L225" s="12" t="n"/>
      <c r="M225" s="13" t="n"/>
      <c r="N225" s="13" t="n"/>
      <c r="O225" s="13" t="n"/>
      <c r="P225" s="13" t="n"/>
      <c r="Q225" s="13" t="n"/>
      <c r="R225" s="13" t="n"/>
    </row>
    <row r="226">
      <c r="A226" s="8" t="n">
        <v>222</v>
      </c>
      <c r="B226" s="8" t="inlineStr">
        <is>
          <t>PK-222</t>
        </is>
      </c>
      <c r="C226" s="9" t="inlineStr">
        <is>
          <t>Quán SƠN, 196 Tăng Bạt Hổ</t>
        </is>
      </c>
      <c r="D226" s="8" t="inlineStr">
        <is>
          <t>Nhà hàng</t>
        </is>
      </c>
      <c r="E226" s="9" t="inlineStr"/>
      <c r="F226" s="9" t="inlineStr">
        <is>
          <t>(chưa rõ đường)</t>
        </is>
      </c>
      <c r="G226" s="8" t="inlineStr">
        <is>
          <t>Phường Diên Hồng</t>
        </is>
      </c>
      <c r="H226" s="8" t="inlineStr"/>
      <c r="I226" s="10" t="inlineStr">
        <is>
          <t>Địa chỉ chưa có số nhà</t>
        </is>
      </c>
      <c r="J226" s="9" t="inlineStr">
        <is>
          <t>OpenStreetMap</t>
        </is>
      </c>
      <c r="K226" s="11" t="inlineStr">
        <is>
          <t>Bản đồ</t>
        </is>
      </c>
      <c r="L226" s="12" t="n"/>
      <c r="M226" s="13" t="n"/>
      <c r="N226" s="13" t="n"/>
      <c r="O226" s="13" t="n"/>
      <c r="P226" s="13" t="n"/>
      <c r="Q226" s="13" t="n"/>
      <c r="R226" s="13" t="n"/>
    </row>
    <row r="227">
      <c r="A227" s="8" t="n">
        <v>223</v>
      </c>
      <c r="B227" s="8" t="inlineStr">
        <is>
          <t>PK-223</t>
        </is>
      </c>
      <c r="C227" s="9" t="inlineStr">
        <is>
          <t>Quán Trà sữa Cosmos</t>
        </is>
      </c>
      <c r="D227" s="8" t="inlineStr">
        <is>
          <t>Quán cà phê</t>
        </is>
      </c>
      <c r="E227" s="9" t="inlineStr"/>
      <c r="F227" s="9" t="inlineStr">
        <is>
          <t>(chưa rõ đường)</t>
        </is>
      </c>
      <c r="G227" s="8" t="inlineStr">
        <is>
          <t>Phường Diên Hồng</t>
        </is>
      </c>
      <c r="H227" s="8" t="inlineStr"/>
      <c r="I227" s="10" t="inlineStr">
        <is>
          <t>Địa chỉ chưa có số nhà</t>
        </is>
      </c>
      <c r="J227" s="9" t="inlineStr">
        <is>
          <t>OpenStreetMap</t>
        </is>
      </c>
      <c r="K227" s="11" t="inlineStr">
        <is>
          <t>Bản đồ</t>
        </is>
      </c>
      <c r="L227" s="12" t="n"/>
      <c r="M227" s="13" t="n"/>
      <c r="N227" s="13" t="n"/>
      <c r="O227" s="13" t="n"/>
      <c r="P227" s="13" t="n"/>
      <c r="Q227" s="13" t="n"/>
      <c r="R227" s="13" t="n"/>
    </row>
    <row r="228">
      <c r="A228" s="8" t="n">
        <v>224</v>
      </c>
      <c r="B228" s="8" t="inlineStr">
        <is>
          <t>PK-224</t>
        </is>
      </c>
      <c r="C228" s="9" t="inlineStr">
        <is>
          <t>Restaurant_NhaHangGalaxy Stories 5</t>
        </is>
      </c>
      <c r="D228" s="8" t="inlineStr">
        <is>
          <t>Nhà hàng</t>
        </is>
      </c>
      <c r="E228" s="9" t="inlineStr"/>
      <c r="F228" s="9" t="inlineStr">
        <is>
          <t>(chưa rõ đường)</t>
        </is>
      </c>
      <c r="G228" s="8" t="inlineStr">
        <is>
          <t>Phường Diên Hồng</t>
        </is>
      </c>
      <c r="H228" s="8" t="inlineStr"/>
      <c r="I228" s="10" t="inlineStr">
        <is>
          <t>Địa chỉ chưa có số nhà</t>
        </is>
      </c>
      <c r="J228" s="9" t="inlineStr">
        <is>
          <t>OpenStreetMap</t>
        </is>
      </c>
      <c r="K228" s="11" t="inlineStr">
        <is>
          <t>Bản đồ</t>
        </is>
      </c>
      <c r="L228" s="12" t="n"/>
      <c r="M228" s="13" t="n"/>
      <c r="N228" s="13" t="n"/>
      <c r="O228" s="13" t="n"/>
      <c r="P228" s="13" t="n"/>
      <c r="Q228" s="13" t="n"/>
      <c r="R228" s="13" t="n"/>
    </row>
    <row r="229">
      <c r="A229" s="8" t="n">
        <v>225</v>
      </c>
      <c r="B229" s="8" t="inlineStr">
        <is>
          <t>PK-225</t>
        </is>
      </c>
      <c r="C229" s="9" t="inlineStr">
        <is>
          <t>Trà sữa &amp; ăn vặt KISS ME</t>
        </is>
      </c>
      <c r="D229" s="8" t="inlineStr">
        <is>
          <t>Quán cà phê</t>
        </is>
      </c>
      <c r="E229" s="9" t="inlineStr"/>
      <c r="F229" s="9" t="inlineStr">
        <is>
          <t>(chưa rõ đường)</t>
        </is>
      </c>
      <c r="G229" s="8" t="inlineStr">
        <is>
          <t>Phường Diên Hồng</t>
        </is>
      </c>
      <c r="H229" s="8" t="inlineStr"/>
      <c r="I229" s="10" t="inlineStr">
        <is>
          <t>Địa chỉ chưa có số nhà</t>
        </is>
      </c>
      <c r="J229" s="9" t="inlineStr">
        <is>
          <t>OpenStreetMap</t>
        </is>
      </c>
      <c r="K229" s="11" t="inlineStr">
        <is>
          <t>Bản đồ</t>
        </is>
      </c>
      <c r="L229" s="12" t="n"/>
      <c r="M229" s="13" t="n"/>
      <c r="N229" s="13" t="n"/>
      <c r="O229" s="13" t="n"/>
      <c r="P229" s="13" t="n"/>
      <c r="Q229" s="13" t="n"/>
      <c r="R229" s="13" t="n"/>
    </row>
    <row r="230">
      <c r="A230" s="8" t="n">
        <v>226</v>
      </c>
      <c r="B230" s="8" t="inlineStr">
        <is>
          <t>PK-226</t>
        </is>
      </c>
      <c r="C230" s="9" t="inlineStr">
        <is>
          <t>Trà sữa MEO</t>
        </is>
      </c>
      <c r="D230" s="8" t="inlineStr">
        <is>
          <t>Quán cà phê</t>
        </is>
      </c>
      <c r="E230" s="9" t="inlineStr"/>
      <c r="F230" s="9" t="inlineStr">
        <is>
          <t>(chưa rõ đường)</t>
        </is>
      </c>
      <c r="G230" s="8" t="inlineStr">
        <is>
          <t>Phường Diên Hồng</t>
        </is>
      </c>
      <c r="H230" s="8" t="inlineStr"/>
      <c r="I230" s="10" t="inlineStr">
        <is>
          <t>Địa chỉ chưa có số nhà</t>
        </is>
      </c>
      <c r="J230" s="9" t="inlineStr">
        <is>
          <t>OpenStreetMap</t>
        </is>
      </c>
      <c r="K230" s="11" t="inlineStr">
        <is>
          <t>Bản đồ</t>
        </is>
      </c>
      <c r="L230" s="12" t="n"/>
      <c r="M230" s="13" t="n"/>
      <c r="N230" s="13" t="n"/>
      <c r="O230" s="13" t="n"/>
      <c r="P230" s="13" t="n"/>
      <c r="Q230" s="13" t="n"/>
      <c r="R230" s="13" t="n"/>
    </row>
    <row r="231">
      <c r="A231" s="8" t="n">
        <v>227</v>
      </c>
      <c r="B231" s="8" t="inlineStr">
        <is>
          <t>PK-227</t>
        </is>
      </c>
      <c r="C231" s="9" t="inlineStr">
        <is>
          <t>Trà sữa túi lọc Cozy</t>
        </is>
      </c>
      <c r="D231" s="8" t="inlineStr">
        <is>
          <t>Quán cà phê</t>
        </is>
      </c>
      <c r="E231" s="9" t="inlineStr"/>
      <c r="F231" s="9" t="inlineStr">
        <is>
          <t>(chưa rõ đường)</t>
        </is>
      </c>
      <c r="G231" s="8" t="inlineStr">
        <is>
          <t>Phường Diên Hồng</t>
        </is>
      </c>
      <c r="H231" s="8" t="inlineStr"/>
      <c r="I231" s="10" t="inlineStr">
        <is>
          <t>Địa chỉ chưa có số nhà</t>
        </is>
      </c>
      <c r="J231" s="9" t="inlineStr">
        <is>
          <t>OpenStreetMap</t>
        </is>
      </c>
      <c r="K231" s="11" t="inlineStr">
        <is>
          <t>Bản đồ</t>
        </is>
      </c>
      <c r="L231" s="12" t="n"/>
      <c r="M231" s="13" t="n"/>
      <c r="N231" s="13" t="n"/>
      <c r="O231" s="13" t="n"/>
      <c r="P231" s="13" t="n"/>
      <c r="Q231" s="13" t="n"/>
      <c r="R231" s="13" t="n"/>
    </row>
    <row r="232">
      <c r="A232" s="8" t="n">
        <v>228</v>
      </c>
      <c r="B232" s="8" t="inlineStr">
        <is>
          <t>PK-228</t>
        </is>
      </c>
      <c r="C232" s="9" t="inlineStr">
        <is>
          <t>Tropic coffee roasters</t>
        </is>
      </c>
      <c r="D232" s="8" t="inlineStr">
        <is>
          <t>Quán cà phê</t>
        </is>
      </c>
      <c r="E232" s="9" t="inlineStr"/>
      <c r="F232" s="9" t="inlineStr">
        <is>
          <t>(chưa rõ đường)</t>
        </is>
      </c>
      <c r="G232" s="8" t="inlineStr">
        <is>
          <t>Phường Diên Hồng</t>
        </is>
      </c>
      <c r="H232" s="8" t="inlineStr"/>
      <c r="I232" s="10" t="inlineStr">
        <is>
          <t>Địa chỉ chưa có số nhà</t>
        </is>
      </c>
      <c r="J232" s="9" t="inlineStr">
        <is>
          <t>OpenStreetMap</t>
        </is>
      </c>
      <c r="K232" s="11" t="inlineStr">
        <is>
          <t>Bản đồ</t>
        </is>
      </c>
      <c r="L232" s="12" t="n"/>
      <c r="M232" s="13" t="n"/>
      <c r="N232" s="13" t="n"/>
      <c r="O232" s="13" t="n"/>
      <c r="P232" s="13" t="n"/>
      <c r="Q232" s="13" t="n"/>
      <c r="R232" s="13" t="n"/>
    </row>
    <row r="233">
      <c r="A233" s="8" t="n">
        <v>229</v>
      </c>
      <c r="B233" s="8" t="inlineStr">
        <is>
          <t>PK-229</t>
        </is>
      </c>
      <c r="C233" s="9" t="inlineStr">
        <is>
          <t>Trung Tâm Dạy Pha Chế Gia Lai</t>
        </is>
      </c>
      <c r="D233" s="8" t="inlineStr">
        <is>
          <t>Quán cà phê</t>
        </is>
      </c>
      <c r="E233" s="9" t="inlineStr"/>
      <c r="F233" s="9" t="inlineStr">
        <is>
          <t>(chưa rõ đường)</t>
        </is>
      </c>
      <c r="G233" s="8" t="inlineStr">
        <is>
          <t>Phường Diên Hồng</t>
        </is>
      </c>
      <c r="H233" s="8" t="inlineStr"/>
      <c r="I233" s="10" t="inlineStr">
        <is>
          <t>Địa chỉ chưa có số nhà</t>
        </is>
      </c>
      <c r="J233" s="9" t="inlineStr">
        <is>
          <t>OpenStreetMap</t>
        </is>
      </c>
      <c r="K233" s="11" t="inlineStr">
        <is>
          <t>Bản đồ</t>
        </is>
      </c>
      <c r="L233" s="12" t="n"/>
      <c r="M233" s="13" t="n"/>
      <c r="N233" s="13" t="n"/>
      <c r="O233" s="13" t="n"/>
      <c r="P233" s="13" t="n"/>
      <c r="Q233" s="13" t="n"/>
      <c r="R233" s="13" t="n"/>
    </row>
    <row r="234">
      <c r="A234" s="8" t="n">
        <v>230</v>
      </c>
      <c r="B234" s="8" t="inlineStr">
        <is>
          <t>PK-230</t>
        </is>
      </c>
      <c r="C234" s="9" t="inlineStr">
        <is>
          <t>U-Ories</t>
        </is>
      </c>
      <c r="D234" s="8" t="inlineStr">
        <is>
          <t>Quán cà phê</t>
        </is>
      </c>
      <c r="E234" s="9" t="inlineStr"/>
      <c r="F234" s="9" t="inlineStr">
        <is>
          <t>(chưa rõ đường)</t>
        </is>
      </c>
      <c r="G234" s="8" t="inlineStr">
        <is>
          <t>Phường Diên Hồng</t>
        </is>
      </c>
      <c r="H234" s="8" t="inlineStr"/>
      <c r="I234" s="10" t="inlineStr">
        <is>
          <t>Địa chỉ chưa có số nhà</t>
        </is>
      </c>
      <c r="J234" s="9" t="inlineStr">
        <is>
          <t>OpenStreetMap</t>
        </is>
      </c>
      <c r="K234" s="11" t="inlineStr">
        <is>
          <t>Bản đồ</t>
        </is>
      </c>
      <c r="L234" s="12" t="n"/>
      <c r="M234" s="13" t="n"/>
      <c r="N234" s="13" t="n"/>
      <c r="O234" s="13" t="n"/>
      <c r="P234" s="13" t="n"/>
      <c r="Q234" s="13" t="n"/>
      <c r="R234" s="13" t="n"/>
    </row>
    <row r="235">
      <c r="A235" s="8" t="n">
        <v>231</v>
      </c>
      <c r="B235" s="8" t="inlineStr">
        <is>
          <t>PK-231</t>
        </is>
      </c>
      <c r="C235" s="9" t="inlineStr">
        <is>
          <t>Quán Bánh Canh 32</t>
        </is>
      </c>
      <c r="D235" s="8" t="inlineStr">
        <is>
          <t>Nhà hàng</t>
        </is>
      </c>
      <c r="E235" s="9" t="inlineStr">
        <is>
          <t>32 Cù Chính Lan, Phường Diên Hồng, TP. Pleiku</t>
        </is>
      </c>
      <c r="F235" s="9" t="inlineStr">
        <is>
          <t>Cù Chính Lan</t>
        </is>
      </c>
      <c r="G235" s="8" t="inlineStr">
        <is>
          <t>Phường Diên Hồng</t>
        </is>
      </c>
      <c r="H235" s="8" t="inlineStr">
        <is>
          <t>Diên Hồng</t>
        </is>
      </c>
      <c r="I235" s="9" t="inlineStr"/>
      <c r="J235" s="9" t="inlineStr">
        <is>
          <t>Danh sách tham khảo</t>
        </is>
      </c>
      <c r="K235" s="11" t="inlineStr">
        <is>
          <t>Bản đồ</t>
        </is>
      </c>
      <c r="L235" s="12" t="n"/>
      <c r="M235" s="13" t="n"/>
      <c r="N235" s="13" t="n"/>
      <c r="O235" s="13" t="n"/>
      <c r="P235" s="13" t="n"/>
      <c r="Q235" s="13" t="n"/>
      <c r="R235" s="13" t="n"/>
    </row>
    <row r="236">
      <c r="A236" s="8" t="n">
        <v>232</v>
      </c>
      <c r="B236" s="8" t="inlineStr">
        <is>
          <t>PK-232</t>
        </is>
      </c>
      <c r="C236" s="9" t="inlineStr">
        <is>
          <t>25 C .Hùng Vương, P. Diên Hồng, Pleiku</t>
        </is>
      </c>
      <c r="D236" s="8" t="inlineStr">
        <is>
          <t>Nhà hàng</t>
        </is>
      </c>
      <c r="E236" s="9" t="inlineStr">
        <is>
          <t>25 Đ. Hùng Vương, Phường Diên Hồng, TP. Pleiku</t>
        </is>
      </c>
      <c r="F236" s="9" t="inlineStr">
        <is>
          <t>Đ. Hùng Vương</t>
        </is>
      </c>
      <c r="G236" s="8" t="inlineStr">
        <is>
          <t>Phường Diên Hồng</t>
        </is>
      </c>
      <c r="H236" s="8" t="inlineStr">
        <is>
          <t>Diên Hồng</t>
        </is>
      </c>
      <c r="I236" s="9" t="inlineStr"/>
      <c r="J236" s="9" t="inlineStr">
        <is>
          <t>Danh sách tham khảo</t>
        </is>
      </c>
      <c r="K236" s="11" t="inlineStr">
        <is>
          <t>Bản đồ</t>
        </is>
      </c>
      <c r="L236" s="12" t="n"/>
      <c r="M236" s="13" t="n"/>
      <c r="N236" s="13" t="n"/>
      <c r="O236" s="13" t="n"/>
      <c r="P236" s="13" t="n"/>
      <c r="Q236" s="13" t="n"/>
      <c r="R236" s="13" t="n"/>
    </row>
    <row r="237">
      <c r="A237" s="8" t="n">
        <v>233</v>
      </c>
      <c r="B237" s="8" t="inlineStr">
        <is>
          <t>PK-233</t>
        </is>
      </c>
      <c r="C237" s="9" t="inlineStr">
        <is>
          <t>Cơm Niêu Mộc</t>
        </is>
      </c>
      <c r="D237" s="8" t="inlineStr">
        <is>
          <t>Nhà hàng</t>
        </is>
      </c>
      <c r="E237" s="9" t="inlineStr">
        <is>
          <t>46 Đ. Hùng Vương, Phường Ia Kring, TP. Pleiku</t>
        </is>
      </c>
      <c r="F237" s="9" t="inlineStr">
        <is>
          <t>Đ. Hùng Vương</t>
        </is>
      </c>
      <c r="G237" s="8" t="inlineStr">
        <is>
          <t>Phường Diên Hồng</t>
        </is>
      </c>
      <c r="H237" s="8" t="inlineStr">
        <is>
          <t>Ia Kring</t>
        </is>
      </c>
      <c r="I237" s="10" t="inlineStr">
        <is>
          <t>Trùng vị trí với: KAP Bistro; Đã có trên bản đồ – kiểm tra &amp; bổ sung</t>
        </is>
      </c>
      <c r="J237" s="9" t="inlineStr">
        <is>
          <t>Danh sách tham khảo, Hệ thống</t>
        </is>
      </c>
      <c r="K237" s="11" t="inlineStr">
        <is>
          <t>Bản đồ</t>
        </is>
      </c>
      <c r="L237" s="12" t="n"/>
      <c r="M237" s="13" t="n"/>
      <c r="N237" s="13" t="n"/>
      <c r="O237" s="13" t="n"/>
      <c r="P237" s="13" t="n"/>
      <c r="Q237" s="13" t="n"/>
      <c r="R237" s="13" t="n"/>
    </row>
    <row r="238">
      <c r="A238" s="8" t="n">
        <v>234</v>
      </c>
      <c r="B238" s="8" t="inlineStr">
        <is>
          <t>PK-234</t>
        </is>
      </c>
      <c r="C238" s="9" t="inlineStr">
        <is>
          <t>KAP Bistro</t>
        </is>
      </c>
      <c r="D238" s="8" t="inlineStr">
        <is>
          <t>Nhà hàng</t>
        </is>
      </c>
      <c r="E238" s="9" t="inlineStr">
        <is>
          <t>46 Đ. Hùng Vương, Phường Ia Kring, TP. Pleiku</t>
        </is>
      </c>
      <c r="F238" s="9" t="inlineStr">
        <is>
          <t>Đ. Hùng Vương</t>
        </is>
      </c>
      <c r="G238" s="8" t="inlineStr">
        <is>
          <t>Phường Diên Hồng</t>
        </is>
      </c>
      <c r="H238" s="8" t="inlineStr">
        <is>
          <t>Ia Kring</t>
        </is>
      </c>
      <c r="I238" s="10" t="inlineStr">
        <is>
          <t>Trùng vị trí với: Cơm Niêu Mộc; Đã có trên bản đồ – kiểm tra &amp; bổ sung</t>
        </is>
      </c>
      <c r="J238" s="9" t="inlineStr">
        <is>
          <t>Danh sách tham khảo, Hệ thống</t>
        </is>
      </c>
      <c r="K238" s="11" t="inlineStr">
        <is>
          <t>Bản đồ</t>
        </is>
      </c>
      <c r="L238" s="12" t="n"/>
      <c r="M238" s="13" t="n"/>
      <c r="N238" s="13" t="n"/>
      <c r="O238" s="13" t="n"/>
      <c r="P238" s="13" t="n"/>
      <c r="Q238" s="13" t="n"/>
      <c r="R238" s="13" t="n"/>
    </row>
    <row r="239">
      <c r="A239" s="8" t="n">
        <v>235</v>
      </c>
      <c r="B239" s="8" t="inlineStr">
        <is>
          <t>PK-235</t>
        </is>
      </c>
      <c r="C239" s="9" t="inlineStr">
        <is>
          <t>Quán Ăn 77</t>
        </is>
      </c>
      <c r="D239" s="8" t="inlineStr">
        <is>
          <t>Nhà hàng</t>
        </is>
      </c>
      <c r="E239" s="9" t="inlineStr">
        <is>
          <t>77 77 Đ. Hùng Vương, Phường Diên Hồng, TP. Pleiku</t>
        </is>
      </c>
      <c r="F239" s="9" t="inlineStr">
        <is>
          <t>Đ. Hùng Vương</t>
        </is>
      </c>
      <c r="G239" s="8" t="inlineStr">
        <is>
          <t>Phường Diên Hồng</t>
        </is>
      </c>
      <c r="H239" s="8" t="inlineStr">
        <is>
          <t>Diên Hồng</t>
        </is>
      </c>
      <c r="I239" s="10" t="inlineStr">
        <is>
          <t>Trùng vị trí với: Nâu cha</t>
        </is>
      </c>
      <c r="J239" s="9" t="inlineStr">
        <is>
          <t>Danh sách tham khảo</t>
        </is>
      </c>
      <c r="K239" s="11" t="inlineStr">
        <is>
          <t>Bản đồ</t>
        </is>
      </c>
      <c r="L239" s="12" t="n"/>
      <c r="M239" s="13" t="n"/>
      <c r="N239" s="13" t="n"/>
      <c r="O239" s="13" t="n"/>
      <c r="P239" s="13" t="n"/>
      <c r="Q239" s="13" t="n"/>
      <c r="R239" s="13" t="n"/>
    </row>
    <row r="240">
      <c r="A240" s="8" t="n">
        <v>236</v>
      </c>
      <c r="B240" s="8" t="inlineStr">
        <is>
          <t>PK-236</t>
        </is>
      </c>
      <c r="C240" s="9" t="inlineStr">
        <is>
          <t>Cơm Tấm Cô Ba</t>
        </is>
      </c>
      <c r="D240" s="8" t="inlineStr">
        <is>
          <t>Nhà hàng</t>
        </is>
      </c>
      <c r="E240" s="9" t="inlineStr">
        <is>
          <t>85A Đinh Tiên Hoàng, Phường Diên Hồng, TP. Pleiku</t>
        </is>
      </c>
      <c r="F240" s="9" t="inlineStr">
        <is>
          <t>Đinh Tiên Hoàng</t>
        </is>
      </c>
      <c r="G240" s="8" t="inlineStr">
        <is>
          <t>Phường Diên Hồng</t>
        </is>
      </c>
      <c r="H240" s="8" t="inlineStr">
        <is>
          <t>Diên Hồng</t>
        </is>
      </c>
      <c r="I240" s="9" t="inlineStr"/>
      <c r="J240" s="9" t="inlineStr">
        <is>
          <t>Danh sách tham khảo</t>
        </is>
      </c>
      <c r="K240" s="11" t="inlineStr">
        <is>
          <t>Bản đồ</t>
        </is>
      </c>
      <c r="L240" s="12" t="n"/>
      <c r="M240" s="13" t="n"/>
      <c r="N240" s="13" t="n"/>
      <c r="O240" s="13" t="n"/>
      <c r="P240" s="13" t="n"/>
      <c r="Q240" s="13" t="n"/>
      <c r="R240" s="13" t="n"/>
    </row>
    <row r="241">
      <c r="A241" s="8" t="n">
        <v>237</v>
      </c>
      <c r="B241" s="8" t="inlineStr">
        <is>
          <t>PK-237</t>
        </is>
      </c>
      <c r="C241" s="9" t="inlineStr">
        <is>
          <t>Cơm Tô</t>
        </is>
      </c>
      <c r="D241" s="8" t="inlineStr">
        <is>
          <t>Nhà hàng</t>
        </is>
      </c>
      <c r="E241" s="9" t="inlineStr">
        <is>
          <t>99 Đinh Tiên Hoàng, Phường Diên Hồng, TP. Pleiku</t>
        </is>
      </c>
      <c r="F241" s="9" t="inlineStr">
        <is>
          <t>Đinh Tiên Hoàng</t>
        </is>
      </c>
      <c r="G241" s="8" t="inlineStr">
        <is>
          <t>Phường Diên Hồng</t>
        </is>
      </c>
      <c r="H241" s="8" t="inlineStr">
        <is>
          <t>Diên Hồng</t>
        </is>
      </c>
      <c r="I241" s="9" t="inlineStr"/>
      <c r="J241" s="9" t="inlineStr">
        <is>
          <t>Danh sách tham khảo</t>
        </is>
      </c>
      <c r="K241" s="11" t="inlineStr">
        <is>
          <t>Bản đồ</t>
        </is>
      </c>
      <c r="L241" s="12" t="n"/>
      <c r="M241" s="13" t="n"/>
      <c r="N241" s="13" t="n"/>
      <c r="O241" s="13" t="n"/>
      <c r="P241" s="13" t="n"/>
      <c r="Q241" s="13" t="n"/>
      <c r="R241" s="13" t="n"/>
    </row>
    <row r="242">
      <c r="A242" s="8" t="n">
        <v>238</v>
      </c>
      <c r="B242" s="8" t="inlineStr">
        <is>
          <t>PK-238</t>
        </is>
      </c>
      <c r="C242" s="9" t="inlineStr">
        <is>
          <t>Chân gà nướng 103 đinh tiên hoàng pleiku</t>
        </is>
      </c>
      <c r="D242" s="8" t="inlineStr">
        <is>
          <t>Nhà hàng</t>
        </is>
      </c>
      <c r="E242" s="9" t="inlineStr">
        <is>
          <t>103 Đinh Tiên Hoàng, Phường Diên Hồng, TP. Pleiku</t>
        </is>
      </c>
      <c r="F242" s="9" t="inlineStr">
        <is>
          <t>Đinh Tiên Hoàng</t>
        </is>
      </c>
      <c r="G242" s="8" t="inlineStr">
        <is>
          <t>Phường Diên Hồng</t>
        </is>
      </c>
      <c r="H242" s="8" t="inlineStr">
        <is>
          <t>Diên Hồng</t>
        </is>
      </c>
      <c r="I242" s="9" t="inlineStr"/>
      <c r="J242" s="9" t="inlineStr">
        <is>
          <t>Danh sách tham khảo</t>
        </is>
      </c>
      <c r="K242" s="11" t="inlineStr">
        <is>
          <t>Bản đồ</t>
        </is>
      </c>
      <c r="L242" s="12" t="n"/>
      <c r="M242" s="13" t="n"/>
      <c r="N242" s="13" t="n"/>
      <c r="O242" s="13" t="n"/>
      <c r="P242" s="13" t="n"/>
      <c r="Q242" s="13" t="n"/>
      <c r="R242" s="13" t="n"/>
    </row>
    <row r="243">
      <c r="A243" s="8" t="n">
        <v>239</v>
      </c>
      <c r="B243" s="8" t="inlineStr">
        <is>
          <t>PK-239</t>
        </is>
      </c>
      <c r="C243" s="9" t="inlineStr">
        <is>
          <t>Quán Cơm Tấm</t>
        </is>
      </c>
      <c r="D243" s="8" t="inlineStr">
        <is>
          <t>Nhà hàng</t>
        </is>
      </c>
      <c r="E243" s="9" t="inlineStr">
        <is>
          <t>115 Đinh Tiên Hoàng, Phường Diên Hồng, TP. Pleiku</t>
        </is>
      </c>
      <c r="F243" s="9" t="inlineStr">
        <is>
          <t>Đinh Tiên Hoàng</t>
        </is>
      </c>
      <c r="G243" s="8" t="inlineStr">
        <is>
          <t>Phường Diên Hồng</t>
        </is>
      </c>
      <c r="H243" s="8" t="inlineStr">
        <is>
          <t>Diên Hồng</t>
        </is>
      </c>
      <c r="I243" s="9" t="inlineStr"/>
      <c r="J243" s="9" t="inlineStr">
        <is>
          <t>Danh sách tham khảo</t>
        </is>
      </c>
      <c r="K243" s="11" t="inlineStr">
        <is>
          <t>Bản đồ</t>
        </is>
      </c>
      <c r="L243" s="12" t="n"/>
      <c r="M243" s="13" t="n"/>
      <c r="N243" s="13" t="n"/>
      <c r="O243" s="13" t="n"/>
      <c r="P243" s="13" t="n"/>
      <c r="Q243" s="13" t="n"/>
      <c r="R243" s="13" t="n"/>
    </row>
    <row r="244">
      <c r="A244" s="8" t="n">
        <v>240</v>
      </c>
      <c r="B244" s="8" t="inlineStr">
        <is>
          <t>PK-240</t>
        </is>
      </c>
      <c r="C244" s="9" t="inlineStr">
        <is>
          <t>Phở Bò Viên Tàu Lý</t>
        </is>
      </c>
      <c r="D244" s="8" t="inlineStr">
        <is>
          <t>Nhà hàng</t>
        </is>
      </c>
      <c r="E244" s="9" t="inlineStr">
        <is>
          <t>05 Đoàn Thị Điểm, Phường Tây Sơn, TP. Pleiku</t>
        </is>
      </c>
      <c r="F244" s="9" t="inlineStr">
        <is>
          <t>Đoàn Thị Điểm</t>
        </is>
      </c>
      <c r="G244" s="8" t="inlineStr">
        <is>
          <t>Phường Diên Hồng</t>
        </is>
      </c>
      <c r="H244" s="8" t="inlineStr">
        <is>
          <t>Tây Sơn</t>
        </is>
      </c>
      <c r="I244" s="10" t="inlineStr">
        <is>
          <t>Địa chỉ ghi Phường Tây Sơn nhưng vị trí thuộc Phường Diên Hồng</t>
        </is>
      </c>
      <c r="J244" s="9" t="inlineStr">
        <is>
          <t>Danh sách tham khảo</t>
        </is>
      </c>
      <c r="K244" s="11" t="inlineStr">
        <is>
          <t>Bản đồ</t>
        </is>
      </c>
      <c r="L244" s="12" t="n"/>
      <c r="M244" s="13" t="n"/>
      <c r="N244" s="13" t="n"/>
      <c r="O244" s="13" t="n"/>
      <c r="P244" s="13" t="n"/>
      <c r="Q244" s="13" t="n"/>
      <c r="R244" s="13" t="n"/>
    </row>
    <row r="245">
      <c r="A245" s="8" t="n">
        <v>241</v>
      </c>
      <c r="B245" s="8" t="inlineStr">
        <is>
          <t>PK-241</t>
        </is>
      </c>
      <c r="C245" s="9" t="inlineStr">
        <is>
          <t>36 Đống Đa p Diên Hồng</t>
        </is>
      </c>
      <c r="D245" s="8" t="inlineStr">
        <is>
          <t>Nhà hàng</t>
        </is>
      </c>
      <c r="E245" s="9" t="inlineStr">
        <is>
          <t>36 Đống Đa, Phường Diên Hồng, TP. Pleiku</t>
        </is>
      </c>
      <c r="F245" s="9" t="inlineStr">
        <is>
          <t>Đống Đa</t>
        </is>
      </c>
      <c r="G245" s="8" t="inlineStr">
        <is>
          <t>Phường Diên Hồng</t>
        </is>
      </c>
      <c r="H245" s="8" t="inlineStr">
        <is>
          <t>Diên Hồng</t>
        </is>
      </c>
      <c r="I245" s="9" t="inlineStr"/>
      <c r="J245" s="9" t="inlineStr">
        <is>
          <t>Danh sách tham khảo</t>
        </is>
      </c>
      <c r="K245" s="11" t="inlineStr">
        <is>
          <t>Bản đồ</t>
        </is>
      </c>
      <c r="L245" s="12" t="n"/>
      <c r="M245" s="13" t="n"/>
      <c r="N245" s="13" t="n"/>
      <c r="O245" s="13" t="n"/>
      <c r="P245" s="13" t="n"/>
      <c r="Q245" s="13" t="n"/>
      <c r="R245" s="13" t="n"/>
    </row>
    <row r="246">
      <c r="A246" s="8" t="n">
        <v>242</v>
      </c>
      <c r="B246" s="8" t="inlineStr">
        <is>
          <t>PK-242</t>
        </is>
      </c>
      <c r="C246" s="9" t="inlineStr">
        <is>
          <t>Cuội Coffee</t>
        </is>
      </c>
      <c r="D246" s="8" t="inlineStr">
        <is>
          <t>Quán cà phê</t>
        </is>
      </c>
      <c r="E246" s="9" t="inlineStr">
        <is>
          <t>62 Đống Đa</t>
        </is>
      </c>
      <c r="F246" s="9" t="inlineStr">
        <is>
          <t>Đống Đa</t>
        </is>
      </c>
      <c r="G246" s="8" t="inlineStr">
        <is>
          <t>Phường Diên Hồng</t>
        </is>
      </c>
      <c r="H246" s="8" t="inlineStr"/>
      <c r="I246" s="9" t="inlineStr"/>
      <c r="J246" s="9" t="inlineStr">
        <is>
          <t>OpenStreetMap</t>
        </is>
      </c>
      <c r="K246" s="11" t="inlineStr">
        <is>
          <t>Bản đồ</t>
        </is>
      </c>
      <c r="L246" s="12" t="n"/>
      <c r="M246" s="13" t="n"/>
      <c r="N246" s="13" t="n"/>
      <c r="O246" s="13" t="n"/>
      <c r="P246" s="13" t="n"/>
      <c r="Q246" s="13" t="n"/>
      <c r="R246" s="13" t="n"/>
    </row>
    <row r="247">
      <c r="A247" s="8" t="n">
        <v>243</v>
      </c>
      <c r="B247" s="8" t="inlineStr">
        <is>
          <t>PK-243</t>
        </is>
      </c>
      <c r="C247" s="9" t="inlineStr">
        <is>
          <t>Nhà hàng Galaxy</t>
        </is>
      </c>
      <c r="D247" s="8" t="inlineStr">
        <is>
          <t>Nhà hàng</t>
        </is>
      </c>
      <c r="E247" s="9" t="inlineStr">
        <is>
          <t>2 Đồng Tiến, Phường Ia Kring, TP. Pleiku</t>
        </is>
      </c>
      <c r="F247" s="9" t="inlineStr">
        <is>
          <t>Đồng Tiến</t>
        </is>
      </c>
      <c r="G247" s="8" t="inlineStr">
        <is>
          <t>Phường Diên Hồng</t>
        </is>
      </c>
      <c r="H247" s="8" t="inlineStr">
        <is>
          <t>Ia Kring</t>
        </is>
      </c>
      <c r="I247" s="9" t="inlineStr"/>
      <c r="J247" s="9" t="inlineStr">
        <is>
          <t>Danh sách tham khảo</t>
        </is>
      </c>
      <c r="K247" s="11" t="inlineStr">
        <is>
          <t>Bản đồ</t>
        </is>
      </c>
      <c r="L247" s="12" t="n"/>
      <c r="M247" s="13" t="n"/>
      <c r="N247" s="13" t="n"/>
      <c r="O247" s="13" t="n"/>
      <c r="P247" s="13" t="n"/>
      <c r="Q247" s="13" t="n"/>
      <c r="R247" s="13" t="n"/>
    </row>
    <row r="248">
      <c r="A248" s="8" t="n">
        <v>244</v>
      </c>
      <c r="B248" s="8" t="inlineStr">
        <is>
          <t>PK-244</t>
        </is>
      </c>
      <c r="C248" s="9" t="inlineStr">
        <is>
          <t>Nhà Hàng Phố Biển</t>
        </is>
      </c>
      <c r="D248" s="8" t="inlineStr">
        <is>
          <t>Nhà hàng</t>
        </is>
      </c>
      <c r="E248" s="9" t="inlineStr">
        <is>
          <t>09 Đồng Tiến, Phường Ia Kring, TP. Pleiku</t>
        </is>
      </c>
      <c r="F248" s="9" t="inlineStr">
        <is>
          <t>Đồng Tiến</t>
        </is>
      </c>
      <c r="G248" s="8" t="inlineStr">
        <is>
          <t>Phường Diên Hồng</t>
        </is>
      </c>
      <c r="H248" s="8" t="inlineStr">
        <is>
          <t>Ia Kring</t>
        </is>
      </c>
      <c r="I248" s="10" t="inlineStr">
        <is>
          <t>Đã có trên bản đồ – kiểm tra &amp; bổ sung</t>
        </is>
      </c>
      <c r="J248" s="9" t="inlineStr">
        <is>
          <t>Danh sách tham khảo, Hệ thống</t>
        </is>
      </c>
      <c r="K248" s="11" t="inlineStr">
        <is>
          <t>Bản đồ</t>
        </is>
      </c>
      <c r="L248" s="12" t="n"/>
      <c r="M248" s="13" t="n"/>
      <c r="N248" s="13" t="n"/>
      <c r="O248" s="13" t="n"/>
      <c r="P248" s="13" t="n"/>
      <c r="Q248" s="13" t="n"/>
      <c r="R248" s="13" t="n"/>
    </row>
    <row r="249">
      <c r="A249" s="8" t="n">
        <v>245</v>
      </c>
      <c r="B249" s="8" t="inlineStr">
        <is>
          <t>PK-245</t>
        </is>
      </c>
      <c r="C249" s="9" t="inlineStr">
        <is>
          <t>Century Restaurant</t>
        </is>
      </c>
      <c r="D249" s="8" t="inlineStr">
        <is>
          <t>Nhà hàng</t>
        </is>
      </c>
      <c r="E249" s="9" t="inlineStr">
        <is>
          <t>170 Đường Đường Wừu, Phường Hội Thương, TP. Pleiku</t>
        </is>
      </c>
      <c r="F249" s="9" t="inlineStr">
        <is>
          <t>Đường Wừu</t>
        </is>
      </c>
      <c r="G249" s="8" t="inlineStr">
        <is>
          <t>Phường Diên Hồng</t>
        </is>
      </c>
      <c r="H249" s="8" t="inlineStr">
        <is>
          <t>Hội Thương</t>
        </is>
      </c>
      <c r="I249" s="10" t="inlineStr">
        <is>
          <t>Địa chỉ ghi Phường Hội Thương nhưng vị trí thuộc Phường Diên Hồng; Đã có trên bản đồ – kiểm tra &amp; bổ sung</t>
        </is>
      </c>
      <c r="J249" s="9" t="inlineStr">
        <is>
          <t>Danh sách tham khảo, Hệ thống, OpenStreetMap</t>
        </is>
      </c>
      <c r="K249" s="11" t="inlineStr">
        <is>
          <t>Bản đồ</t>
        </is>
      </c>
      <c r="L249" s="12" t="n"/>
      <c r="M249" s="13" t="n"/>
      <c r="N249" s="13" t="n"/>
      <c r="O249" s="13" t="n"/>
      <c r="P249" s="13" t="n"/>
      <c r="Q249" s="13" t="n"/>
      <c r="R249" s="13" t="n"/>
    </row>
    <row r="250">
      <c r="A250" s="8" t="n">
        <v>246</v>
      </c>
      <c r="B250" s="8" t="inlineStr">
        <is>
          <t>PK-246</t>
        </is>
      </c>
      <c r="C250" s="9" t="inlineStr">
        <is>
          <t>Bánh Cuốn, Bún Thịt Nướng Tây Sơn Quán</t>
        </is>
      </c>
      <c r="D250" s="8" t="inlineStr">
        <is>
          <t>Nhà hàng</t>
        </is>
      </c>
      <c r="E250" s="9" t="inlineStr">
        <is>
          <t>53 Hai Bà Trưng, Phường Tây Sơn, TP. Pleiku</t>
        </is>
      </c>
      <c r="F250" s="9" t="inlineStr">
        <is>
          <t>Hai Bà Trưng</t>
        </is>
      </c>
      <c r="G250" s="8" t="inlineStr">
        <is>
          <t>Phường Diên Hồng</t>
        </is>
      </c>
      <c r="H250" s="8" t="inlineStr">
        <is>
          <t>Tây Sơn</t>
        </is>
      </c>
      <c r="I250" s="10" t="inlineStr">
        <is>
          <t>Địa chỉ ghi Phường Tây Sơn nhưng vị trí thuộc Phường Diên Hồng</t>
        </is>
      </c>
      <c r="J250" s="9" t="inlineStr">
        <is>
          <t>Danh sách tham khảo</t>
        </is>
      </c>
      <c r="K250" s="11" t="inlineStr">
        <is>
          <t>Bản đồ</t>
        </is>
      </c>
      <c r="L250" s="12" t="n"/>
      <c r="M250" s="13" t="n"/>
      <c r="N250" s="13" t="n"/>
      <c r="O250" s="13" t="n"/>
      <c r="P250" s="13" t="n"/>
      <c r="Q250" s="13" t="n"/>
      <c r="R250" s="13" t="n"/>
    </row>
    <row r="251">
      <c r="A251" s="8" t="n">
        <v>247</v>
      </c>
      <c r="B251" s="8" t="inlineStr">
        <is>
          <t>PK-247</t>
        </is>
      </c>
      <c r="C251" s="9" t="inlineStr">
        <is>
          <t>Cơm gà hải nam</t>
        </is>
      </c>
      <c r="D251" s="8" t="inlineStr">
        <is>
          <t>Nhà hàng</t>
        </is>
      </c>
      <c r="E251" s="9" t="inlineStr">
        <is>
          <t>73 Hai Bà Trưng, Phường Yên Đỗ, TP. Pleiku</t>
        </is>
      </c>
      <c r="F251" s="9" t="inlineStr">
        <is>
          <t>Hai Bà Trưng</t>
        </is>
      </c>
      <c r="G251" s="8" t="inlineStr">
        <is>
          <t>Phường Diên Hồng</t>
        </is>
      </c>
      <c r="H251" s="8" t="inlineStr">
        <is>
          <t>Yên Đỗ</t>
        </is>
      </c>
      <c r="I251" s="10" t="inlineStr">
        <is>
          <t>Đã có trên bản đồ – kiểm tra &amp; bổ sung</t>
        </is>
      </c>
      <c r="J251" s="9" t="inlineStr">
        <is>
          <t>Danh sách tham khảo, Hệ thống</t>
        </is>
      </c>
      <c r="K251" s="11" t="inlineStr">
        <is>
          <t>Bản đồ</t>
        </is>
      </c>
      <c r="L251" s="12" t="n"/>
      <c r="M251" s="13" t="n"/>
      <c r="N251" s="13" t="n"/>
      <c r="O251" s="13" t="n"/>
      <c r="P251" s="13" t="n"/>
      <c r="Q251" s="13" t="n"/>
      <c r="R251" s="13" t="n"/>
    </row>
    <row r="252">
      <c r="A252" s="8" t="n">
        <v>248</v>
      </c>
      <c r="B252" s="8" t="inlineStr">
        <is>
          <t>PK-248</t>
        </is>
      </c>
      <c r="C252" s="9" t="inlineStr">
        <is>
          <t>Nhà Hàng</t>
        </is>
      </c>
      <c r="D252" s="8" t="inlineStr">
        <is>
          <t>Nhà hàng</t>
        </is>
      </c>
      <c r="E252" s="9" t="inlineStr">
        <is>
          <t>107 Hai Bà Trưng, Phường Diên Hồng, TP. Pleiku</t>
        </is>
      </c>
      <c r="F252" s="9" t="inlineStr">
        <is>
          <t>Hai Bà Trưng</t>
        </is>
      </c>
      <c r="G252" s="8" t="inlineStr">
        <is>
          <t>Phường Diên Hồng</t>
        </is>
      </c>
      <c r="H252" s="8" t="inlineStr">
        <is>
          <t>Diên Hồng</t>
        </is>
      </c>
      <c r="I252" s="9" t="inlineStr"/>
      <c r="J252" s="9" t="inlineStr">
        <is>
          <t>Danh sách tham khảo</t>
        </is>
      </c>
      <c r="K252" s="11" t="inlineStr">
        <is>
          <t>Bản đồ</t>
        </is>
      </c>
      <c r="L252" s="12" t="n"/>
      <c r="M252" s="13" t="n"/>
      <c r="N252" s="13" t="n"/>
      <c r="O252" s="13" t="n"/>
      <c r="P252" s="13" t="n"/>
      <c r="Q252" s="13" t="n"/>
      <c r="R252" s="13" t="n"/>
    </row>
    <row r="253">
      <c r="A253" s="8" t="n">
        <v>249</v>
      </c>
      <c r="B253" s="8" t="inlineStr">
        <is>
          <t>PK-249</t>
        </is>
      </c>
      <c r="C253" s="9" t="inlineStr">
        <is>
          <t>Quán ăn Đông Kinh</t>
        </is>
      </c>
      <c r="D253" s="8" t="inlineStr">
        <is>
          <t>Nhà hàng</t>
        </is>
      </c>
      <c r="E253" s="9" t="inlineStr">
        <is>
          <t>144 Hai Bà Trưng, Phường Yên Đỗ, TP. Pleiku</t>
        </is>
      </c>
      <c r="F253" s="9" t="inlineStr">
        <is>
          <t>Hai Bà Trưng</t>
        </is>
      </c>
      <c r="G253" s="8" t="inlineStr">
        <is>
          <t>Phường Diên Hồng</t>
        </is>
      </c>
      <c r="H253" s="8" t="inlineStr">
        <is>
          <t>Yên Đỗ</t>
        </is>
      </c>
      <c r="I253" s="10" t="inlineStr">
        <is>
          <t>Trùng vị trí với: cơm Gà Ngọc Ký</t>
        </is>
      </c>
      <c r="J253" s="9" t="inlineStr">
        <is>
          <t>Danh sách tham khảo</t>
        </is>
      </c>
      <c r="K253" s="11" t="inlineStr">
        <is>
          <t>Bản đồ</t>
        </is>
      </c>
      <c r="L253" s="12" t="n"/>
      <c r="M253" s="13" t="n"/>
      <c r="N253" s="13" t="n"/>
      <c r="O253" s="13" t="n"/>
      <c r="P253" s="13" t="n"/>
      <c r="Q253" s="13" t="n"/>
      <c r="R253" s="13" t="n"/>
    </row>
    <row r="254">
      <c r="A254" s="8" t="n">
        <v>250</v>
      </c>
      <c r="B254" s="8" t="inlineStr">
        <is>
          <t>PK-250</t>
        </is>
      </c>
      <c r="C254" s="9" t="inlineStr">
        <is>
          <t>Cơm Niêu Ngon 3 Miền</t>
        </is>
      </c>
      <c r="D254" s="8" t="inlineStr">
        <is>
          <t>Nhà hàng</t>
        </is>
      </c>
      <c r="E254" s="9" t="inlineStr">
        <is>
          <t>158 Hai Bà Trưng, Phường Hoa Lư, TP. Pleiku</t>
        </is>
      </c>
      <c r="F254" s="9" t="inlineStr">
        <is>
          <t>Hai Bà Trưng</t>
        </is>
      </c>
      <c r="G254" s="8" t="inlineStr">
        <is>
          <t>Phường Diên Hồng</t>
        </is>
      </c>
      <c r="H254" s="8" t="inlineStr">
        <is>
          <t>Hoa Lư</t>
        </is>
      </c>
      <c r="I254" s="10" t="inlineStr">
        <is>
          <t>Địa chỉ ghi Phường Hoa Lư nhưng vị trí thuộc Phường Diên Hồng; Đã có trên bản đồ – kiểm tra &amp; bổ sung</t>
        </is>
      </c>
      <c r="J254" s="9" t="inlineStr">
        <is>
          <t>Danh sách tham khảo, Hệ thống</t>
        </is>
      </c>
      <c r="K254" s="11" t="inlineStr">
        <is>
          <t>Bản đồ</t>
        </is>
      </c>
      <c r="L254" s="12" t="n"/>
      <c r="M254" s="13" t="n"/>
      <c r="N254" s="13" t="n"/>
      <c r="O254" s="13" t="n"/>
      <c r="P254" s="13" t="n"/>
      <c r="Q254" s="13" t="n"/>
      <c r="R254" s="13" t="n"/>
    </row>
    <row r="255">
      <c r="A255" s="8" t="n">
        <v>251</v>
      </c>
      <c r="B255" s="8" t="inlineStr">
        <is>
          <t>PK-251</t>
        </is>
      </c>
      <c r="C255" s="9" t="inlineStr">
        <is>
          <t>Chu Gi</t>
        </is>
      </c>
      <c r="D255" s="8" t="inlineStr">
        <is>
          <t>Quán cà phê</t>
        </is>
      </c>
      <c r="E255" s="9" t="inlineStr">
        <is>
          <t>2 Hoàng Văn Thụ</t>
        </is>
      </c>
      <c r="F255" s="9" t="inlineStr">
        <is>
          <t>Hoàng Văn Thụ</t>
        </is>
      </c>
      <c r="G255" s="8" t="inlineStr">
        <is>
          <t>Phường Diên Hồng</t>
        </is>
      </c>
      <c r="H255" s="8" t="inlineStr"/>
      <c r="I255" s="9" t="inlineStr"/>
      <c r="J255" s="9" t="inlineStr">
        <is>
          <t>OpenStreetMap</t>
        </is>
      </c>
      <c r="K255" s="11" t="inlineStr">
        <is>
          <t>Bản đồ</t>
        </is>
      </c>
      <c r="L255" s="12" t="n"/>
      <c r="M255" s="13" t="n"/>
      <c r="N255" s="13" t="n"/>
      <c r="O255" s="13" t="n"/>
      <c r="P255" s="13" t="n"/>
      <c r="Q255" s="13" t="n"/>
      <c r="R255" s="13" t="n"/>
    </row>
    <row r="256">
      <c r="A256" s="8" t="n">
        <v>252</v>
      </c>
      <c r="B256" s="8" t="inlineStr">
        <is>
          <t>PK-252</t>
        </is>
      </c>
      <c r="C256" s="9" t="inlineStr">
        <is>
          <t>Bánh xèo bến xe nhỏ</t>
        </is>
      </c>
      <c r="D256" s="8" t="inlineStr">
        <is>
          <t>Nhà hàng</t>
        </is>
      </c>
      <c r="E256" s="9" t="inlineStr">
        <is>
          <t>16 Hoàng Văn Thụ, Phường Hội Thương, TP. Pleiku</t>
        </is>
      </c>
      <c r="F256" s="9" t="inlineStr">
        <is>
          <t>Hoàng Văn Thụ</t>
        </is>
      </c>
      <c r="G256" s="8" t="inlineStr">
        <is>
          <t>Phường Diên Hồng</t>
        </is>
      </c>
      <c r="H256" s="8" t="inlineStr">
        <is>
          <t>Hội Thương</t>
        </is>
      </c>
      <c r="I256" s="10" t="inlineStr">
        <is>
          <t>Địa chỉ ghi Phường Hội Thương nhưng vị trí thuộc Phường Diên Hồng</t>
        </is>
      </c>
      <c r="J256" s="9" t="inlineStr">
        <is>
          <t>Danh sách tham khảo</t>
        </is>
      </c>
      <c r="K256" s="11" t="inlineStr">
        <is>
          <t>Bản đồ</t>
        </is>
      </c>
      <c r="L256" s="12" t="n"/>
      <c r="M256" s="13" t="n"/>
      <c r="N256" s="13" t="n"/>
      <c r="O256" s="13" t="n"/>
      <c r="P256" s="13" t="n"/>
      <c r="Q256" s="13" t="n"/>
      <c r="R256" s="13" t="n"/>
    </row>
    <row r="257">
      <c r="A257" s="8" t="n">
        <v>253</v>
      </c>
      <c r="B257" s="8" t="inlineStr">
        <is>
          <t>PK-253</t>
        </is>
      </c>
      <c r="C257" s="9" t="inlineStr">
        <is>
          <t>Bánh Mì Lệ</t>
        </is>
      </c>
      <c r="D257" s="8" t="inlineStr">
        <is>
          <t>Nhà hàng</t>
        </is>
      </c>
      <c r="E257" s="9" t="inlineStr">
        <is>
          <t>17-19 Hoàng Văn Thụ</t>
        </is>
      </c>
      <c r="F257" s="9" t="inlineStr">
        <is>
          <t>Hoàng Văn Thụ</t>
        </is>
      </c>
      <c r="G257" s="8" t="inlineStr">
        <is>
          <t>Phường Diên Hồng</t>
        </is>
      </c>
      <c r="H257" s="8" t="inlineStr"/>
      <c r="I257" s="10" t="inlineStr">
        <is>
          <t>Trùng vị trí với: Phở Cô Liên</t>
        </is>
      </c>
      <c r="J257" s="9" t="inlineStr">
        <is>
          <t>OpenStreetMap</t>
        </is>
      </c>
      <c r="K257" s="11" t="inlineStr">
        <is>
          <t>Bản đồ</t>
        </is>
      </c>
      <c r="L257" s="12" t="n"/>
      <c r="M257" s="13" t="n"/>
      <c r="N257" s="13" t="n"/>
      <c r="O257" s="13" t="n"/>
      <c r="P257" s="13" t="n"/>
      <c r="Q257" s="13" t="n"/>
      <c r="R257" s="13" t="n"/>
    </row>
    <row r="258">
      <c r="A258" s="8" t="n">
        <v>254</v>
      </c>
      <c r="B258" s="8" t="inlineStr">
        <is>
          <t>PK-254</t>
        </is>
      </c>
      <c r="C258" s="9" t="inlineStr">
        <is>
          <t>Mì Cay SEOUL Pleiku</t>
        </is>
      </c>
      <c r="D258" s="8" t="inlineStr">
        <is>
          <t>Nhà hàng</t>
        </is>
      </c>
      <c r="E258" s="9" t="inlineStr">
        <is>
          <t>78 Hoàng Văn Thụ</t>
        </is>
      </c>
      <c r="F258" s="9" t="inlineStr">
        <is>
          <t>Hoàng Văn Thụ</t>
        </is>
      </c>
      <c r="G258" s="8" t="inlineStr">
        <is>
          <t>Phường Diên Hồng</t>
        </is>
      </c>
      <c r="H258" s="8" t="inlineStr"/>
      <c r="I258" s="9" t="inlineStr"/>
      <c r="J258" s="9" t="inlineStr">
        <is>
          <t>OpenStreetMap</t>
        </is>
      </c>
      <c r="K258" s="11" t="inlineStr">
        <is>
          <t>Bản đồ</t>
        </is>
      </c>
      <c r="L258" s="12" t="n"/>
      <c r="M258" s="13" t="n"/>
      <c r="N258" s="13" t="n"/>
      <c r="O258" s="13" t="n"/>
      <c r="P258" s="13" t="n"/>
      <c r="Q258" s="13" t="n"/>
      <c r="R258" s="13" t="n"/>
    </row>
    <row r="259">
      <c r="A259" s="8" t="n">
        <v>255</v>
      </c>
      <c r="B259" s="8" t="inlineStr">
        <is>
          <t>PK-255</t>
        </is>
      </c>
      <c r="C259" s="9" t="inlineStr">
        <is>
          <t>Ăn tối chợ đêm</t>
        </is>
      </c>
      <c r="D259" s="8" t="inlineStr">
        <is>
          <t>Nhà hàng</t>
        </is>
      </c>
      <c r="E259" s="9" t="inlineStr">
        <is>
          <t>139 Hoàng Văn Thụ, Phường Diên Hồng, TP. Pleiku</t>
        </is>
      </c>
      <c r="F259" s="9" t="inlineStr">
        <is>
          <t>Hoàng Văn Thụ</t>
        </is>
      </c>
      <c r="G259" s="8" t="inlineStr">
        <is>
          <t>Phường Diên Hồng</t>
        </is>
      </c>
      <c r="H259" s="8" t="inlineStr">
        <is>
          <t>Diên Hồng</t>
        </is>
      </c>
      <c r="I259" s="10" t="inlineStr">
        <is>
          <t>Có thể không phải quán ăn</t>
        </is>
      </c>
      <c r="J259" s="9" t="inlineStr">
        <is>
          <t>Danh sách tham khảo</t>
        </is>
      </c>
      <c r="K259" s="11" t="inlineStr">
        <is>
          <t>Bản đồ</t>
        </is>
      </c>
      <c r="L259" s="12" t="n"/>
      <c r="M259" s="13" t="n"/>
      <c r="N259" s="13" t="n"/>
      <c r="O259" s="13" t="n"/>
      <c r="P259" s="13" t="n"/>
      <c r="Q259" s="13" t="n"/>
      <c r="R259" s="13" t="n"/>
    </row>
    <row r="260">
      <c r="A260" s="8" t="n">
        <v>256</v>
      </c>
      <c r="B260" s="8" t="inlineStr">
        <is>
          <t>PK-256</t>
        </is>
      </c>
      <c r="C260" s="9" t="inlineStr">
        <is>
          <t>Phở Cô Liên</t>
        </is>
      </c>
      <c r="D260" s="8" t="inlineStr">
        <is>
          <t>Nhà hàng</t>
        </is>
      </c>
      <c r="E260" s="9" t="inlineStr">
        <is>
          <t>Hoàng Văn Thụ</t>
        </is>
      </c>
      <c r="F260" s="9" t="inlineStr">
        <is>
          <t>Hoàng Văn Thụ</t>
        </is>
      </c>
      <c r="G260" s="8" t="inlineStr">
        <is>
          <t>Phường Diên Hồng</t>
        </is>
      </c>
      <c r="H260" s="8" t="inlineStr"/>
      <c r="I260" s="10" t="inlineStr">
        <is>
          <t>Địa chỉ chưa có số nhà; Trùng vị trí với: Bánh Mì Lệ</t>
        </is>
      </c>
      <c r="J260" s="9" t="inlineStr">
        <is>
          <t>OpenStreetMap</t>
        </is>
      </c>
      <c r="K260" s="11" t="inlineStr">
        <is>
          <t>Bản đồ</t>
        </is>
      </c>
      <c r="L260" s="12" t="n"/>
      <c r="M260" s="13" t="n"/>
      <c r="N260" s="13" t="n"/>
      <c r="O260" s="13" t="n"/>
      <c r="P260" s="13" t="n"/>
      <c r="Q260" s="13" t="n"/>
      <c r="R260" s="13" t="n"/>
    </row>
    <row r="261">
      <c r="A261" s="8" t="n">
        <v>257</v>
      </c>
      <c r="B261" s="8" t="inlineStr">
        <is>
          <t>PK-257</t>
        </is>
      </c>
      <c r="C261" s="9" t="inlineStr">
        <is>
          <t>Tra Sửa Cầu Vồng</t>
        </is>
      </c>
      <c r="D261" s="8" t="inlineStr">
        <is>
          <t>Quán cà phê</t>
        </is>
      </c>
      <c r="E261" s="9" t="inlineStr">
        <is>
          <t>16B Hùng Vương</t>
        </is>
      </c>
      <c r="F261" s="9" t="inlineStr">
        <is>
          <t>Hùng Vương</t>
        </is>
      </c>
      <c r="G261" s="8" t="inlineStr">
        <is>
          <t>Phường Diên Hồng</t>
        </is>
      </c>
      <c r="H261" s="8" t="inlineStr"/>
      <c r="I261" s="9" t="inlineStr"/>
      <c r="J261" s="9" t="inlineStr">
        <is>
          <t>OpenStreetMap</t>
        </is>
      </c>
      <c r="K261" s="11" t="inlineStr">
        <is>
          <t>Bản đồ</t>
        </is>
      </c>
      <c r="L261" s="12" t="n"/>
      <c r="M261" s="13" t="n"/>
      <c r="N261" s="13" t="n"/>
      <c r="O261" s="13" t="n"/>
      <c r="P261" s="13" t="n"/>
      <c r="Q261" s="13" t="n"/>
      <c r="R261" s="13" t="n"/>
    </row>
    <row r="262">
      <c r="A262" s="8" t="n">
        <v>258</v>
      </c>
      <c r="B262" s="8" t="inlineStr">
        <is>
          <t>PK-258</t>
        </is>
      </c>
      <c r="C262" s="9" t="inlineStr">
        <is>
          <t>Quán Nhậu 77</t>
        </is>
      </c>
      <c r="D262" s="8" t="inlineStr">
        <is>
          <t>Nhà hàng</t>
        </is>
      </c>
      <c r="E262" s="9" t="inlineStr">
        <is>
          <t>77 Huỳnh Thúc Kháng, Phường Yên Đỗ, TP. Pleiku</t>
        </is>
      </c>
      <c r="F262" s="9" t="inlineStr">
        <is>
          <t>Huỳnh Thúc Kháng</t>
        </is>
      </c>
      <c r="G262" s="8" t="inlineStr">
        <is>
          <t>Phường Diên Hồng</t>
        </is>
      </c>
      <c r="H262" s="8" t="inlineStr">
        <is>
          <t>Yên Đỗ</t>
        </is>
      </c>
      <c r="I262" s="9" t="inlineStr"/>
      <c r="J262" s="9" t="inlineStr">
        <is>
          <t>Danh sách tham khảo</t>
        </is>
      </c>
      <c r="K262" s="11" t="inlineStr">
        <is>
          <t>Bản đồ</t>
        </is>
      </c>
      <c r="L262" s="12" t="n"/>
      <c r="M262" s="13" t="n"/>
      <c r="N262" s="13" t="n"/>
      <c r="O262" s="13" t="n"/>
      <c r="P262" s="13" t="n"/>
      <c r="Q262" s="13" t="n"/>
      <c r="R262" s="13" t="n"/>
    </row>
    <row r="263">
      <c r="A263" s="8" t="n">
        <v>259</v>
      </c>
      <c r="B263" s="8" t="inlineStr">
        <is>
          <t>PK-259</t>
        </is>
      </c>
      <c r="C263" s="9" t="inlineStr">
        <is>
          <t>Quán Cơm Quê Hương</t>
        </is>
      </c>
      <c r="D263" s="8" t="inlineStr">
        <is>
          <t>Nhà hàng</t>
        </is>
      </c>
      <c r="E263" s="9" t="inlineStr">
        <is>
          <t>223 Lê Đại Hành, Phường Diên Hồng, TP. Pleiku</t>
        </is>
      </c>
      <c r="F263" s="9" t="inlineStr">
        <is>
          <t>Lê Đại Hành</t>
        </is>
      </c>
      <c r="G263" s="8" t="inlineStr">
        <is>
          <t>Phường Diên Hồng</t>
        </is>
      </c>
      <c r="H263" s="8" t="inlineStr">
        <is>
          <t>Diên Hồng</t>
        </is>
      </c>
      <c r="I263" s="9" t="inlineStr"/>
      <c r="J263" s="9" t="inlineStr">
        <is>
          <t>Danh sách tham khảo, OpenStreetMap</t>
        </is>
      </c>
      <c r="K263" s="11" t="inlineStr">
        <is>
          <t>Bản đồ</t>
        </is>
      </c>
      <c r="L263" s="12" t="n"/>
      <c r="M263" s="13" t="n"/>
      <c r="N263" s="13" t="n"/>
      <c r="O263" s="13" t="n"/>
      <c r="P263" s="13" t="n"/>
      <c r="Q263" s="13" t="n"/>
      <c r="R263" s="13" t="n"/>
    </row>
    <row r="264">
      <c r="A264" s="8" t="n">
        <v>260</v>
      </c>
      <c r="B264" s="8" t="inlineStr">
        <is>
          <t>PK-260</t>
        </is>
      </c>
      <c r="C264" s="9" t="inlineStr">
        <is>
          <t>Quán Ăn Tâm Hạnh</t>
        </is>
      </c>
      <c r="D264" s="8" t="inlineStr">
        <is>
          <t>Nhà hàng</t>
        </is>
      </c>
      <c r="E264" s="9" t="inlineStr">
        <is>
          <t>13 Lê Hồng Phong, Phường Diên Hồng, TP. Pleiku</t>
        </is>
      </c>
      <c r="F264" s="9" t="inlineStr">
        <is>
          <t>Lê Hồng Phong</t>
        </is>
      </c>
      <c r="G264" s="8" t="inlineStr">
        <is>
          <t>Phường Diên Hồng</t>
        </is>
      </c>
      <c r="H264" s="8" t="inlineStr">
        <is>
          <t>Diên Hồng</t>
        </is>
      </c>
      <c r="I264" s="9" t="inlineStr"/>
      <c r="J264" s="9" t="inlineStr">
        <is>
          <t>Danh sách tham khảo</t>
        </is>
      </c>
      <c r="K264" s="11" t="inlineStr">
        <is>
          <t>Bản đồ</t>
        </is>
      </c>
      <c r="L264" s="12" t="n"/>
      <c r="M264" s="13" t="n"/>
      <c r="N264" s="13" t="n"/>
      <c r="O264" s="13" t="n"/>
      <c r="P264" s="13" t="n"/>
      <c r="Q264" s="13" t="n"/>
      <c r="R264" s="13" t="n"/>
    </row>
    <row r="265">
      <c r="A265" s="8" t="n">
        <v>261</v>
      </c>
      <c r="B265" s="8" t="inlineStr">
        <is>
          <t>PK-261</t>
        </is>
      </c>
      <c r="C265" s="9" t="inlineStr">
        <is>
          <t>Cơm Nhà</t>
        </is>
      </c>
      <c r="D265" s="8" t="inlineStr">
        <is>
          <t>Nhà hàng</t>
        </is>
      </c>
      <c r="E265" s="9" t="inlineStr">
        <is>
          <t>71 Lê Hồng Phong, Phường Diên Hồng, TP. Pleiku</t>
        </is>
      </c>
      <c r="F265" s="9" t="inlineStr">
        <is>
          <t>Lê Hồng Phong</t>
        </is>
      </c>
      <c r="G265" s="8" t="inlineStr">
        <is>
          <t>Phường Diên Hồng</t>
        </is>
      </c>
      <c r="H265" s="8" t="inlineStr">
        <is>
          <t>Diên Hồng</t>
        </is>
      </c>
      <c r="I265" s="9" t="inlineStr"/>
      <c r="J265" s="9" t="inlineStr">
        <is>
          <t>Danh sách tham khảo</t>
        </is>
      </c>
      <c r="K265" s="11" t="inlineStr">
        <is>
          <t>Bản đồ</t>
        </is>
      </c>
      <c r="L265" s="12" t="n"/>
      <c r="M265" s="13" t="n"/>
      <c r="N265" s="13" t="n"/>
      <c r="O265" s="13" t="n"/>
      <c r="P265" s="13" t="n"/>
      <c r="Q265" s="13" t="n"/>
      <c r="R265" s="13" t="n"/>
    </row>
    <row r="266">
      <c r="A266" s="8" t="n">
        <v>262</v>
      </c>
      <c r="B266" s="8" t="inlineStr">
        <is>
          <t>PK-262</t>
        </is>
      </c>
      <c r="C266" s="9" t="inlineStr">
        <is>
          <t>Phong Sushi Gia Lai</t>
        </is>
      </c>
      <c r="D266" s="8" t="inlineStr">
        <is>
          <t>Nhà hàng</t>
        </is>
      </c>
      <c r="E266" s="9" t="inlineStr">
        <is>
          <t>24 Lê Quý Đôn, Phường Diên Hồng, TP. Pleiku</t>
        </is>
      </c>
      <c r="F266" s="9" t="inlineStr">
        <is>
          <t>Lê Quý Đôn</t>
        </is>
      </c>
      <c r="G266" s="8" t="inlineStr">
        <is>
          <t>Phường Diên Hồng</t>
        </is>
      </c>
      <c r="H266" s="8" t="inlineStr">
        <is>
          <t>Diên Hồng</t>
        </is>
      </c>
      <c r="I266" s="9" t="inlineStr"/>
      <c r="J266" s="9" t="inlineStr">
        <is>
          <t>Danh sách tham khảo</t>
        </is>
      </c>
      <c r="K266" s="11" t="inlineStr">
        <is>
          <t>Bản đồ</t>
        </is>
      </c>
      <c r="L266" s="12" t="n"/>
      <c r="M266" s="13" t="n"/>
      <c r="N266" s="13" t="n"/>
      <c r="O266" s="13" t="n"/>
      <c r="P266" s="13" t="n"/>
      <c r="Q266" s="13" t="n"/>
      <c r="R266" s="13" t="n"/>
    </row>
    <row r="267">
      <c r="A267" s="8" t="n">
        <v>263</v>
      </c>
      <c r="B267" s="8" t="inlineStr">
        <is>
          <t>PK-263</t>
        </is>
      </c>
      <c r="C267" s="9" t="inlineStr">
        <is>
          <t>Hoa Trang</t>
        </is>
      </c>
      <c r="D267" s="8" t="inlineStr">
        <is>
          <t>Quán cà phê</t>
        </is>
      </c>
      <c r="E267" s="9" t="inlineStr">
        <is>
          <t>Lê Quý Đôn</t>
        </is>
      </c>
      <c r="F267" s="9" t="inlineStr">
        <is>
          <t>Lê Quý Đôn</t>
        </is>
      </c>
      <c r="G267" s="8" t="inlineStr">
        <is>
          <t>Phường Diên Hồng</t>
        </is>
      </c>
      <c r="H267" s="8" t="inlineStr"/>
      <c r="I267" s="10" t="inlineStr">
        <is>
          <t>Địa chỉ chưa có số nhà</t>
        </is>
      </c>
      <c r="J267" s="9" t="inlineStr">
        <is>
          <t>OpenStreetMap</t>
        </is>
      </c>
      <c r="K267" s="11" t="inlineStr">
        <is>
          <t>Bản đồ</t>
        </is>
      </c>
      <c r="L267" s="12" t="n"/>
      <c r="M267" s="13" t="n"/>
      <c r="N267" s="13" t="n"/>
      <c r="O267" s="13" t="n"/>
      <c r="P267" s="13" t="n"/>
      <c r="Q267" s="13" t="n"/>
      <c r="R267" s="13" t="n"/>
    </row>
    <row r="268">
      <c r="A268" s="8" t="n">
        <v>264</v>
      </c>
      <c r="B268" s="8" t="inlineStr">
        <is>
          <t>PK-264</t>
        </is>
      </c>
      <c r="C268" s="9" t="inlineStr">
        <is>
          <t>Quán Thủy Tèo</t>
        </is>
      </c>
      <c r="D268" s="8" t="inlineStr">
        <is>
          <t>Nhà hàng</t>
        </is>
      </c>
      <c r="E268" s="9" t="inlineStr">
        <is>
          <t>Lê Quý Đôn, Phường Diên Hồng, TP. Pleiku</t>
        </is>
      </c>
      <c r="F268" s="9" t="inlineStr">
        <is>
          <t>Lê Quý Đôn</t>
        </is>
      </c>
      <c r="G268" s="8" t="inlineStr">
        <is>
          <t>Phường Diên Hồng</t>
        </is>
      </c>
      <c r="H268" s="8" t="inlineStr">
        <is>
          <t>Diên Hồng</t>
        </is>
      </c>
      <c r="I268" s="10" t="inlineStr">
        <is>
          <t>Địa chỉ chưa có số nhà</t>
        </is>
      </c>
      <c r="J268" s="9" t="inlineStr">
        <is>
          <t>Danh sách tham khảo</t>
        </is>
      </c>
      <c r="K268" s="11" t="inlineStr">
        <is>
          <t>Bản đồ</t>
        </is>
      </c>
      <c r="L268" s="12" t="n"/>
      <c r="M268" s="13" t="n"/>
      <c r="N268" s="13" t="n"/>
      <c r="O268" s="13" t="n"/>
      <c r="P268" s="13" t="n"/>
      <c r="Q268" s="13" t="n"/>
      <c r="R268" s="13" t="n"/>
    </row>
    <row r="269">
      <c r="A269" s="8" t="n">
        <v>265</v>
      </c>
      <c r="B269" s="8" t="inlineStr">
        <is>
          <t>PK-265</t>
        </is>
      </c>
      <c r="C269" s="9" t="inlineStr">
        <is>
          <t>Trang Trại &amp; Ẩm Thực Hươu Sao</t>
        </is>
      </c>
      <c r="D269" s="8" t="inlineStr">
        <is>
          <t>Nhà hàng</t>
        </is>
      </c>
      <c r="E269" s="9" t="inlineStr">
        <is>
          <t>314 Đường Lê Thánh Tôn, Phường Ia Kring, TP. Pleiku</t>
        </is>
      </c>
      <c r="F269" s="9" t="inlineStr">
        <is>
          <t>Lê Thánh Tôn</t>
        </is>
      </c>
      <c r="G269" s="8" t="inlineStr">
        <is>
          <t>Phường Diên Hồng</t>
        </is>
      </c>
      <c r="H269" s="8" t="inlineStr">
        <is>
          <t>Ia Kring</t>
        </is>
      </c>
      <c r="I269" s="10" t="inlineStr">
        <is>
          <t>Đã có trên bản đồ – kiểm tra &amp; bổ sung</t>
        </is>
      </c>
      <c r="J269" s="9" t="inlineStr">
        <is>
          <t>Danh sách tham khảo, Hệ thống</t>
        </is>
      </c>
      <c r="K269" s="11" t="inlineStr">
        <is>
          <t>Bản đồ</t>
        </is>
      </c>
      <c r="L269" s="12" t="n"/>
      <c r="M269" s="13" t="n"/>
      <c r="N269" s="13" t="n"/>
      <c r="O269" s="13" t="n"/>
      <c r="P269" s="13" t="n"/>
      <c r="Q269" s="13" t="n"/>
      <c r="R269" s="13" t="n"/>
    </row>
    <row r="270">
      <c r="A270" s="8" t="n">
        <v>266</v>
      </c>
      <c r="B270" s="8" t="inlineStr">
        <is>
          <t>PK-266</t>
        </is>
      </c>
      <c r="C270" s="9" t="inlineStr">
        <is>
          <t>Quán Phở Tàu Lý 2</t>
        </is>
      </c>
      <c r="D270" s="8" t="inlineStr">
        <is>
          <t>Nhà hàng</t>
        </is>
      </c>
      <c r="E270" s="9" t="inlineStr">
        <is>
          <t>124 Lý Thái Tổ, Phường Ia Kring, TP. Pleiku</t>
        </is>
      </c>
      <c r="F270" s="9" t="inlineStr">
        <is>
          <t>Lý Thái Tổ</t>
        </is>
      </c>
      <c r="G270" s="8" t="inlineStr">
        <is>
          <t>Phường Diên Hồng</t>
        </is>
      </c>
      <c r="H270" s="8" t="inlineStr">
        <is>
          <t>Ia Kring</t>
        </is>
      </c>
      <c r="I270" s="9" t="inlineStr"/>
      <c r="J270" s="9" t="inlineStr">
        <is>
          <t>Danh sách tham khảo</t>
        </is>
      </c>
      <c r="K270" s="11" t="inlineStr">
        <is>
          <t>Bản đồ</t>
        </is>
      </c>
      <c r="L270" s="12" t="n"/>
      <c r="M270" s="13" t="n"/>
      <c r="N270" s="13" t="n"/>
      <c r="O270" s="13" t="n"/>
      <c r="P270" s="13" t="n"/>
      <c r="Q270" s="13" t="n"/>
      <c r="R270" s="13" t="n"/>
    </row>
    <row r="271">
      <c r="A271" s="8" t="n">
        <v>267</v>
      </c>
      <c r="B271" s="8" t="inlineStr">
        <is>
          <t>PK-267</t>
        </is>
      </c>
      <c r="C271" s="9" t="inlineStr">
        <is>
          <t>Bếp Trưởng Thành</t>
        </is>
      </c>
      <c r="D271" s="8" t="inlineStr">
        <is>
          <t>Nhà hàng</t>
        </is>
      </c>
      <c r="E271" s="9" t="inlineStr">
        <is>
          <t>284/18 Lý Thái Tổ, Phường Ia Kring, TP. Pleiku</t>
        </is>
      </c>
      <c r="F271" s="9" t="inlineStr">
        <is>
          <t>Lý Thái Tổ</t>
        </is>
      </c>
      <c r="G271" s="8" t="inlineStr">
        <is>
          <t>Phường Diên Hồng</t>
        </is>
      </c>
      <c r="H271" s="8" t="inlineStr">
        <is>
          <t>Ia Kring</t>
        </is>
      </c>
      <c r="I271" s="9" t="inlineStr"/>
      <c r="J271" s="9" t="inlineStr">
        <is>
          <t>Danh sách tham khảo</t>
        </is>
      </c>
      <c r="K271" s="11" t="inlineStr">
        <is>
          <t>Bản đồ</t>
        </is>
      </c>
      <c r="L271" s="12" t="n"/>
      <c r="M271" s="13" t="n"/>
      <c r="N271" s="13" t="n"/>
      <c r="O271" s="13" t="n"/>
      <c r="P271" s="13" t="n"/>
      <c r="Q271" s="13" t="n"/>
      <c r="R271" s="13" t="n"/>
    </row>
    <row r="272">
      <c r="A272" s="8" t="n">
        <v>268</v>
      </c>
      <c r="B272" s="8" t="inlineStr">
        <is>
          <t>PK-268</t>
        </is>
      </c>
      <c r="C272" s="9" t="inlineStr">
        <is>
          <t>Oh Dzoo Quán</t>
        </is>
      </c>
      <c r="D272" s="8" t="inlineStr">
        <is>
          <t>Nhà hàng</t>
        </is>
      </c>
      <c r="E272" s="9" t="inlineStr">
        <is>
          <t>80 Nguyễn An Ninh, Phường Ia Kring, TP. Pleiku</t>
        </is>
      </c>
      <c r="F272" s="9" t="inlineStr">
        <is>
          <t>Nguyễn An Ninh</t>
        </is>
      </c>
      <c r="G272" s="8" t="inlineStr">
        <is>
          <t>Phường Diên Hồng</t>
        </is>
      </c>
      <c r="H272" s="8" t="inlineStr">
        <is>
          <t>Ia Kring</t>
        </is>
      </c>
      <c r="I272" s="9" t="inlineStr"/>
      <c r="J272" s="9" t="inlineStr">
        <is>
          <t>Danh sách tham khảo</t>
        </is>
      </c>
      <c r="K272" s="11" t="inlineStr">
        <is>
          <t>Bản đồ</t>
        </is>
      </c>
      <c r="L272" s="12" t="n"/>
      <c r="M272" s="13" t="n"/>
      <c r="N272" s="13" t="n"/>
      <c r="O272" s="13" t="n"/>
      <c r="P272" s="13" t="n"/>
      <c r="Q272" s="13" t="n"/>
      <c r="R272" s="13" t="n"/>
    </row>
    <row r="273">
      <c r="A273" s="8" t="n">
        <v>269</v>
      </c>
      <c r="B273" s="8" t="inlineStr">
        <is>
          <t>PK-269</t>
        </is>
      </c>
      <c r="C273" s="9" t="inlineStr">
        <is>
          <t>Mì Quảng - Mì Xứ Quảng</t>
        </is>
      </c>
      <c r="D273" s="8" t="inlineStr">
        <is>
          <t>Nhà hàng</t>
        </is>
      </c>
      <c r="E273" s="9" t="inlineStr">
        <is>
          <t>86A Nguyễn An Ninh, Phường Ia Kring, TP. Pleiku</t>
        </is>
      </c>
      <c r="F273" s="9" t="inlineStr">
        <is>
          <t>Nguyễn An Ninh</t>
        </is>
      </c>
      <c r="G273" s="8" t="inlineStr">
        <is>
          <t>Phường Diên Hồng</t>
        </is>
      </c>
      <c r="H273" s="8" t="inlineStr">
        <is>
          <t>Ia Kring</t>
        </is>
      </c>
      <c r="I273" s="9" t="inlineStr"/>
      <c r="J273" s="9" t="inlineStr">
        <is>
          <t>Danh sách tham khảo</t>
        </is>
      </c>
      <c r="K273" s="11" t="inlineStr">
        <is>
          <t>Bản đồ</t>
        </is>
      </c>
      <c r="L273" s="12" t="n"/>
      <c r="M273" s="13" t="n"/>
      <c r="N273" s="13" t="n"/>
      <c r="O273" s="13" t="n"/>
      <c r="P273" s="13" t="n"/>
      <c r="Q273" s="13" t="n"/>
      <c r="R273" s="13" t="n"/>
    </row>
    <row r="274">
      <c r="A274" s="8" t="n">
        <v>270</v>
      </c>
      <c r="B274" s="8" t="inlineStr">
        <is>
          <t>PK-270</t>
        </is>
      </c>
      <c r="C274" s="9" t="inlineStr">
        <is>
          <t>Mì Quảng</t>
        </is>
      </c>
      <c r="D274" s="8" t="inlineStr">
        <is>
          <t>Nhà hàng</t>
        </is>
      </c>
      <c r="E274" s="9" t="inlineStr">
        <is>
          <t>Nguyễn An Ninh</t>
        </is>
      </c>
      <c r="F274" s="9" t="inlineStr">
        <is>
          <t>Nguyễn An Ninh</t>
        </is>
      </c>
      <c r="G274" s="8" t="inlineStr">
        <is>
          <t>Phường Diên Hồng</t>
        </is>
      </c>
      <c r="H274" s="8" t="inlineStr"/>
      <c r="I274" s="10" t="inlineStr">
        <is>
          <t>Địa chỉ chưa có số nhà</t>
        </is>
      </c>
      <c r="J274" s="9" t="inlineStr">
        <is>
          <t>OpenStreetMap</t>
        </is>
      </c>
      <c r="K274" s="11" t="inlineStr">
        <is>
          <t>Bản đồ</t>
        </is>
      </c>
      <c r="L274" s="12" t="n"/>
      <c r="M274" s="13" t="n"/>
      <c r="N274" s="13" t="n"/>
      <c r="O274" s="13" t="n"/>
      <c r="P274" s="13" t="n"/>
      <c r="Q274" s="13" t="n"/>
      <c r="R274" s="13" t="n"/>
    </row>
    <row r="275">
      <c r="A275" s="8" t="n">
        <v>271</v>
      </c>
      <c r="B275" s="8" t="inlineStr">
        <is>
          <t>PK-271</t>
        </is>
      </c>
      <c r="C275" s="9" t="inlineStr">
        <is>
          <t>Quán ăn Pháp Paris</t>
        </is>
      </c>
      <c r="D275" s="8" t="inlineStr">
        <is>
          <t>Nhà hàng</t>
        </is>
      </c>
      <c r="E275" s="9" t="inlineStr">
        <is>
          <t>111 Nguyễn Đường, Phường Ia Kring, TP. Pleiku</t>
        </is>
      </c>
      <c r="F275" s="9" t="inlineStr">
        <is>
          <t>Nguyễn Đường</t>
        </is>
      </c>
      <c r="G275" s="8" t="inlineStr">
        <is>
          <t>Phường Diên Hồng</t>
        </is>
      </c>
      <c r="H275" s="8" t="inlineStr">
        <is>
          <t>Ia Kring</t>
        </is>
      </c>
      <c r="I275" s="10" t="inlineStr">
        <is>
          <t>Trùng vị trí với: Garden Cafe</t>
        </is>
      </c>
      <c r="J275" s="9" t="inlineStr">
        <is>
          <t>Danh sách tham khảo</t>
        </is>
      </c>
      <c r="K275" s="11" t="inlineStr">
        <is>
          <t>Bản đồ</t>
        </is>
      </c>
      <c r="L275" s="12" t="n"/>
      <c r="M275" s="13" t="n"/>
      <c r="N275" s="13" t="n"/>
      <c r="O275" s="13" t="n"/>
      <c r="P275" s="13" t="n"/>
      <c r="Q275" s="13" t="n"/>
      <c r="R275" s="13" t="n"/>
    </row>
    <row r="276">
      <c r="A276" s="8" t="n">
        <v>272</v>
      </c>
      <c r="B276" s="8" t="inlineStr">
        <is>
          <t>PK-272</t>
        </is>
      </c>
      <c r="C276" s="9" t="inlineStr">
        <is>
          <t>LẠC PHỐ Beer Garden- gà nướng sân vườn( ship tận nơi, )</t>
        </is>
      </c>
      <c r="D276" s="8" t="inlineStr">
        <is>
          <t>Nhà hàng</t>
        </is>
      </c>
      <c r="E276" s="9" t="inlineStr">
        <is>
          <t>94 Nguyễn Thái Bình, Phường Ia Kring, TP. Pleiku</t>
        </is>
      </c>
      <c r="F276" s="9" t="inlineStr">
        <is>
          <t>Nguyễn Thái Bình</t>
        </is>
      </c>
      <c r="G276" s="8" t="inlineStr">
        <is>
          <t>Phường Diên Hồng</t>
        </is>
      </c>
      <c r="H276" s="8" t="inlineStr">
        <is>
          <t>Ia Kring</t>
        </is>
      </c>
      <c r="I276" s="9" t="inlineStr"/>
      <c r="J276" s="9" t="inlineStr">
        <is>
          <t>Danh sách tham khảo</t>
        </is>
      </c>
      <c r="K276" s="11" t="inlineStr">
        <is>
          <t>Bản đồ</t>
        </is>
      </c>
      <c r="L276" s="12" t="n"/>
      <c r="M276" s="13" t="n"/>
      <c r="N276" s="13" t="n"/>
      <c r="O276" s="13" t="n"/>
      <c r="P276" s="13" t="n"/>
      <c r="Q276" s="13" t="n"/>
      <c r="R276" s="13" t="n"/>
    </row>
    <row r="277">
      <c r="A277" s="8" t="n">
        <v>273</v>
      </c>
      <c r="B277" s="8" t="inlineStr">
        <is>
          <t>PK-273</t>
        </is>
      </c>
      <c r="C277" s="9" t="inlineStr">
        <is>
          <t>Bún Ốc Bếp Du</t>
        </is>
      </c>
      <c r="D277" s="8" t="inlineStr">
        <is>
          <t>Nhà hàng</t>
        </is>
      </c>
      <c r="E277" s="9" t="inlineStr">
        <is>
          <t>12 Nguyễn Thị Minh Khai, Phường Yên Đỗ, TP. Pleiku</t>
        </is>
      </c>
      <c r="F277" s="9" t="inlineStr">
        <is>
          <t>Nguyễn Thị Minh Khai</t>
        </is>
      </c>
      <c r="G277" s="8" t="inlineStr">
        <is>
          <t>Phường Diên Hồng</t>
        </is>
      </c>
      <c r="H277" s="8" t="inlineStr">
        <is>
          <t>Yên Đỗ</t>
        </is>
      </c>
      <c r="I277" s="9" t="inlineStr"/>
      <c r="J277" s="9" t="inlineStr">
        <is>
          <t>Danh sách tham khảo</t>
        </is>
      </c>
      <c r="K277" s="11" t="inlineStr">
        <is>
          <t>Bản đồ</t>
        </is>
      </c>
      <c r="L277" s="12" t="n"/>
      <c r="M277" s="13" t="n"/>
      <c r="N277" s="13" t="n"/>
      <c r="O277" s="13" t="n"/>
      <c r="P277" s="13" t="n"/>
      <c r="Q277" s="13" t="n"/>
      <c r="R277" s="13" t="n"/>
    </row>
    <row r="278">
      <c r="A278" s="8" t="n">
        <v>274</v>
      </c>
      <c r="B278" s="8" t="inlineStr">
        <is>
          <t>PK-274</t>
        </is>
      </c>
      <c r="C278" s="9" t="inlineStr">
        <is>
          <t>Chợ Đêm Pleiku Gia Lai</t>
        </is>
      </c>
      <c r="D278" s="8" t="inlineStr">
        <is>
          <t>Nhà hàng</t>
        </is>
      </c>
      <c r="E278" s="9" t="inlineStr">
        <is>
          <t>40 Nguyễn Thiện Thuật, Phường Diên Hồng, TP. Pleiku</t>
        </is>
      </c>
      <c r="F278" s="9" t="inlineStr">
        <is>
          <t>Nguyễn Thiện Thuật</t>
        </is>
      </c>
      <c r="G278" s="8" t="inlineStr">
        <is>
          <t>Phường Diên Hồng</t>
        </is>
      </c>
      <c r="H278" s="8" t="inlineStr">
        <is>
          <t>Diên Hồng</t>
        </is>
      </c>
      <c r="I278" s="10" t="inlineStr">
        <is>
          <t>Có thể không phải quán ăn</t>
        </is>
      </c>
      <c r="J278" s="9" t="inlineStr">
        <is>
          <t>Danh sách tham khảo</t>
        </is>
      </c>
      <c r="K278" s="11" t="inlineStr">
        <is>
          <t>Bản đồ</t>
        </is>
      </c>
      <c r="L278" s="12" t="n"/>
      <c r="M278" s="13" t="n"/>
      <c r="N278" s="13" t="n"/>
      <c r="O278" s="13" t="n"/>
      <c r="P278" s="13" t="n"/>
      <c r="Q278" s="13" t="n"/>
      <c r="R278" s="13" t="n"/>
    </row>
    <row r="279">
      <c r="A279" s="8" t="n">
        <v>275</v>
      </c>
      <c r="B279" s="8" t="inlineStr">
        <is>
          <t>PK-275</t>
        </is>
      </c>
      <c r="C279" s="9" t="inlineStr">
        <is>
          <t>Bò Né 3s Ngon - Nguyễn Thiện Thuật</t>
        </is>
      </c>
      <c r="D279" s="8" t="inlineStr">
        <is>
          <t>Nhà hàng</t>
        </is>
      </c>
      <c r="E279" s="9" t="inlineStr">
        <is>
          <t>59 Nguyễn Thiện Thuật, Phường Tây Sơn, TP. Pleiku</t>
        </is>
      </c>
      <c r="F279" s="9" t="inlineStr">
        <is>
          <t>Nguyễn Thiện Thuật</t>
        </is>
      </c>
      <c r="G279" s="8" t="inlineStr">
        <is>
          <t>Phường Diên Hồng</t>
        </is>
      </c>
      <c r="H279" s="8" t="inlineStr">
        <is>
          <t>Tây Sơn</t>
        </is>
      </c>
      <c r="I279" s="10" t="inlineStr">
        <is>
          <t>Địa chỉ ghi Phường Tây Sơn nhưng vị trí thuộc Phường Diên Hồng</t>
        </is>
      </c>
      <c r="J279" s="9" t="inlineStr">
        <is>
          <t>Danh sách tham khảo</t>
        </is>
      </c>
      <c r="K279" s="11" t="inlineStr">
        <is>
          <t>Bản đồ</t>
        </is>
      </c>
      <c r="L279" s="12" t="n"/>
      <c r="M279" s="13" t="n"/>
      <c r="N279" s="13" t="n"/>
      <c r="O279" s="13" t="n"/>
      <c r="P279" s="13" t="n"/>
      <c r="Q279" s="13" t="n"/>
      <c r="R279" s="13" t="n"/>
    </row>
    <row r="280">
      <c r="A280" s="8" t="n">
        <v>276</v>
      </c>
      <c r="B280" s="8" t="inlineStr">
        <is>
          <t>PK-276</t>
        </is>
      </c>
      <c r="C280" s="9" t="inlineStr">
        <is>
          <t>Phở khô Hiệp</t>
        </is>
      </c>
      <c r="D280" s="8" t="inlineStr">
        <is>
          <t>Nhà hàng</t>
        </is>
      </c>
      <c r="E280" s="9" t="inlineStr">
        <is>
          <t>06 Nguyễn Trãi, Phường Yên Đỗ, TP. Pleiku</t>
        </is>
      </c>
      <c r="F280" s="9" t="inlineStr">
        <is>
          <t>Nguyễn Trãi</t>
        </is>
      </c>
      <c r="G280" s="8" t="inlineStr">
        <is>
          <t>Phường Diên Hồng</t>
        </is>
      </c>
      <c r="H280" s="8" t="inlineStr">
        <is>
          <t>Yên Đỗ</t>
        </is>
      </c>
      <c r="I280" s="9" t="inlineStr"/>
      <c r="J280" s="9" t="inlineStr">
        <is>
          <t>Danh sách tham khảo</t>
        </is>
      </c>
      <c r="K280" s="11" t="inlineStr">
        <is>
          <t>Bản đồ</t>
        </is>
      </c>
      <c r="L280" s="12" t="n"/>
      <c r="M280" s="13" t="n"/>
      <c r="N280" s="13" t="n"/>
      <c r="O280" s="13" t="n"/>
      <c r="P280" s="13" t="n"/>
      <c r="Q280" s="13" t="n"/>
      <c r="R280" s="13" t="n"/>
    </row>
    <row r="281">
      <c r="A281" s="8" t="n">
        <v>277</v>
      </c>
      <c r="B281" s="8" t="inlineStr">
        <is>
          <t>PK-277</t>
        </is>
      </c>
      <c r="C281" s="9" t="inlineStr">
        <is>
          <t>Quán Ăn Bà Gái</t>
        </is>
      </c>
      <c r="D281" s="8" t="inlineStr">
        <is>
          <t>Nhà hàng</t>
        </is>
      </c>
      <c r="E281" s="9" t="inlineStr">
        <is>
          <t>24 Nguyễn Trường Tộ, Phường Diên Hồng, TP. Pleiku</t>
        </is>
      </c>
      <c r="F281" s="9" t="inlineStr">
        <is>
          <t>Nguyễn Trường Tộ</t>
        </is>
      </c>
      <c r="G281" s="8" t="inlineStr">
        <is>
          <t>Phường Diên Hồng</t>
        </is>
      </c>
      <c r="H281" s="8" t="inlineStr">
        <is>
          <t>Diên Hồng</t>
        </is>
      </c>
      <c r="I281" s="9" t="inlineStr"/>
      <c r="J281" s="9" t="inlineStr">
        <is>
          <t>Danh sách tham khảo</t>
        </is>
      </c>
      <c r="K281" s="11" t="inlineStr">
        <is>
          <t>Bản đồ</t>
        </is>
      </c>
      <c r="L281" s="12" t="n"/>
      <c r="M281" s="13" t="n"/>
      <c r="N281" s="13" t="n"/>
      <c r="O281" s="13" t="n"/>
      <c r="P281" s="13" t="n"/>
      <c r="Q281" s="13" t="n"/>
      <c r="R281" s="13" t="n"/>
    </row>
    <row r="282">
      <c r="A282" s="8" t="n">
        <v>278</v>
      </c>
      <c r="B282" s="8" t="inlineStr">
        <is>
          <t>PK-278</t>
        </is>
      </c>
      <c r="C282" s="9" t="inlineStr">
        <is>
          <t>Quán Ăn Gái Nhỏ</t>
        </is>
      </c>
      <c r="D282" s="8" t="inlineStr">
        <is>
          <t>Nhà hàng</t>
        </is>
      </c>
      <c r="E282" s="9" t="inlineStr">
        <is>
          <t>30 Nguyễn Trường Tộ, Phường Diên Hồng, TP. Pleiku</t>
        </is>
      </c>
      <c r="F282" s="9" t="inlineStr">
        <is>
          <t>Nguyễn Trường Tộ</t>
        </is>
      </c>
      <c r="G282" s="8" t="inlineStr">
        <is>
          <t>Phường Diên Hồng</t>
        </is>
      </c>
      <c r="H282" s="8" t="inlineStr">
        <is>
          <t>Diên Hồng</t>
        </is>
      </c>
      <c r="I282" s="9" t="inlineStr"/>
      <c r="J282" s="9" t="inlineStr">
        <is>
          <t>Danh sách tham khảo</t>
        </is>
      </c>
      <c r="K282" s="11" t="inlineStr">
        <is>
          <t>Bản đồ</t>
        </is>
      </c>
      <c r="L282" s="12" t="n"/>
      <c r="M282" s="13" t="n"/>
      <c r="N282" s="13" t="n"/>
      <c r="O282" s="13" t="n"/>
      <c r="P282" s="13" t="n"/>
      <c r="Q282" s="13" t="n"/>
      <c r="R282" s="13" t="n"/>
    </row>
    <row r="283">
      <c r="A283" s="8" t="n">
        <v>279</v>
      </c>
      <c r="B283" s="8" t="inlineStr">
        <is>
          <t>PK-279</t>
        </is>
      </c>
      <c r="C283" s="9" t="inlineStr">
        <is>
          <t>Phở khô Bé Tư</t>
        </is>
      </c>
      <c r="D283" s="8" t="inlineStr">
        <is>
          <t>Nhà hàng</t>
        </is>
      </c>
      <c r="E283" s="9" t="inlineStr">
        <is>
          <t>244A Phan Đình Phùng, Phường Yên Đỗ, TP. Pleiku</t>
        </is>
      </c>
      <c r="F283" s="9" t="inlineStr">
        <is>
          <t>Phan Đình Phùng</t>
        </is>
      </c>
      <c r="G283" s="8" t="inlineStr">
        <is>
          <t>Phường Diên Hồng</t>
        </is>
      </c>
      <c r="H283" s="8" t="inlineStr">
        <is>
          <t>Yên Đỗ</t>
        </is>
      </c>
      <c r="I283" s="9" t="inlineStr"/>
      <c r="J283" s="9" t="inlineStr">
        <is>
          <t>Danh sách tham khảo</t>
        </is>
      </c>
      <c r="K283" s="11" t="inlineStr">
        <is>
          <t>Bản đồ</t>
        </is>
      </c>
      <c r="L283" s="12" t="n"/>
      <c r="M283" s="13" t="n"/>
      <c r="N283" s="13" t="n"/>
      <c r="O283" s="13" t="n"/>
      <c r="P283" s="13" t="n"/>
      <c r="Q283" s="13" t="n"/>
      <c r="R283" s="13" t="n"/>
    </row>
    <row r="284">
      <c r="A284" s="8" t="n">
        <v>280</v>
      </c>
      <c r="B284" s="8" t="inlineStr">
        <is>
          <t>PK-280</t>
        </is>
      </c>
      <c r="C284" s="9" t="inlineStr">
        <is>
          <t>Quan Co Bay</t>
        </is>
      </c>
      <c r="D284" s="8" t="inlineStr">
        <is>
          <t>Nhà hàng</t>
        </is>
      </c>
      <c r="E284" s="9" t="inlineStr">
        <is>
          <t>272 Phan Đình Phùng, Phường Yên Đỗ, TP. Pleiku</t>
        </is>
      </c>
      <c r="F284" s="9" t="inlineStr">
        <is>
          <t>Phan Đình Phùng</t>
        </is>
      </c>
      <c r="G284" s="8" t="inlineStr">
        <is>
          <t>Phường Diên Hồng</t>
        </is>
      </c>
      <c r="H284" s="8" t="inlineStr">
        <is>
          <t>Yên Đỗ</t>
        </is>
      </c>
      <c r="I284" s="9" t="inlineStr"/>
      <c r="J284" s="9" t="inlineStr">
        <is>
          <t>Danh sách tham khảo</t>
        </is>
      </c>
      <c r="K284" s="11" t="inlineStr">
        <is>
          <t>Bản đồ</t>
        </is>
      </c>
      <c r="L284" s="12" t="n"/>
      <c r="M284" s="13" t="n"/>
      <c r="N284" s="13" t="n"/>
      <c r="O284" s="13" t="n"/>
      <c r="P284" s="13" t="n"/>
      <c r="Q284" s="13" t="n"/>
      <c r="R284" s="13" t="n"/>
    </row>
    <row r="285">
      <c r="A285" s="8" t="n">
        <v>281</v>
      </c>
      <c r="B285" s="8" t="inlineStr">
        <is>
          <t>PK-281</t>
        </is>
      </c>
      <c r="C285" s="9" t="inlineStr">
        <is>
          <t>Cơm Niêu Ngọc Lâm</t>
        </is>
      </c>
      <c r="D285" s="8" t="inlineStr">
        <is>
          <t>Nhà hàng</t>
        </is>
      </c>
      <c r="E285" s="9" t="inlineStr">
        <is>
          <t>297 Phan Đình Phùng, Phường Yên Đỗ, TP. Pleiku</t>
        </is>
      </c>
      <c r="F285" s="9" t="inlineStr">
        <is>
          <t>Phan Đình Phùng</t>
        </is>
      </c>
      <c r="G285" s="8" t="inlineStr">
        <is>
          <t>Phường Diên Hồng</t>
        </is>
      </c>
      <c r="H285" s="8" t="inlineStr">
        <is>
          <t>Yên Đỗ</t>
        </is>
      </c>
      <c r="I285" s="10" t="inlineStr">
        <is>
          <t>Trùng vị trí với: Ngoc Lam; Đã có trên bản đồ – kiểm tra &amp; bổ sung</t>
        </is>
      </c>
      <c r="J285" s="9" t="inlineStr">
        <is>
          <t>Danh sách tham khảo, Hệ thống</t>
        </is>
      </c>
      <c r="K285" s="11" t="inlineStr">
        <is>
          <t>Bản đồ</t>
        </is>
      </c>
      <c r="L285" s="12" t="n"/>
      <c r="M285" s="13" t="n"/>
      <c r="N285" s="13" t="n"/>
      <c r="O285" s="13" t="n"/>
      <c r="P285" s="13" t="n"/>
      <c r="Q285" s="13" t="n"/>
      <c r="R285" s="13" t="n"/>
    </row>
    <row r="286">
      <c r="A286" s="8" t="n">
        <v>282</v>
      </c>
      <c r="B286" s="8" t="inlineStr">
        <is>
          <t>PK-282</t>
        </is>
      </c>
      <c r="C286" s="9" t="inlineStr">
        <is>
          <t>SÚP CUA MY PLEIKU GIA LAI</t>
        </is>
      </c>
      <c r="D286" s="8" t="inlineStr">
        <is>
          <t>Nhà hàng</t>
        </is>
      </c>
      <c r="E286" s="9" t="inlineStr">
        <is>
          <t>313 Phan Đình Phùng, Phường Diên Hồng, TP. Pleiku</t>
        </is>
      </c>
      <c r="F286" s="9" t="inlineStr">
        <is>
          <t>Phan Đình Phùng</t>
        </is>
      </c>
      <c r="G286" s="8" t="inlineStr">
        <is>
          <t>Phường Diên Hồng</t>
        </is>
      </c>
      <c r="H286" s="8" t="inlineStr">
        <is>
          <t>Diên Hồng</t>
        </is>
      </c>
      <c r="I286" s="9" t="inlineStr"/>
      <c r="J286" s="9" t="inlineStr">
        <is>
          <t>Danh sách tham khảo</t>
        </is>
      </c>
      <c r="K286" s="11" t="inlineStr">
        <is>
          <t>Bản đồ</t>
        </is>
      </c>
      <c r="L286" s="12" t="n"/>
      <c r="M286" s="13" t="n"/>
      <c r="N286" s="13" t="n"/>
      <c r="O286" s="13" t="n"/>
      <c r="P286" s="13" t="n"/>
      <c r="Q286" s="13" t="n"/>
      <c r="R286" s="13" t="n"/>
    </row>
    <row r="287">
      <c r="A287" s="8" t="n">
        <v>283</v>
      </c>
      <c r="B287" s="8" t="inlineStr">
        <is>
          <t>PK-283</t>
        </is>
      </c>
      <c r="C287" s="9" t="inlineStr">
        <is>
          <t>Coffee 118_QT</t>
        </is>
      </c>
      <c r="D287" s="8" t="inlineStr">
        <is>
          <t>Quán cà phê</t>
        </is>
      </c>
      <c r="E287" s="9" t="inlineStr">
        <is>
          <t>118 Quyết Tiến</t>
        </is>
      </c>
      <c r="F287" s="9" t="inlineStr">
        <is>
          <t>Quyết Tiến</t>
        </is>
      </c>
      <c r="G287" s="8" t="inlineStr">
        <is>
          <t>Phường Diên Hồng</t>
        </is>
      </c>
      <c r="H287" s="8" t="inlineStr"/>
      <c r="I287" s="9" t="inlineStr"/>
      <c r="J287" s="9" t="inlineStr">
        <is>
          <t>OpenStreetMap</t>
        </is>
      </c>
      <c r="K287" s="11" t="inlineStr">
        <is>
          <t>Bản đồ</t>
        </is>
      </c>
      <c r="L287" s="12" t="n"/>
      <c r="M287" s="13" t="n"/>
      <c r="N287" s="13" t="n"/>
      <c r="O287" s="13" t="n"/>
      <c r="P287" s="13" t="n"/>
      <c r="Q287" s="13" t="n"/>
      <c r="R287" s="13" t="n"/>
    </row>
    <row r="288">
      <c r="A288" s="8" t="n">
        <v>284</v>
      </c>
      <c r="B288" s="8" t="inlineStr">
        <is>
          <t>PK-284</t>
        </is>
      </c>
      <c r="C288" s="9" t="inlineStr">
        <is>
          <t>Bánh Xèo Bé Hai (Ngon nhất)</t>
        </is>
      </c>
      <c r="D288" s="8" t="inlineStr">
        <is>
          <t>Nhà hàng</t>
        </is>
      </c>
      <c r="E288" s="9" t="inlineStr">
        <is>
          <t>140 Quyết Tiến, Phường Diên Hồng, TP. Pleiku</t>
        </is>
      </c>
      <c r="F288" s="9" t="inlineStr">
        <is>
          <t>Quyết Tiến</t>
        </is>
      </c>
      <c r="G288" s="8" t="inlineStr">
        <is>
          <t>Phường Diên Hồng</t>
        </is>
      </c>
      <c r="H288" s="8" t="inlineStr">
        <is>
          <t>Diên Hồng</t>
        </is>
      </c>
      <c r="I288" s="9" t="inlineStr"/>
      <c r="J288" s="9" t="inlineStr">
        <is>
          <t>Danh sách tham khảo</t>
        </is>
      </c>
      <c r="K288" s="11" t="inlineStr">
        <is>
          <t>Bản đồ</t>
        </is>
      </c>
      <c r="L288" s="12" t="n"/>
      <c r="M288" s="13" t="n"/>
      <c r="N288" s="13" t="n"/>
      <c r="O288" s="13" t="n"/>
      <c r="P288" s="13" t="n"/>
      <c r="Q288" s="13" t="n"/>
      <c r="R288" s="13" t="n"/>
    </row>
    <row r="289">
      <c r="A289" s="8" t="n">
        <v>285</v>
      </c>
      <c r="B289" s="8" t="inlineStr">
        <is>
          <t>PK-285</t>
        </is>
      </c>
      <c r="C289" s="9" t="inlineStr">
        <is>
          <t>Cổng Công Viên Diên Hồng (Dien Hong Park)</t>
        </is>
      </c>
      <c r="D289" s="8" t="inlineStr">
        <is>
          <t>Nhà hàng</t>
        </is>
      </c>
      <c r="E289" s="9" t="inlineStr">
        <is>
          <t>154 Quyết Tiến, Phường Diên Hồng, TP. Pleiku</t>
        </is>
      </c>
      <c r="F289" s="9" t="inlineStr">
        <is>
          <t>Quyết Tiến</t>
        </is>
      </c>
      <c r="G289" s="8" t="inlineStr">
        <is>
          <t>Phường Diên Hồng</t>
        </is>
      </c>
      <c r="H289" s="8" t="inlineStr">
        <is>
          <t>Diên Hồng</t>
        </is>
      </c>
      <c r="I289" s="9" t="inlineStr"/>
      <c r="J289" s="9" t="inlineStr">
        <is>
          <t>Danh sách tham khảo</t>
        </is>
      </c>
      <c r="K289" s="11" t="inlineStr">
        <is>
          <t>Bản đồ</t>
        </is>
      </c>
      <c r="L289" s="12" t="n"/>
      <c r="M289" s="13" t="n"/>
      <c r="N289" s="13" t="n"/>
      <c r="O289" s="13" t="n"/>
      <c r="P289" s="13" t="n"/>
      <c r="Q289" s="13" t="n"/>
      <c r="R289" s="13" t="n"/>
    </row>
    <row r="290">
      <c r="A290" s="8" t="n">
        <v>286</v>
      </c>
      <c r="B290" s="8" t="inlineStr">
        <is>
          <t>PK-286</t>
        </is>
      </c>
      <c r="C290" s="9" t="inlineStr">
        <is>
          <t>Quán Ngon Xắp Xắp - 168A Quyết Tiến</t>
        </is>
      </c>
      <c r="D290" s="8" t="inlineStr">
        <is>
          <t>Nhà hàng</t>
        </is>
      </c>
      <c r="E290" s="9" t="inlineStr">
        <is>
          <t>168B Quyết Tiến, Phường Diên Hồng, TP. Pleiku</t>
        </is>
      </c>
      <c r="F290" s="9" t="inlineStr">
        <is>
          <t>Quyết Tiến</t>
        </is>
      </c>
      <c r="G290" s="8" t="inlineStr">
        <is>
          <t>Phường Diên Hồng</t>
        </is>
      </c>
      <c r="H290" s="8" t="inlineStr">
        <is>
          <t>Diên Hồng</t>
        </is>
      </c>
      <c r="I290" s="9" t="inlineStr"/>
      <c r="J290" s="9" t="inlineStr">
        <is>
          <t>Danh sách tham khảo</t>
        </is>
      </c>
      <c r="K290" s="11" t="inlineStr">
        <is>
          <t>Bản đồ</t>
        </is>
      </c>
      <c r="L290" s="12" t="n"/>
      <c r="M290" s="13" t="n"/>
      <c r="N290" s="13" t="n"/>
      <c r="O290" s="13" t="n"/>
      <c r="P290" s="13" t="n"/>
      <c r="Q290" s="13" t="n"/>
      <c r="R290" s="13" t="n"/>
    </row>
    <row r="291">
      <c r="A291" s="8" t="n">
        <v>287</v>
      </c>
      <c r="B291" s="8" t="inlineStr">
        <is>
          <t>PK-287</t>
        </is>
      </c>
      <c r="C291" s="9" t="inlineStr">
        <is>
          <t>Chả Ram Cô Công - Pleiku</t>
        </is>
      </c>
      <c r="D291" s="8" t="inlineStr">
        <is>
          <t>Nhà hàng</t>
        </is>
      </c>
      <c r="E291" s="9" t="inlineStr">
        <is>
          <t>176 Quyết Tiến, Phường Diên Hồng, TP. Pleiku</t>
        </is>
      </c>
      <c r="F291" s="9" t="inlineStr">
        <is>
          <t>Quyết Tiến</t>
        </is>
      </c>
      <c r="G291" s="8" t="inlineStr">
        <is>
          <t>Phường Diên Hồng</t>
        </is>
      </c>
      <c r="H291" s="8" t="inlineStr">
        <is>
          <t>Diên Hồng</t>
        </is>
      </c>
      <c r="I291" s="9" t="inlineStr"/>
      <c r="J291" s="9" t="inlineStr">
        <is>
          <t>Danh sách tham khảo</t>
        </is>
      </c>
      <c r="K291" s="11" t="inlineStr">
        <is>
          <t>Bản đồ</t>
        </is>
      </c>
      <c r="L291" s="12" t="n"/>
      <c r="M291" s="13" t="n"/>
      <c r="N291" s="13" t="n"/>
      <c r="O291" s="13" t="n"/>
      <c r="P291" s="13" t="n"/>
      <c r="Q291" s="13" t="n"/>
      <c r="R291" s="13" t="n"/>
    </row>
    <row r="292">
      <c r="A292" s="8" t="n">
        <v>288</v>
      </c>
      <c r="B292" s="8" t="inlineStr">
        <is>
          <t>PK-288</t>
        </is>
      </c>
      <c r="C292" s="9" t="inlineStr">
        <is>
          <t>Quán ăn Thái Lan KhunKhap</t>
        </is>
      </c>
      <c r="D292" s="8" t="inlineStr">
        <is>
          <t>Nhà hàng</t>
        </is>
      </c>
      <c r="E292" s="9" t="inlineStr">
        <is>
          <t>182 Quyết Tiến, Phường Diên Hồng, TP. Pleiku</t>
        </is>
      </c>
      <c r="F292" s="9" t="inlineStr">
        <is>
          <t>Quyết Tiến</t>
        </is>
      </c>
      <c r="G292" s="8" t="inlineStr">
        <is>
          <t>Phường Diên Hồng</t>
        </is>
      </c>
      <c r="H292" s="8" t="inlineStr">
        <is>
          <t>Diên Hồng</t>
        </is>
      </c>
      <c r="I292" s="9" t="inlineStr"/>
      <c r="J292" s="9" t="inlineStr">
        <is>
          <t>Danh sách tham khảo</t>
        </is>
      </c>
      <c r="K292" s="11" t="inlineStr">
        <is>
          <t>Bản đồ</t>
        </is>
      </c>
      <c r="L292" s="12" t="n"/>
      <c r="M292" s="13" t="n"/>
      <c r="N292" s="13" t="n"/>
      <c r="O292" s="13" t="n"/>
      <c r="P292" s="13" t="n"/>
      <c r="Q292" s="13" t="n"/>
      <c r="R292" s="13" t="n"/>
    </row>
    <row r="293">
      <c r="A293" s="8" t="n">
        <v>289</v>
      </c>
      <c r="B293" s="8" t="inlineStr">
        <is>
          <t>PK-289</t>
        </is>
      </c>
      <c r="C293" s="9" t="inlineStr">
        <is>
          <t>Robu Coffee</t>
        </is>
      </c>
      <c r="D293" s="8" t="inlineStr">
        <is>
          <t>Quán cà phê</t>
        </is>
      </c>
      <c r="E293" s="9" t="inlineStr">
        <is>
          <t>198 Quyết Tiến</t>
        </is>
      </c>
      <c r="F293" s="9" t="inlineStr">
        <is>
          <t>Quyết Tiến</t>
        </is>
      </c>
      <c r="G293" s="8" t="inlineStr">
        <is>
          <t>Phường Diên Hồng</t>
        </is>
      </c>
      <c r="H293" s="8" t="inlineStr"/>
      <c r="I293" s="9" t="inlineStr"/>
      <c r="J293" s="9" t="inlineStr">
        <is>
          <t>OpenStreetMap</t>
        </is>
      </c>
      <c r="K293" s="11" t="inlineStr">
        <is>
          <t>Bản đồ</t>
        </is>
      </c>
      <c r="L293" s="12" t="n"/>
      <c r="M293" s="13" t="n"/>
      <c r="N293" s="13" t="n"/>
      <c r="O293" s="13" t="n"/>
      <c r="P293" s="13" t="n"/>
      <c r="Q293" s="13" t="n"/>
      <c r="R293" s="13" t="n"/>
    </row>
    <row r="294">
      <c r="A294" s="8" t="n">
        <v>290</v>
      </c>
      <c r="B294" s="8" t="inlineStr">
        <is>
          <t>PK-290</t>
        </is>
      </c>
      <c r="C294" s="9" t="inlineStr">
        <is>
          <t>Bún Cua Cô Hương</t>
        </is>
      </c>
      <c r="D294" s="8" t="inlineStr">
        <is>
          <t>Nhà hàng</t>
        </is>
      </c>
      <c r="E294" s="9" t="inlineStr">
        <is>
          <t>206A Quyết Tiến, Phường Diên Hồng, TP. Pleiku</t>
        </is>
      </c>
      <c r="F294" s="9" t="inlineStr">
        <is>
          <t>Quyết Tiến</t>
        </is>
      </c>
      <c r="G294" s="8" t="inlineStr">
        <is>
          <t>Phường Diên Hồng</t>
        </is>
      </c>
      <c r="H294" s="8" t="inlineStr">
        <is>
          <t>Diên Hồng</t>
        </is>
      </c>
      <c r="I294" s="9" t="inlineStr"/>
      <c r="J294" s="9" t="inlineStr">
        <is>
          <t>Danh sách tham khảo</t>
        </is>
      </c>
      <c r="K294" s="11" t="inlineStr">
        <is>
          <t>Bản đồ</t>
        </is>
      </c>
      <c r="L294" s="12" t="n"/>
      <c r="M294" s="13" t="n"/>
      <c r="N294" s="13" t="n"/>
      <c r="O294" s="13" t="n"/>
      <c r="P294" s="13" t="n"/>
      <c r="Q294" s="13" t="n"/>
      <c r="R294" s="13" t="n"/>
    </row>
    <row r="295">
      <c r="A295" s="8" t="n">
        <v>291</v>
      </c>
      <c r="B295" s="8" t="inlineStr">
        <is>
          <t>PK-291</t>
        </is>
      </c>
      <c r="C295" s="9" t="inlineStr">
        <is>
          <t>Nhà Hàng Ý Thiếp</t>
        </is>
      </c>
      <c r="D295" s="8" t="inlineStr">
        <is>
          <t>Nhà hàng</t>
        </is>
      </c>
      <c r="E295" s="9" t="inlineStr">
        <is>
          <t>218 Quyết Tiến, Diên Hồng, Gia Lai 600000, Việt Nam</t>
        </is>
      </c>
      <c r="F295" s="9" t="inlineStr">
        <is>
          <t>Quyết Tiến</t>
        </is>
      </c>
      <c r="G295" s="8" t="inlineStr">
        <is>
          <t>Phường Diên Hồng</t>
        </is>
      </c>
      <c r="H295" s="8" t="inlineStr"/>
      <c r="I295" s="10" t="inlineStr">
        <is>
          <t>Đã có trên bản đồ – kiểm tra &amp; bổ sung</t>
        </is>
      </c>
      <c r="J295" s="9" t="inlineStr">
        <is>
          <t>Hệ thống</t>
        </is>
      </c>
      <c r="K295" s="11" t="inlineStr">
        <is>
          <t>Bản đồ</t>
        </is>
      </c>
      <c r="L295" s="12" t="n"/>
      <c r="M295" s="13" t="n"/>
      <c r="N295" s="13" t="n"/>
      <c r="O295" s="13" t="n"/>
      <c r="P295" s="13" t="n"/>
      <c r="Q295" s="13" t="n"/>
      <c r="R295" s="13" t="n"/>
    </row>
    <row r="296">
      <c r="A296" s="8" t="n">
        <v>292</v>
      </c>
      <c r="B296" s="8" t="inlineStr">
        <is>
          <t>PK-292</t>
        </is>
      </c>
      <c r="C296" s="9" t="inlineStr">
        <is>
          <t>Nhà Hàng Cơm Quê Gia Lai</t>
        </is>
      </c>
      <c r="D296" s="8" t="inlineStr">
        <is>
          <t>Nhà hàng</t>
        </is>
      </c>
      <c r="E296" s="9" t="inlineStr">
        <is>
          <t>26 Tân Tiến, Phường Diên Hồng, TP. Pleiku</t>
        </is>
      </c>
      <c r="F296" s="9" t="inlineStr">
        <is>
          <t>Tân Tiến</t>
        </is>
      </c>
      <c r="G296" s="8" t="inlineStr">
        <is>
          <t>Phường Diên Hồng</t>
        </is>
      </c>
      <c r="H296" s="8" t="inlineStr">
        <is>
          <t>Diên Hồng</t>
        </is>
      </c>
      <c r="I296" s="10" t="inlineStr">
        <is>
          <t>Đã có trên bản đồ – kiểm tra &amp; bổ sung</t>
        </is>
      </c>
      <c r="J296" s="9" t="inlineStr">
        <is>
          <t>Danh sách tham khảo, Hệ thống</t>
        </is>
      </c>
      <c r="K296" s="11" t="inlineStr">
        <is>
          <t>Bản đồ</t>
        </is>
      </c>
      <c r="L296" s="12" t="n"/>
      <c r="M296" s="13" t="n"/>
      <c r="N296" s="13" t="n"/>
      <c r="O296" s="13" t="n"/>
      <c r="P296" s="13" t="n"/>
      <c r="Q296" s="13" t="n"/>
      <c r="R296" s="13" t="n"/>
    </row>
    <row r="297">
      <c r="A297" s="8" t="n">
        <v>293</v>
      </c>
      <c r="B297" s="8" t="inlineStr">
        <is>
          <t>PK-293</t>
        </is>
      </c>
      <c r="C297" s="9" t="inlineStr">
        <is>
          <t>Ngon Avatar Coffee - Tăng Bạt Hổ</t>
        </is>
      </c>
      <c r="D297" s="8" t="inlineStr">
        <is>
          <t>Quán cà phê</t>
        </is>
      </c>
      <c r="E297" s="9" t="inlineStr">
        <is>
          <t>1 Tăng Bạt Hổ, Diên Hồng, Gia Lai 61000, Việt Nam</t>
        </is>
      </c>
      <c r="F297" s="9" t="inlineStr">
        <is>
          <t>Tăng Bạt Hổ</t>
        </is>
      </c>
      <c r="G297" s="8" t="inlineStr">
        <is>
          <t>Phường Diên Hồng</t>
        </is>
      </c>
      <c r="H297" s="8" t="inlineStr"/>
      <c r="I297" s="10" t="inlineStr">
        <is>
          <t>Đã có trên bản đồ – kiểm tra &amp; bổ sung</t>
        </is>
      </c>
      <c r="J297" s="9" t="inlineStr">
        <is>
          <t>Hệ thống</t>
        </is>
      </c>
      <c r="K297" s="11" t="inlineStr">
        <is>
          <t>Bản đồ</t>
        </is>
      </c>
      <c r="L297" s="12" t="n"/>
      <c r="M297" s="13" t="n"/>
      <c r="N297" s="13" t="n"/>
      <c r="O297" s="13" t="n"/>
      <c r="P297" s="13" t="n"/>
      <c r="Q297" s="13" t="n"/>
      <c r="R297" s="13" t="n"/>
    </row>
    <row r="298">
      <c r="A298" s="8" t="n">
        <v>294</v>
      </c>
      <c r="B298" s="8" t="inlineStr">
        <is>
          <t>PK-294</t>
        </is>
      </c>
      <c r="C298" s="9" t="inlineStr">
        <is>
          <t>Quán Cơm Chay Thanh Thảo</t>
        </is>
      </c>
      <c r="D298" s="8" t="inlineStr">
        <is>
          <t>Nhà hàng</t>
        </is>
      </c>
      <c r="E298" s="9" t="inlineStr">
        <is>
          <t>32 Tăng Bạt Hổ, Phường Yên Đỗ, TP. Pleiku</t>
        </is>
      </c>
      <c r="F298" s="9" t="inlineStr">
        <is>
          <t>Tăng Bạt Hổ</t>
        </is>
      </c>
      <c r="G298" s="8" t="inlineStr">
        <is>
          <t>Phường Diên Hồng</t>
        </is>
      </c>
      <c r="H298" s="8" t="inlineStr">
        <is>
          <t>Yên Đỗ</t>
        </is>
      </c>
      <c r="I298" s="9" t="inlineStr"/>
      <c r="J298" s="9" t="inlineStr">
        <is>
          <t>Danh sách tham khảo</t>
        </is>
      </c>
      <c r="K298" s="11" t="inlineStr">
        <is>
          <t>Bản đồ</t>
        </is>
      </c>
      <c r="L298" s="12" t="n"/>
      <c r="M298" s="13" t="n"/>
      <c r="N298" s="13" t="n"/>
      <c r="O298" s="13" t="n"/>
      <c r="P298" s="13" t="n"/>
      <c r="Q298" s="13" t="n"/>
      <c r="R298" s="13" t="n"/>
    </row>
    <row r="299">
      <c r="A299" s="8" t="n">
        <v>295</v>
      </c>
      <c r="B299" s="8" t="inlineStr">
        <is>
          <t>PK-295</t>
        </is>
      </c>
      <c r="C299" s="9" t="inlineStr">
        <is>
          <t>Quán Chay An Nhiên</t>
        </is>
      </c>
      <c r="D299" s="8" t="inlineStr">
        <is>
          <t>Nhà hàng</t>
        </is>
      </c>
      <c r="E299" s="9" t="inlineStr">
        <is>
          <t>44 Tăng Bạt Hổ, Phường Yên Đỗ, TP. Pleiku</t>
        </is>
      </c>
      <c r="F299" s="9" t="inlineStr">
        <is>
          <t>Tăng Bạt Hổ</t>
        </is>
      </c>
      <c r="G299" s="8" t="inlineStr">
        <is>
          <t>Phường Diên Hồng</t>
        </is>
      </c>
      <c r="H299" s="8" t="inlineStr">
        <is>
          <t>Yên Đỗ</t>
        </is>
      </c>
      <c r="I299" s="9" t="inlineStr"/>
      <c r="J299" s="9" t="inlineStr">
        <is>
          <t>Danh sách tham khảo</t>
        </is>
      </c>
      <c r="K299" s="11" t="inlineStr">
        <is>
          <t>Bản đồ</t>
        </is>
      </c>
      <c r="L299" s="12" t="n"/>
      <c r="M299" s="13" t="n"/>
      <c r="N299" s="13" t="n"/>
      <c r="O299" s="13" t="n"/>
      <c r="P299" s="13" t="n"/>
      <c r="Q299" s="13" t="n"/>
      <c r="R299" s="13" t="n"/>
    </row>
    <row r="300">
      <c r="A300" s="8" t="n">
        <v>296</v>
      </c>
      <c r="B300" s="8" t="inlineStr">
        <is>
          <t>PK-296</t>
        </is>
      </c>
      <c r="C300" s="9" t="inlineStr">
        <is>
          <t>Quán Chay An Tâm</t>
        </is>
      </c>
      <c r="D300" s="8" t="inlineStr">
        <is>
          <t>Nhà hàng</t>
        </is>
      </c>
      <c r="E300" s="9" t="inlineStr">
        <is>
          <t>45 Tăng Bạt Hổ, Phường Yên Đỗ, TP. Pleiku</t>
        </is>
      </c>
      <c r="F300" s="9" t="inlineStr">
        <is>
          <t>Tăng Bạt Hổ</t>
        </is>
      </c>
      <c r="G300" s="8" t="inlineStr">
        <is>
          <t>Phường Diên Hồng</t>
        </is>
      </c>
      <c r="H300" s="8" t="inlineStr">
        <is>
          <t>Yên Đỗ</t>
        </is>
      </c>
      <c r="I300" s="10" t="inlineStr">
        <is>
          <t>Trùng vị trí với: Quán Cơm Chay An Bình, Bánh mì chay</t>
        </is>
      </c>
      <c r="J300" s="9" t="inlineStr">
        <is>
          <t>Danh sách tham khảo</t>
        </is>
      </c>
      <c r="K300" s="11" t="inlineStr">
        <is>
          <t>Bản đồ</t>
        </is>
      </c>
      <c r="L300" s="12" t="n"/>
      <c r="M300" s="13" t="n"/>
      <c r="N300" s="13" t="n"/>
      <c r="O300" s="13" t="n"/>
      <c r="P300" s="13" t="n"/>
      <c r="Q300" s="13" t="n"/>
      <c r="R300" s="13" t="n"/>
    </row>
    <row r="301">
      <c r="A301" s="8" t="n">
        <v>297</v>
      </c>
      <c r="B301" s="8" t="inlineStr">
        <is>
          <t>PK-297</t>
        </is>
      </c>
      <c r="C301" s="9" t="inlineStr">
        <is>
          <t>Quán Cơm Chay An Bình</t>
        </is>
      </c>
      <c r="D301" s="8" t="inlineStr">
        <is>
          <t>Nhà hàng</t>
        </is>
      </c>
      <c r="E301" s="9" t="inlineStr">
        <is>
          <t>49 Tăng Bạt Hổ, Phường Yên Đỗ, TP. Pleiku</t>
        </is>
      </c>
      <c r="F301" s="9" t="inlineStr">
        <is>
          <t>Tăng Bạt Hổ</t>
        </is>
      </c>
      <c r="G301" s="8" t="inlineStr">
        <is>
          <t>Phường Diên Hồng</t>
        </is>
      </c>
      <c r="H301" s="8" t="inlineStr">
        <is>
          <t>Yên Đỗ</t>
        </is>
      </c>
      <c r="I301" s="10" t="inlineStr">
        <is>
          <t>Trùng vị trí với: Quán Chay An Tâm, Bánh mì chay</t>
        </is>
      </c>
      <c r="J301" s="9" t="inlineStr">
        <is>
          <t>Danh sách tham khảo</t>
        </is>
      </c>
      <c r="K301" s="11" t="inlineStr">
        <is>
          <t>Bản đồ</t>
        </is>
      </c>
      <c r="L301" s="12" t="n"/>
      <c r="M301" s="13" t="n"/>
      <c r="N301" s="13" t="n"/>
      <c r="O301" s="13" t="n"/>
      <c r="P301" s="13" t="n"/>
      <c r="Q301" s="13" t="n"/>
      <c r="R301" s="13" t="n"/>
    </row>
    <row r="302">
      <c r="A302" s="8" t="n">
        <v>298</v>
      </c>
      <c r="B302" s="8" t="inlineStr">
        <is>
          <t>PK-298</t>
        </is>
      </c>
      <c r="C302" s="9" t="inlineStr">
        <is>
          <t>Tiệm Ăn Âu Việt</t>
        </is>
      </c>
      <c r="D302" s="8" t="inlineStr">
        <is>
          <t>Nhà hàng</t>
        </is>
      </c>
      <c r="E302" s="9" t="inlineStr">
        <is>
          <t>81 Tăng Bạt Hổ, Phường Yên Đỗ, TP. Pleiku</t>
        </is>
      </c>
      <c r="F302" s="9" t="inlineStr">
        <is>
          <t>Tăng Bạt Hổ</t>
        </is>
      </c>
      <c r="G302" s="8" t="inlineStr">
        <is>
          <t>Phường Diên Hồng</t>
        </is>
      </c>
      <c r="H302" s="8" t="inlineStr">
        <is>
          <t>Yên Đỗ</t>
        </is>
      </c>
      <c r="I302" s="10" t="inlineStr">
        <is>
          <t>Đã có trên bản đồ – kiểm tra &amp; bổ sung</t>
        </is>
      </c>
      <c r="J302" s="9" t="inlineStr">
        <is>
          <t>Danh sách tham khảo, Hệ thống</t>
        </is>
      </c>
      <c r="K302" s="11" t="inlineStr">
        <is>
          <t>Bản đồ</t>
        </is>
      </c>
      <c r="L302" s="12" t="n"/>
      <c r="M302" s="13" t="n"/>
      <c r="N302" s="13" t="n"/>
      <c r="O302" s="13" t="n"/>
      <c r="P302" s="13" t="n"/>
      <c r="Q302" s="13" t="n"/>
      <c r="R302" s="13" t="n"/>
    </row>
    <row r="303">
      <c r="A303" s="8" t="n">
        <v>299</v>
      </c>
      <c r="B303" s="8" t="inlineStr">
        <is>
          <t>PK-299</t>
        </is>
      </c>
      <c r="C303" s="9" t="inlineStr">
        <is>
          <t>1986 Coffee</t>
        </is>
      </c>
      <c r="D303" s="8" t="inlineStr">
        <is>
          <t>Quán cà phê</t>
        </is>
      </c>
      <c r="E303" s="9" t="inlineStr">
        <is>
          <t>85 Tăng Bạt Hổ</t>
        </is>
      </c>
      <c r="F303" s="9" t="inlineStr">
        <is>
          <t>Tăng Bạt Hổ</t>
        </is>
      </c>
      <c r="G303" s="8" t="inlineStr">
        <is>
          <t>Phường Diên Hồng</t>
        </is>
      </c>
      <c r="H303" s="8" t="inlineStr"/>
      <c r="I303" s="9" t="inlineStr"/>
      <c r="J303" s="9" t="inlineStr">
        <is>
          <t>OpenStreetMap</t>
        </is>
      </c>
      <c r="K303" s="11" t="inlineStr">
        <is>
          <t>Bản đồ</t>
        </is>
      </c>
      <c r="L303" s="12" t="n"/>
      <c r="M303" s="13" t="n"/>
      <c r="N303" s="13" t="n"/>
      <c r="O303" s="13" t="n"/>
      <c r="P303" s="13" t="n"/>
      <c r="Q303" s="13" t="n"/>
      <c r="R303" s="13" t="n"/>
    </row>
    <row r="304">
      <c r="A304" s="8" t="n">
        <v>300</v>
      </c>
      <c r="B304" s="8" t="inlineStr">
        <is>
          <t>PK-300</t>
        </is>
      </c>
      <c r="C304" s="9" t="inlineStr">
        <is>
          <t>Kumori Sushi - Quán ăn Nhật Bản</t>
        </is>
      </c>
      <c r="D304" s="8" t="inlineStr">
        <is>
          <t>Nhà hàng</t>
        </is>
      </c>
      <c r="E304" s="9" t="inlineStr">
        <is>
          <t>04 Thống Nhất, Phường Thống Nhất, TP. Pleiku</t>
        </is>
      </c>
      <c r="F304" s="9" t="inlineStr">
        <is>
          <t>Thống Nhất</t>
        </is>
      </c>
      <c r="G304" s="8" t="inlineStr">
        <is>
          <t>Phường Diên Hồng</t>
        </is>
      </c>
      <c r="H304" s="8" t="inlineStr">
        <is>
          <t>Thống Nhất</t>
        </is>
      </c>
      <c r="I304" s="10" t="inlineStr">
        <is>
          <t>Địa chỉ ghi Phường Thống Nhất nhưng vị trí thuộc Phường Diên Hồng</t>
        </is>
      </c>
      <c r="J304" s="9" t="inlineStr">
        <is>
          <t>Danh sách tham khảo</t>
        </is>
      </c>
      <c r="K304" s="11" t="inlineStr">
        <is>
          <t>Bản đồ</t>
        </is>
      </c>
      <c r="L304" s="12" t="n"/>
      <c r="M304" s="13" t="n"/>
      <c r="N304" s="13" t="n"/>
      <c r="O304" s="13" t="n"/>
      <c r="P304" s="13" t="n"/>
      <c r="Q304" s="13" t="n"/>
      <c r="R304" s="13" t="n"/>
    </row>
    <row r="305">
      <c r="A305" s="8" t="n">
        <v>301</v>
      </c>
      <c r="B305" s="8" t="inlineStr">
        <is>
          <t>PK-301</t>
        </is>
      </c>
      <c r="C305" s="9" t="inlineStr">
        <is>
          <t>Nhà hàng Dê Núi Năm Phong</t>
        </is>
      </c>
      <c r="D305" s="8" t="inlineStr">
        <is>
          <t>Nhà hàng</t>
        </is>
      </c>
      <c r="E305" s="9" t="inlineStr">
        <is>
          <t>16 Thống Nhất, Phường Thống Nhất, TP. Pleiku</t>
        </is>
      </c>
      <c r="F305" s="9" t="inlineStr">
        <is>
          <t>Thống Nhất</t>
        </is>
      </c>
      <c r="G305" s="8" t="inlineStr">
        <is>
          <t>Phường Diên Hồng</t>
        </is>
      </c>
      <c r="H305" s="8" t="inlineStr">
        <is>
          <t>Thống Nhất</t>
        </is>
      </c>
      <c r="I305" s="10" t="inlineStr">
        <is>
          <t>Địa chỉ ghi Phường Thống Nhất nhưng vị trí thuộc Phường Diên Hồng</t>
        </is>
      </c>
      <c r="J305" s="9" t="inlineStr">
        <is>
          <t>Danh sách tham khảo</t>
        </is>
      </c>
      <c r="K305" s="11" t="inlineStr">
        <is>
          <t>Bản đồ</t>
        </is>
      </c>
      <c r="L305" s="12" t="n"/>
      <c r="M305" s="13" t="n"/>
      <c r="N305" s="13" t="n"/>
      <c r="O305" s="13" t="n"/>
      <c r="P305" s="13" t="n"/>
      <c r="Q305" s="13" t="n"/>
      <c r="R305" s="13" t="n"/>
    </row>
    <row r="306">
      <c r="A306" s="8" t="n">
        <v>302</v>
      </c>
      <c r="B306" s="8" t="inlineStr">
        <is>
          <t>PK-302</t>
        </is>
      </c>
      <c r="C306" s="9" t="inlineStr">
        <is>
          <t>Mộc Quán - Bia Hơi Hà Nội</t>
        </is>
      </c>
      <c r="D306" s="8" t="inlineStr">
        <is>
          <t>Nhà hàng</t>
        </is>
      </c>
      <c r="E306" s="9" t="inlineStr">
        <is>
          <t>56 Thống Nhất, Phường Thống Nhất, TP. Pleiku</t>
        </is>
      </c>
      <c r="F306" s="9" t="inlineStr">
        <is>
          <t>Thống Nhất</t>
        </is>
      </c>
      <c r="G306" s="8" t="inlineStr">
        <is>
          <t>Phường Diên Hồng</t>
        </is>
      </c>
      <c r="H306" s="8" t="inlineStr">
        <is>
          <t>Thống Nhất</t>
        </is>
      </c>
      <c r="I306" s="10" t="inlineStr">
        <is>
          <t>Địa chỉ ghi Phường Thống Nhất nhưng vị trí thuộc Phường Diên Hồng</t>
        </is>
      </c>
      <c r="J306" s="9" t="inlineStr">
        <is>
          <t>Danh sách tham khảo</t>
        </is>
      </c>
      <c r="K306" s="11" t="inlineStr">
        <is>
          <t>Bản đồ</t>
        </is>
      </c>
      <c r="L306" s="12" t="n"/>
      <c r="M306" s="13" t="n"/>
      <c r="N306" s="13" t="n"/>
      <c r="O306" s="13" t="n"/>
      <c r="P306" s="13" t="n"/>
      <c r="Q306" s="13" t="n"/>
      <c r="R306" s="13" t="n"/>
    </row>
    <row r="307">
      <c r="A307" s="8" t="n">
        <v>303</v>
      </c>
      <c r="B307" s="8" t="inlineStr">
        <is>
          <t>PK-303</t>
        </is>
      </c>
      <c r="C307" s="9" t="inlineStr">
        <is>
          <t>Kumori Sushi - Quán ăn Nhật Bản tại Pleiku</t>
        </is>
      </c>
      <c r="D307" s="8" t="inlineStr">
        <is>
          <t>Nhà hàng</t>
        </is>
      </c>
      <c r="E307" s="9" t="inlineStr">
        <is>
          <t>117a Thống Nhất</t>
        </is>
      </c>
      <c r="F307" s="9" t="inlineStr">
        <is>
          <t>Thống Nhất</t>
        </is>
      </c>
      <c r="G307" s="8" t="inlineStr">
        <is>
          <t>Phường Diên Hồng</t>
        </is>
      </c>
      <c r="H307" s="8" t="inlineStr"/>
      <c r="I307" s="9" t="inlineStr"/>
      <c r="J307" s="9" t="inlineStr">
        <is>
          <t>OpenStreetMap</t>
        </is>
      </c>
      <c r="K307" s="11" t="inlineStr">
        <is>
          <t>Bản đồ</t>
        </is>
      </c>
      <c r="L307" s="12" t="n"/>
      <c r="M307" s="13" t="n"/>
      <c r="N307" s="13" t="n"/>
      <c r="O307" s="13" t="n"/>
      <c r="P307" s="13" t="n"/>
      <c r="Q307" s="13" t="n"/>
      <c r="R307" s="13" t="n"/>
    </row>
    <row r="308">
      <c r="A308" s="8" t="n">
        <v>304</v>
      </c>
      <c r="B308" s="8" t="inlineStr">
        <is>
          <t>PK-304</t>
        </is>
      </c>
      <c r="C308" s="9" t="inlineStr">
        <is>
          <t>Kalai Coffee</t>
        </is>
      </c>
      <c r="D308" s="8" t="inlineStr">
        <is>
          <t>Quán cà phê</t>
        </is>
      </c>
      <c r="E308" s="9" t="inlineStr">
        <is>
          <t>Thống Nhất</t>
        </is>
      </c>
      <c r="F308" s="9" t="inlineStr">
        <is>
          <t>Thống Nhất</t>
        </is>
      </c>
      <c r="G308" s="8" t="inlineStr">
        <is>
          <t>Phường Diên Hồng</t>
        </is>
      </c>
      <c r="H308" s="8" t="inlineStr"/>
      <c r="I308" s="10" t="inlineStr">
        <is>
          <t>Địa chỉ chưa có số nhà</t>
        </is>
      </c>
      <c r="J308" s="9" t="inlineStr">
        <is>
          <t>OpenStreetMap</t>
        </is>
      </c>
      <c r="K308" s="11" t="inlineStr">
        <is>
          <t>Bản đồ</t>
        </is>
      </c>
      <c r="L308" s="12" t="n"/>
      <c r="M308" s="13" t="n"/>
      <c r="N308" s="13" t="n"/>
      <c r="O308" s="13" t="n"/>
      <c r="P308" s="13" t="n"/>
      <c r="Q308" s="13" t="n"/>
      <c r="R308" s="13" t="n"/>
    </row>
    <row r="309">
      <c r="A309" s="8" t="n">
        <v>305</v>
      </c>
      <c r="B309" s="8" t="inlineStr">
        <is>
          <t>PK-305</t>
        </is>
      </c>
      <c r="C309" s="9" t="inlineStr">
        <is>
          <t>Quán Cơm Tấm</t>
        </is>
      </c>
      <c r="D309" s="8" t="inlineStr">
        <is>
          <t>Nhà hàng</t>
        </is>
      </c>
      <c r="E309" s="9" t="inlineStr">
        <is>
          <t>69 Trần Phú, Phường Hội Thương, TP. Pleiku</t>
        </is>
      </c>
      <c r="F309" s="9" t="inlineStr">
        <is>
          <t>Trần Phú</t>
        </is>
      </c>
      <c r="G309" s="8" t="inlineStr">
        <is>
          <t>Phường Diên Hồng</t>
        </is>
      </c>
      <c r="H309" s="8" t="inlineStr">
        <is>
          <t>Hội Thương</t>
        </is>
      </c>
      <c r="I309" s="10" t="inlineStr">
        <is>
          <t>Địa chỉ ghi Phường Hội Thương nhưng vị trí thuộc Phường Diên Hồng</t>
        </is>
      </c>
      <c r="J309" s="9" t="inlineStr">
        <is>
          <t>Danh sách tham khảo</t>
        </is>
      </c>
      <c r="K309" s="11" t="inlineStr">
        <is>
          <t>Bản đồ</t>
        </is>
      </c>
      <c r="L309" s="12" t="n"/>
      <c r="M309" s="13" t="n"/>
      <c r="N309" s="13" t="n"/>
      <c r="O309" s="13" t="n"/>
      <c r="P309" s="13" t="n"/>
      <c r="Q309" s="13" t="n"/>
      <c r="R309" s="13" t="n"/>
    </row>
    <row r="310">
      <c r="A310" s="8" t="n">
        <v>306</v>
      </c>
      <c r="B310" s="8" t="inlineStr">
        <is>
          <t>PK-306</t>
        </is>
      </c>
      <c r="C310" s="9" t="inlineStr">
        <is>
          <t>Quán Phở Gia Truyền Nam Định</t>
        </is>
      </c>
      <c r="D310" s="8" t="inlineStr">
        <is>
          <t>Nhà hàng</t>
        </is>
      </c>
      <c r="E310" s="9" t="inlineStr">
        <is>
          <t>131 Trần Phú, Phường Hội Thương, TP. Pleiku</t>
        </is>
      </c>
      <c r="F310" s="9" t="inlineStr">
        <is>
          <t>Trần Phú</t>
        </is>
      </c>
      <c r="G310" s="8" t="inlineStr">
        <is>
          <t>Phường Diên Hồng</t>
        </is>
      </c>
      <c r="H310" s="8" t="inlineStr">
        <is>
          <t>Hội Thương</t>
        </is>
      </c>
      <c r="I310" s="10" t="inlineStr">
        <is>
          <t>Địa chỉ ghi Phường Hội Thương nhưng vị trí thuộc Phường Diên Hồng</t>
        </is>
      </c>
      <c r="J310" s="9" t="inlineStr">
        <is>
          <t>Danh sách tham khảo</t>
        </is>
      </c>
      <c r="K310" s="11" t="inlineStr">
        <is>
          <t>Bản đồ</t>
        </is>
      </c>
      <c r="L310" s="12" t="n"/>
      <c r="M310" s="13" t="n"/>
      <c r="N310" s="13" t="n"/>
      <c r="O310" s="13" t="n"/>
      <c r="P310" s="13" t="n"/>
      <c r="Q310" s="13" t="n"/>
      <c r="R310" s="13" t="n"/>
    </row>
    <row r="311">
      <c r="A311" s="8" t="n">
        <v>307</v>
      </c>
      <c r="B311" s="8" t="inlineStr">
        <is>
          <t>PK-307</t>
        </is>
      </c>
      <c r="C311" s="9" t="inlineStr">
        <is>
          <t>Nha Khoa Thắng Lợi</t>
        </is>
      </c>
      <c r="D311" s="8" t="inlineStr">
        <is>
          <t>Nhà hàng</t>
        </is>
      </c>
      <c r="E311" s="9" t="inlineStr">
        <is>
          <t>178 Trần Phú, Phường Thắng Lợi, TP. Pleiku</t>
        </is>
      </c>
      <c r="F311" s="9" t="inlineStr">
        <is>
          <t>Trần Phú</t>
        </is>
      </c>
      <c r="G311" s="8" t="inlineStr">
        <is>
          <t>Phường Diên Hồng</t>
        </is>
      </c>
      <c r="H311" s="8" t="inlineStr">
        <is>
          <t>Thắng Lợi</t>
        </is>
      </c>
      <c r="I311" s="10" t="inlineStr">
        <is>
          <t>Địa chỉ ghi Phường Thắng Lợi nhưng vị trí thuộc Phường Diên Hồng</t>
        </is>
      </c>
      <c r="J311" s="9" t="inlineStr">
        <is>
          <t>Danh sách tham khảo</t>
        </is>
      </c>
      <c r="K311" s="11" t="inlineStr">
        <is>
          <t>Bản đồ</t>
        </is>
      </c>
      <c r="L311" s="12" t="n"/>
      <c r="M311" s="13" t="n"/>
      <c r="N311" s="13" t="n"/>
      <c r="O311" s="13" t="n"/>
      <c r="P311" s="13" t="n"/>
      <c r="Q311" s="13" t="n"/>
      <c r="R311" s="13" t="n"/>
    </row>
    <row r="312">
      <c r="A312" s="8" t="n">
        <v>308</v>
      </c>
      <c r="B312" s="8" t="inlineStr">
        <is>
          <t>PK-308</t>
        </is>
      </c>
      <c r="C312" s="9" t="inlineStr">
        <is>
          <t>Phở Gà Bảo Anh-Gia lai</t>
        </is>
      </c>
      <c r="D312" s="8" t="inlineStr">
        <is>
          <t>Nhà hàng</t>
        </is>
      </c>
      <c r="E312" s="9" t="inlineStr">
        <is>
          <t>251 Trần Phú, Phường Diên Hồng, TP. Pleiku</t>
        </is>
      </c>
      <c r="F312" s="9" t="inlineStr">
        <is>
          <t>Trần Phú</t>
        </is>
      </c>
      <c r="G312" s="8" t="inlineStr">
        <is>
          <t>Phường Diên Hồng</t>
        </is>
      </c>
      <c r="H312" s="8" t="inlineStr">
        <is>
          <t>Diên Hồng</t>
        </is>
      </c>
      <c r="I312" s="9" t="inlineStr"/>
      <c r="J312" s="9" t="inlineStr">
        <is>
          <t>Danh sách tham khảo</t>
        </is>
      </c>
      <c r="K312" s="11" t="inlineStr">
        <is>
          <t>Bản đồ</t>
        </is>
      </c>
      <c r="L312" s="12" t="n"/>
      <c r="M312" s="13" t="n"/>
      <c r="N312" s="13" t="n"/>
      <c r="O312" s="13" t="n"/>
      <c r="P312" s="13" t="n"/>
      <c r="Q312" s="13" t="n"/>
      <c r="R312" s="13" t="n"/>
    </row>
    <row r="313">
      <c r="A313" s="8" t="n">
        <v>309</v>
      </c>
      <c r="B313" s="8" t="inlineStr">
        <is>
          <t>PK-309</t>
        </is>
      </c>
      <c r="C313" s="9" t="inlineStr">
        <is>
          <t>Kopic Coffee</t>
        </is>
      </c>
      <c r="D313" s="8" t="inlineStr">
        <is>
          <t>Quán cà phê</t>
        </is>
      </c>
      <c r="E313" s="9" t="inlineStr">
        <is>
          <t>339 Trần Phú</t>
        </is>
      </c>
      <c r="F313" s="9" t="inlineStr">
        <is>
          <t>Trần Phú</t>
        </is>
      </c>
      <c r="G313" s="8" t="inlineStr">
        <is>
          <t>Phường Diên Hồng</t>
        </is>
      </c>
      <c r="H313" s="8" t="inlineStr"/>
      <c r="I313" s="9" t="inlineStr"/>
      <c r="J313" s="9" t="inlineStr">
        <is>
          <t>OpenStreetMap</t>
        </is>
      </c>
      <c r="K313" s="11" t="inlineStr">
        <is>
          <t>Bản đồ</t>
        </is>
      </c>
      <c r="L313" s="12" t="n"/>
      <c r="M313" s="13" t="n"/>
      <c r="N313" s="13" t="n"/>
      <c r="O313" s="13" t="n"/>
      <c r="P313" s="13" t="n"/>
      <c r="Q313" s="13" t="n"/>
      <c r="R313" s="13" t="n"/>
    </row>
    <row r="314">
      <c r="A314" s="8" t="n">
        <v>310</v>
      </c>
      <c r="B314" s="8" t="inlineStr">
        <is>
          <t>PK-310</t>
        </is>
      </c>
      <c r="C314" s="9" t="inlineStr">
        <is>
          <t>Quán Vạn xuân</t>
        </is>
      </c>
      <c r="D314" s="8" t="inlineStr">
        <is>
          <t>Nhà hàng</t>
        </is>
      </c>
      <c r="E314" s="9" t="inlineStr">
        <is>
          <t>03 Trần Quốc Toản</t>
        </is>
      </c>
      <c r="F314" s="9" t="inlineStr">
        <is>
          <t>Trần Quốc Toản</t>
        </is>
      </c>
      <c r="G314" s="8" t="inlineStr">
        <is>
          <t>Phường Diên Hồng</t>
        </is>
      </c>
      <c r="H314" s="8" t="inlineStr"/>
      <c r="I314" s="9" t="inlineStr"/>
      <c r="J314" s="9" t="inlineStr">
        <is>
          <t>OpenStreetMap</t>
        </is>
      </c>
      <c r="K314" s="11" t="inlineStr">
        <is>
          <t>Bản đồ</t>
        </is>
      </c>
      <c r="L314" s="12" t="n"/>
      <c r="M314" s="13" t="n"/>
      <c r="N314" s="13" t="n"/>
      <c r="O314" s="13" t="n"/>
      <c r="P314" s="13" t="n"/>
      <c r="Q314" s="13" t="n"/>
      <c r="R314" s="13" t="n"/>
    </row>
    <row r="315">
      <c r="A315" s="8" t="n">
        <v>311</v>
      </c>
      <c r="B315" s="8" t="inlineStr">
        <is>
          <t>PK-311</t>
        </is>
      </c>
      <c r="C315" s="9" t="inlineStr">
        <is>
          <t>Chicken Plus Võ Thị Sáu - Pleiku</t>
        </is>
      </c>
      <c r="D315" s="8" t="inlineStr">
        <is>
          <t>Nhà hàng</t>
        </is>
      </c>
      <c r="E315" s="9" t="inlineStr">
        <is>
          <t>18 Võ Thị Sáu, Phường Diên Hồng, TP. Pleiku</t>
        </is>
      </c>
      <c r="F315" s="9" t="inlineStr">
        <is>
          <t>Võ Thị Sáu</t>
        </is>
      </c>
      <c r="G315" s="8" t="inlineStr">
        <is>
          <t>Phường Diên Hồng</t>
        </is>
      </c>
      <c r="H315" s="8" t="inlineStr">
        <is>
          <t>Diên Hồng</t>
        </is>
      </c>
      <c r="I315" s="9" t="inlineStr"/>
      <c r="J315" s="9" t="inlineStr">
        <is>
          <t>Danh sách tham khảo</t>
        </is>
      </c>
      <c r="K315" s="11" t="inlineStr">
        <is>
          <t>Bản đồ</t>
        </is>
      </c>
      <c r="L315" s="12" t="n"/>
      <c r="M315" s="13" t="n"/>
      <c r="N315" s="13" t="n"/>
      <c r="O315" s="13" t="n"/>
      <c r="P315" s="13" t="n"/>
      <c r="Q315" s="13" t="n"/>
      <c r="R315" s="13" t="n"/>
    </row>
    <row r="316">
      <c r="A316" s="8" t="n">
        <v>312</v>
      </c>
      <c r="B316" s="8" t="inlineStr">
        <is>
          <t>PK-312</t>
        </is>
      </c>
      <c r="C316" s="9" t="inlineStr">
        <is>
          <t>Passata Bistro</t>
        </is>
      </c>
      <c r="D316" s="8" t="inlineStr">
        <is>
          <t>Nhà hàng</t>
        </is>
      </c>
      <c r="E316" s="9" t="inlineStr">
        <is>
          <t>43 Võ Thị Sáu, Phường Diên Hồng, TP. Pleiku</t>
        </is>
      </c>
      <c r="F316" s="9" t="inlineStr">
        <is>
          <t>Võ Thị Sáu</t>
        </is>
      </c>
      <c r="G316" s="8" t="inlineStr">
        <is>
          <t>Phường Diên Hồng</t>
        </is>
      </c>
      <c r="H316" s="8" t="inlineStr">
        <is>
          <t>Diên Hồng</t>
        </is>
      </c>
      <c r="I316" s="10" t="inlineStr">
        <is>
          <t>Đã có trên bản đồ – kiểm tra &amp; bổ sung</t>
        </is>
      </c>
      <c r="J316" s="9" t="inlineStr">
        <is>
          <t>Danh sách tham khảo, Hệ thống</t>
        </is>
      </c>
      <c r="K316" s="11" t="inlineStr">
        <is>
          <t>Bản đồ</t>
        </is>
      </c>
      <c r="L316" s="12" t="n"/>
      <c r="M316" s="13" t="n"/>
      <c r="N316" s="13" t="n"/>
      <c r="O316" s="13" t="n"/>
      <c r="P316" s="13" t="n"/>
      <c r="Q316" s="13" t="n"/>
      <c r="R316" s="13" t="n"/>
    </row>
    <row r="317">
      <c r="A317" s="8" t="n">
        <v>313</v>
      </c>
      <c r="B317" s="8" t="inlineStr">
        <is>
          <t>PK-313</t>
        </is>
      </c>
      <c r="C317" s="9" t="inlineStr">
        <is>
          <t>Nhà Hàng Thiên Đường Xanh</t>
        </is>
      </c>
      <c r="D317" s="8" t="inlineStr">
        <is>
          <t>Nhà hàng</t>
        </is>
      </c>
      <c r="E317" s="9" t="inlineStr">
        <is>
          <t>72 Võ Trung Thành, Phường Diên Hồng, TP. Pleiku</t>
        </is>
      </c>
      <c r="F317" s="9" t="inlineStr">
        <is>
          <t>Võ Trung Thành</t>
        </is>
      </c>
      <c r="G317" s="8" t="inlineStr">
        <is>
          <t>Phường Diên Hồng</t>
        </is>
      </c>
      <c r="H317" s="8" t="inlineStr">
        <is>
          <t>Diên Hồng</t>
        </is>
      </c>
      <c r="I317" s="9" t="inlineStr"/>
      <c r="J317" s="9" t="inlineStr">
        <is>
          <t>Danh sách tham khảo</t>
        </is>
      </c>
      <c r="K317" s="11" t="inlineStr">
        <is>
          <t>Bản đồ</t>
        </is>
      </c>
      <c r="L317" s="12" t="n"/>
      <c r="M317" s="13" t="n"/>
      <c r="N317" s="13" t="n"/>
      <c r="O317" s="13" t="n"/>
      <c r="P317" s="13" t="n"/>
      <c r="Q317" s="13" t="n"/>
      <c r="R317" s="13" t="n"/>
    </row>
    <row r="318">
      <c r="A318" s="8" t="n">
        <v>314</v>
      </c>
      <c r="B318" s="8" t="inlineStr">
        <is>
          <t>PK-314</t>
        </is>
      </c>
      <c r="C318" s="9" t="inlineStr">
        <is>
          <t>ỐC BI 97 Wừu</t>
        </is>
      </c>
      <c r="D318" s="8" t="inlineStr">
        <is>
          <t>Nhà hàng</t>
        </is>
      </c>
      <c r="E318" s="9" t="inlineStr">
        <is>
          <t>97 Đường Wừu, Phường Ia Kring, TP. Pleiku</t>
        </is>
      </c>
      <c r="F318" s="9" t="inlineStr">
        <is>
          <t>Wừu</t>
        </is>
      </c>
      <c r="G318" s="8" t="inlineStr">
        <is>
          <t>Phường Diên Hồng</t>
        </is>
      </c>
      <c r="H318" s="8" t="inlineStr">
        <is>
          <t>Ia Kring</t>
        </is>
      </c>
      <c r="I318" s="9" t="inlineStr"/>
      <c r="J318" s="9" t="inlineStr">
        <is>
          <t>Danh sách tham khảo</t>
        </is>
      </c>
      <c r="K318" s="11" t="inlineStr">
        <is>
          <t>Bản đồ</t>
        </is>
      </c>
      <c r="L318" s="12" t="n"/>
      <c r="M318" s="13" t="n"/>
      <c r="N318" s="13" t="n"/>
      <c r="O318" s="13" t="n"/>
      <c r="P318" s="13" t="n"/>
      <c r="Q318" s="13" t="n"/>
      <c r="R318" s="13" t="n"/>
    </row>
    <row r="319">
      <c r="A319" s="8" t="n">
        <v>315</v>
      </c>
      <c r="B319" s="8" t="inlineStr">
        <is>
          <t>PK-315</t>
        </is>
      </c>
      <c r="C319" s="9" t="inlineStr">
        <is>
          <t>TRÙM CƠM CHIÊN</t>
        </is>
      </c>
      <c r="D319" s="8" t="inlineStr">
        <is>
          <t>Nhà hàng</t>
        </is>
      </c>
      <c r="E319" s="9" t="inlineStr">
        <is>
          <t>132 Đường Wừu, Phường Ia Kring, TP. Pleiku</t>
        </is>
      </c>
      <c r="F319" s="9" t="inlineStr">
        <is>
          <t>Wừu</t>
        </is>
      </c>
      <c r="G319" s="8" t="inlineStr">
        <is>
          <t>Phường Diên Hồng</t>
        </is>
      </c>
      <c r="H319" s="8" t="inlineStr">
        <is>
          <t>Ia Kring</t>
        </is>
      </c>
      <c r="I319" s="9" t="inlineStr"/>
      <c r="J319" s="9" t="inlineStr">
        <is>
          <t>Danh sách tham khảo</t>
        </is>
      </c>
      <c r="K319" s="11" t="inlineStr">
        <is>
          <t>Bản đồ</t>
        </is>
      </c>
      <c r="L319" s="12" t="n"/>
      <c r="M319" s="13" t="n"/>
      <c r="N319" s="13" t="n"/>
      <c r="O319" s="13" t="n"/>
      <c r="P319" s="13" t="n"/>
      <c r="Q319" s="13" t="n"/>
      <c r="R319" s="13" t="n"/>
    </row>
    <row r="320">
      <c r="A320" s="8" t="n">
        <v>316</v>
      </c>
      <c r="B320" s="8" t="inlineStr">
        <is>
          <t>PK-316</t>
        </is>
      </c>
      <c r="C320" s="9" t="inlineStr">
        <is>
          <t>Dê Krông Pa</t>
        </is>
      </c>
      <c r="D320" s="8" t="inlineStr">
        <is>
          <t>Nhà hàng</t>
        </is>
      </c>
      <c r="E320" s="9" t="inlineStr">
        <is>
          <t>139 Wừu</t>
        </is>
      </c>
      <c r="F320" s="9" t="inlineStr">
        <is>
          <t>Wừu</t>
        </is>
      </c>
      <c r="G320" s="8" t="inlineStr">
        <is>
          <t>Phường Diên Hồng</t>
        </is>
      </c>
      <c r="H320" s="8" t="inlineStr"/>
      <c r="I320" s="9" t="inlineStr"/>
      <c r="J320" s="9" t="inlineStr">
        <is>
          <t>OpenStreetMap</t>
        </is>
      </c>
      <c r="K320" s="11" t="inlineStr">
        <is>
          <t>Bản đồ</t>
        </is>
      </c>
      <c r="L320" s="12" t="n"/>
      <c r="M320" s="13" t="n"/>
      <c r="N320" s="13" t="n"/>
      <c r="O320" s="13" t="n"/>
      <c r="P320" s="13" t="n"/>
      <c r="Q320" s="13" t="n"/>
      <c r="R320" s="13" t="n"/>
    </row>
    <row r="321">
      <c r="A321" s="8" t="n">
        <v>317</v>
      </c>
      <c r="B321" s="8" t="inlineStr">
        <is>
          <t>PK-317</t>
        </is>
      </c>
      <c r="C321" s="9" t="inlineStr">
        <is>
          <t>Nhà Hàng Lạc Viên Pleiku</t>
        </is>
      </c>
      <c r="D321" s="8" t="inlineStr">
        <is>
          <t>Nhà hàng</t>
        </is>
      </c>
      <c r="E321" s="9" t="inlineStr">
        <is>
          <t>159 Đường Wừu, Phường Hoa Lư, TP. Pleiku</t>
        </is>
      </c>
      <c r="F321" s="9" t="inlineStr">
        <is>
          <t>Wừu</t>
        </is>
      </c>
      <c r="G321" s="8" t="inlineStr">
        <is>
          <t>Phường Diên Hồng</t>
        </is>
      </c>
      <c r="H321" s="8" t="inlineStr">
        <is>
          <t>Hoa Lư</t>
        </is>
      </c>
      <c r="I321" s="10" t="inlineStr">
        <is>
          <t>Địa chỉ ghi Phường Hoa Lư nhưng vị trí thuộc Phường Diên Hồng; Đã có trên bản đồ – kiểm tra &amp; bổ sung</t>
        </is>
      </c>
      <c r="J321" s="9" t="inlineStr">
        <is>
          <t>Danh sách tham khảo, Hệ thống</t>
        </is>
      </c>
      <c r="K321" s="11" t="inlineStr">
        <is>
          <t>Bản đồ</t>
        </is>
      </c>
      <c r="L321" s="12" t="n"/>
      <c r="M321" s="13" t="n"/>
      <c r="N321" s="13" t="n"/>
      <c r="O321" s="13" t="n"/>
      <c r="P321" s="13" t="n"/>
      <c r="Q321" s="13" t="n"/>
      <c r="R321" s="13" t="n"/>
    </row>
    <row r="322">
      <c r="A322" s="8" t="n">
        <v>318</v>
      </c>
      <c r="B322" s="8" t="inlineStr">
        <is>
          <t>PK-318</t>
        </is>
      </c>
      <c r="C322" s="9" t="inlineStr">
        <is>
          <t>Cung Hỷ Restaurant</t>
        </is>
      </c>
      <c r="D322" s="8" t="inlineStr">
        <is>
          <t>Nhà hàng</t>
        </is>
      </c>
      <c r="E322" s="9" t="inlineStr">
        <is>
          <t>172 Đường Wừu, Phường Ia Kring, TP. Pleiku</t>
        </is>
      </c>
      <c r="F322" s="9" t="inlineStr">
        <is>
          <t>Wừu</t>
        </is>
      </c>
      <c r="G322" s="8" t="inlineStr">
        <is>
          <t>Phường Diên Hồng</t>
        </is>
      </c>
      <c r="H322" s="8" t="inlineStr">
        <is>
          <t>Ia Kring</t>
        </is>
      </c>
      <c r="I322" s="9" t="inlineStr"/>
      <c r="J322" s="9" t="inlineStr">
        <is>
          <t>Danh sách tham khảo</t>
        </is>
      </c>
      <c r="K322" s="11" t="inlineStr">
        <is>
          <t>Bản đồ</t>
        </is>
      </c>
      <c r="L322" s="12" t="n"/>
      <c r="M322" s="13" t="n"/>
      <c r="N322" s="13" t="n"/>
      <c r="O322" s="13" t="n"/>
      <c r="P322" s="13" t="n"/>
      <c r="Q322" s="13" t="n"/>
      <c r="R322" s="13" t="n"/>
    </row>
    <row r="323">
      <c r="A323" s="8" t="n">
        <v>319</v>
      </c>
      <c r="B323" s="8" t="inlineStr">
        <is>
          <t>PK-319</t>
        </is>
      </c>
      <c r="C323" s="9" t="inlineStr">
        <is>
          <t>Đặc sản Dê Krông Pa</t>
        </is>
      </c>
      <c r="D323" s="8" t="inlineStr">
        <is>
          <t>Nhà hàng</t>
        </is>
      </c>
      <c r="E323" s="9" t="inlineStr">
        <is>
          <t>199 Đường Wừu, Phường Ia Kring, TP. Pleiku</t>
        </is>
      </c>
      <c r="F323" s="9" t="inlineStr">
        <is>
          <t>Wừu</t>
        </is>
      </c>
      <c r="G323" s="8" t="inlineStr">
        <is>
          <t>Phường Diên Hồng</t>
        </is>
      </c>
      <c r="H323" s="8" t="inlineStr">
        <is>
          <t>Ia Kring</t>
        </is>
      </c>
      <c r="I323" s="10" t="inlineStr">
        <is>
          <t>Đã có trên bản đồ – kiểm tra &amp; bổ sung</t>
        </is>
      </c>
      <c r="J323" s="9" t="inlineStr">
        <is>
          <t>Danh sách tham khảo, Hệ thống</t>
        </is>
      </c>
      <c r="K323" s="11" t="inlineStr">
        <is>
          <t>Bản đồ</t>
        </is>
      </c>
      <c r="L323" s="12" t="n"/>
      <c r="M323" s="13" t="n"/>
      <c r="N323" s="13" t="n"/>
      <c r="O323" s="13" t="n"/>
      <c r="P323" s="13" t="n"/>
      <c r="Q323" s="13" t="n"/>
      <c r="R323" s="13" t="n"/>
    </row>
    <row r="324">
      <c r="A324" s="8" t="n">
        <v>320</v>
      </c>
      <c r="B324" s="8" t="inlineStr">
        <is>
          <t>PK-320</t>
        </is>
      </c>
      <c r="C324" s="9" t="inlineStr">
        <is>
          <t>Khu Du Lịch Hồ Diên Hồng</t>
        </is>
      </c>
      <c r="D324" s="8" t="inlineStr">
        <is>
          <t>Nhà hàng</t>
        </is>
      </c>
      <c r="E324" s="9" t="inlineStr">
        <is>
          <t>X2C2+F58, Nguyễn An Ninh, Phường Diên Hồng, TP. Pleiku</t>
        </is>
      </c>
      <c r="F324" s="9" t="inlineStr">
        <is>
          <t>X2C2+F58</t>
        </is>
      </c>
      <c r="G324" s="8" t="inlineStr">
        <is>
          <t>Phường Diên Hồng</t>
        </is>
      </c>
      <c r="H324" s="8" t="inlineStr">
        <is>
          <t>Diên Hồng</t>
        </is>
      </c>
      <c r="I324" s="10" t="inlineStr">
        <is>
          <t>Địa chỉ chưa có số nhà</t>
        </is>
      </c>
      <c r="J324" s="9" t="inlineStr">
        <is>
          <t>Danh sách tham khảo</t>
        </is>
      </c>
      <c r="K324" s="11" t="inlineStr">
        <is>
          <t>Bản đồ</t>
        </is>
      </c>
      <c r="L324" s="12" t="n"/>
      <c r="M324" s="13" t="n"/>
      <c r="N324" s="13" t="n"/>
      <c r="O324" s="13" t="n"/>
      <c r="P324" s="13" t="n"/>
      <c r="Q324" s="13" t="n"/>
      <c r="R324" s="13" t="n"/>
    </row>
    <row r="325">
      <c r="A325" s="8" t="n">
        <v>321</v>
      </c>
      <c r="B325" s="8" t="inlineStr">
        <is>
          <t>PK-321</t>
        </is>
      </c>
      <c r="C325" s="9" t="inlineStr">
        <is>
          <t>Bánh Xèo Cô Hồng</t>
        </is>
      </c>
      <c r="D325" s="8" t="inlineStr">
        <is>
          <t>Nhà hàng</t>
        </is>
      </c>
      <c r="E325" s="9" t="inlineStr">
        <is>
          <t>XXGQ+484, Phường Diên Hồng, TP. Pleiku</t>
        </is>
      </c>
      <c r="F325" s="9" t="inlineStr">
        <is>
          <t>XXGQ+484</t>
        </is>
      </c>
      <c r="G325" s="8" t="inlineStr">
        <is>
          <t>Phường Diên Hồng</t>
        </is>
      </c>
      <c r="H325" s="8" t="inlineStr">
        <is>
          <t>Diên Hồng</t>
        </is>
      </c>
      <c r="I325" s="10" t="inlineStr">
        <is>
          <t>Địa chỉ chưa có số nhà</t>
        </is>
      </c>
      <c r="J325" s="9" t="inlineStr">
        <is>
          <t>Danh sách tham khảo</t>
        </is>
      </c>
      <c r="K325" s="11" t="inlineStr">
        <is>
          <t>Bản đồ</t>
        </is>
      </c>
      <c r="L325" s="12" t="n"/>
      <c r="M325" s="13" t="n"/>
      <c r="N325" s="13" t="n"/>
      <c r="O325" s="13" t="n"/>
      <c r="P325" s="13" t="n"/>
      <c r="Q325" s="13" t="n"/>
      <c r="R325" s="13" t="n"/>
    </row>
    <row r="326">
      <c r="A326" s="8" t="n">
        <v>322</v>
      </c>
      <c r="B326" s="8" t="inlineStr">
        <is>
          <t>PK-322</t>
        </is>
      </c>
      <c r="C326" s="9" t="inlineStr">
        <is>
          <t>Phố ẩm thực Diên Hồng</t>
        </is>
      </c>
      <c r="D326" s="8" t="inlineStr">
        <is>
          <t>Nhà hàng</t>
        </is>
      </c>
      <c r="E326" s="9" t="inlineStr">
        <is>
          <t>XXHX+G6R Bến xe nội tỉnh, Phường Diên Hồng, TP. Pleiku</t>
        </is>
      </c>
      <c r="F326" s="9" t="inlineStr">
        <is>
          <t>XXHX+G6R Bến xe nội tỉnh</t>
        </is>
      </c>
      <c r="G326" s="8" t="inlineStr">
        <is>
          <t>Phường Diên Hồng</t>
        </is>
      </c>
      <c r="H326" s="8" t="inlineStr">
        <is>
          <t>Diên Hồng</t>
        </is>
      </c>
      <c r="I326" s="10" t="inlineStr">
        <is>
          <t>Địa chỉ chưa có số nhà</t>
        </is>
      </c>
      <c r="J326" s="9" t="inlineStr">
        <is>
          <t>Danh sách tham khảo</t>
        </is>
      </c>
      <c r="K326" s="11" t="inlineStr">
        <is>
          <t>Bản đồ</t>
        </is>
      </c>
      <c r="L326" s="12" t="n"/>
      <c r="M326" s="13" t="n"/>
      <c r="N326" s="13" t="n"/>
      <c r="O326" s="13" t="n"/>
      <c r="P326" s="13" t="n"/>
      <c r="Q326" s="13" t="n"/>
      <c r="R326" s="13" t="n"/>
    </row>
    <row r="327">
      <c r="A327" s="8" t="n">
        <v>323</v>
      </c>
      <c r="B327" s="8" t="inlineStr">
        <is>
          <t>PK-323</t>
        </is>
      </c>
      <c r="C327" s="9" t="inlineStr">
        <is>
          <t>45 Yên Đỗ TP Pleiku Tỉnh Gia Lai</t>
        </is>
      </c>
      <c r="D327" s="8" t="inlineStr">
        <is>
          <t>Nhà hàng</t>
        </is>
      </c>
      <c r="E327" s="9" t="inlineStr">
        <is>
          <t>45 Yên Đỗ, Phường Yên Đỗ, TP. Pleiku</t>
        </is>
      </c>
      <c r="F327" s="9" t="inlineStr">
        <is>
          <t>Yên Đỗ</t>
        </is>
      </c>
      <c r="G327" s="8" t="inlineStr">
        <is>
          <t>Phường Diên Hồng</t>
        </is>
      </c>
      <c r="H327" s="8" t="inlineStr">
        <is>
          <t>Yên Đỗ</t>
        </is>
      </c>
      <c r="I327" s="9" t="inlineStr"/>
      <c r="J327" s="9" t="inlineStr">
        <is>
          <t>Danh sách tham khảo</t>
        </is>
      </c>
      <c r="K327" s="11" t="inlineStr">
        <is>
          <t>Bản đồ</t>
        </is>
      </c>
      <c r="L327" s="12" t="n"/>
      <c r="M327" s="13" t="n"/>
      <c r="N327" s="13" t="n"/>
      <c r="O327" s="13" t="n"/>
      <c r="P327" s="13" t="n"/>
      <c r="Q327" s="13" t="n"/>
      <c r="R327" s="13" t="n"/>
    </row>
    <row r="328">
      <c r="A328" s="8" t="n">
        <v>324</v>
      </c>
      <c r="B328" s="8" t="inlineStr">
        <is>
          <t>PK-324</t>
        </is>
      </c>
      <c r="C328" s="9" t="inlineStr">
        <is>
          <t>Hải Sản 59 Yên Đỗ</t>
        </is>
      </c>
      <c r="D328" s="8" t="inlineStr">
        <is>
          <t>Nhà hàng</t>
        </is>
      </c>
      <c r="E328" s="9" t="inlineStr">
        <is>
          <t>59C Yên Đỗ, Phường Yên Đỗ, TP. Pleiku</t>
        </is>
      </c>
      <c r="F328" s="9" t="inlineStr">
        <is>
          <t>Yên Đỗ</t>
        </is>
      </c>
      <c r="G328" s="8" t="inlineStr">
        <is>
          <t>Phường Diên Hồng</t>
        </is>
      </c>
      <c r="H328" s="8" t="inlineStr">
        <is>
          <t>Yên Đỗ</t>
        </is>
      </c>
      <c r="I328" s="9" t="inlineStr"/>
      <c r="J328" s="9" t="inlineStr">
        <is>
          <t>Danh sách tham khảo</t>
        </is>
      </c>
      <c r="K328" s="11" t="inlineStr">
        <is>
          <t>Bản đồ</t>
        </is>
      </c>
      <c r="L328" s="12" t="n"/>
      <c r="M328" s="13" t="n"/>
      <c r="N328" s="13" t="n"/>
      <c r="O328" s="13" t="n"/>
      <c r="P328" s="13" t="n"/>
      <c r="Q328" s="13" t="n"/>
      <c r="R328" s="13" t="n"/>
    </row>
    <row r="329">
      <c r="A329" s="8" t="n">
        <v>325</v>
      </c>
      <c r="B329" s="8" t="inlineStr">
        <is>
          <t>PK-325</t>
        </is>
      </c>
      <c r="C329" s="9" t="inlineStr">
        <is>
          <t>Quán Hải Sản 61</t>
        </is>
      </c>
      <c r="D329" s="8" t="inlineStr">
        <is>
          <t>Nhà hàng</t>
        </is>
      </c>
      <c r="E329" s="9" t="inlineStr">
        <is>
          <t>61 Yên Đỗ, Phường Yên Đỗ, TP. Pleiku</t>
        </is>
      </c>
      <c r="F329" s="9" t="inlineStr">
        <is>
          <t>Yên Đỗ</t>
        </is>
      </c>
      <c r="G329" s="8" t="inlineStr">
        <is>
          <t>Phường Diên Hồng</t>
        </is>
      </c>
      <c r="H329" s="8" t="inlineStr">
        <is>
          <t>Yên Đỗ</t>
        </is>
      </c>
      <c r="I329" s="9" t="inlineStr"/>
      <c r="J329" s="9" t="inlineStr">
        <is>
          <t>Danh sách tham khảo</t>
        </is>
      </c>
      <c r="K329" s="11" t="inlineStr">
        <is>
          <t>Bản đồ</t>
        </is>
      </c>
      <c r="L329" s="12" t="n"/>
      <c r="M329" s="13" t="n"/>
      <c r="N329" s="13" t="n"/>
      <c r="O329" s="13" t="n"/>
      <c r="P329" s="13" t="n"/>
      <c r="Q329" s="13" t="n"/>
      <c r="R329" s="13" t="n"/>
    </row>
    <row r="330">
      <c r="A330" s="8" t="n">
        <v>326</v>
      </c>
      <c r="B330" s="8" t="inlineStr">
        <is>
          <t>PK-326</t>
        </is>
      </c>
      <c r="C330" s="9" t="inlineStr">
        <is>
          <t>Quán ẩm thực Suối ia Nil</t>
        </is>
      </c>
      <c r="D330" s="8" t="inlineStr">
        <is>
          <t>Nhà hàng</t>
        </is>
      </c>
      <c r="E330" s="9" t="inlineStr">
        <is>
          <t>2X2W+8VH, Hẻm 250 Phạm Văn Đồng, Phường Thống Nhất, TP. Pleiku</t>
        </is>
      </c>
      <c r="F330" s="9" t="inlineStr">
        <is>
          <t>+8VH</t>
        </is>
      </c>
      <c r="G330" s="8" t="inlineStr">
        <is>
          <t>Phường Thống Nhất</t>
        </is>
      </c>
      <c r="H330" s="8" t="inlineStr">
        <is>
          <t>Thống Nhất</t>
        </is>
      </c>
      <c r="I330" s="9" t="inlineStr"/>
      <c r="J330" s="9" t="inlineStr">
        <is>
          <t>Danh sách tham khảo</t>
        </is>
      </c>
      <c r="K330" s="11" t="inlineStr">
        <is>
          <t>Bản đồ</t>
        </is>
      </c>
      <c r="L330" s="12" t="n"/>
      <c r="M330" s="13" t="n"/>
      <c r="N330" s="13" t="n"/>
      <c r="O330" s="13" t="n"/>
      <c r="P330" s="13" t="n"/>
      <c r="Q330" s="13" t="n"/>
      <c r="R330" s="13" t="n"/>
    </row>
    <row r="331">
      <c r="A331" s="8" t="n">
        <v>327</v>
      </c>
      <c r="B331" s="8" t="inlineStr">
        <is>
          <t>PK-327</t>
        </is>
      </c>
      <c r="C331" s="9" t="inlineStr">
        <is>
          <t>Ghe Thu Thao</t>
        </is>
      </c>
      <c r="D331" s="8" t="inlineStr">
        <is>
          <t>Nhà hàng</t>
        </is>
      </c>
      <c r="E331" s="9" t="inlineStr"/>
      <c r="F331" s="9" t="inlineStr">
        <is>
          <t>(chưa rõ đường)</t>
        </is>
      </c>
      <c r="G331" s="8" t="inlineStr">
        <is>
          <t>Phường Thống Nhất</t>
        </is>
      </c>
      <c r="H331" s="8" t="inlineStr"/>
      <c r="I331" s="10" t="inlineStr">
        <is>
          <t>Địa chỉ chưa có số nhà; Trùng vị trí với: Lan Huong</t>
        </is>
      </c>
      <c r="J331" s="9" t="inlineStr">
        <is>
          <t>OpenStreetMap</t>
        </is>
      </c>
      <c r="K331" s="11" t="inlineStr">
        <is>
          <t>Bản đồ</t>
        </is>
      </c>
      <c r="L331" s="12" t="n"/>
      <c r="M331" s="13" t="n"/>
      <c r="N331" s="13" t="n"/>
      <c r="O331" s="13" t="n"/>
      <c r="P331" s="13" t="n"/>
      <c r="Q331" s="13" t="n"/>
      <c r="R331" s="13" t="n"/>
    </row>
    <row r="332">
      <c r="A332" s="8" t="n">
        <v>328</v>
      </c>
      <c r="B332" s="8" t="inlineStr">
        <is>
          <t>PK-328</t>
        </is>
      </c>
      <c r="C332" s="9" t="inlineStr">
        <is>
          <t>Lan Huong</t>
        </is>
      </c>
      <c r="D332" s="8" t="inlineStr">
        <is>
          <t>Quán cà phê</t>
        </is>
      </c>
      <c r="E332" s="9" t="inlineStr"/>
      <c r="F332" s="9" t="inlineStr">
        <is>
          <t>(chưa rõ đường)</t>
        </is>
      </c>
      <c r="G332" s="8" t="inlineStr">
        <is>
          <t>Phường Thống Nhất</t>
        </is>
      </c>
      <c r="H332" s="8" t="inlineStr"/>
      <c r="I332" s="10" t="inlineStr">
        <is>
          <t>Địa chỉ chưa có số nhà; Trùng vị trí với: Ghe Thu Thao</t>
        </is>
      </c>
      <c r="J332" s="9" t="inlineStr">
        <is>
          <t>OpenStreetMap</t>
        </is>
      </c>
      <c r="K332" s="11" t="inlineStr">
        <is>
          <t>Bản đồ</t>
        </is>
      </c>
      <c r="L332" s="12" t="n"/>
      <c r="M332" s="13" t="n"/>
      <c r="N332" s="13" t="n"/>
      <c r="O332" s="13" t="n"/>
      <c r="P332" s="13" t="n"/>
      <c r="Q332" s="13" t="n"/>
      <c r="R332" s="13" t="n"/>
    </row>
    <row r="333">
      <c r="A333" s="8" t="n">
        <v>329</v>
      </c>
      <c r="B333" s="8" t="inlineStr">
        <is>
          <t>PK-329</t>
        </is>
      </c>
      <c r="C333" s="9" t="inlineStr">
        <is>
          <t>Quán Hoa Lư</t>
        </is>
      </c>
      <c r="D333" s="8" t="inlineStr">
        <is>
          <t>Nhà hàng</t>
        </is>
      </c>
      <c r="E333" s="9" t="inlineStr">
        <is>
          <t>Khu vực Phường Hoa Lư, Pleiku</t>
        </is>
      </c>
      <c r="F333" s="9" t="inlineStr">
        <is>
          <t>Khu vực Phường Hoa Lư</t>
        </is>
      </c>
      <c r="G333" s="8" t="inlineStr">
        <is>
          <t>Phường Thống Nhất</t>
        </is>
      </c>
      <c r="H333" s="8" t="inlineStr">
        <is>
          <t>Hoa Lư</t>
        </is>
      </c>
      <c r="I333" s="10" t="inlineStr">
        <is>
          <t>Địa chỉ ghi Phường Hoa Lư nhưng vị trí thuộc Phường Thống Nhất; Địa chỉ chưa có số nhà</t>
        </is>
      </c>
      <c r="J333" s="9" t="inlineStr">
        <is>
          <t>Danh sách tham khảo</t>
        </is>
      </c>
      <c r="K333" s="11" t="inlineStr">
        <is>
          <t>Bản đồ</t>
        </is>
      </c>
      <c r="L333" s="12" t="n"/>
      <c r="M333" s="13" t="n"/>
      <c r="N333" s="13" t="n"/>
      <c r="O333" s="13" t="n"/>
      <c r="P333" s="13" t="n"/>
      <c r="Q333" s="13" t="n"/>
      <c r="R333" s="13" t="n"/>
    </row>
    <row r="334">
      <c r="A334" s="8" t="n">
        <v>330</v>
      </c>
      <c r="B334" s="8" t="inlineStr">
        <is>
          <t>PK-330</t>
        </is>
      </c>
      <c r="C334" s="9" t="inlineStr">
        <is>
          <t>Quán Gà nướng cơm lam Biển Hồ</t>
        </is>
      </c>
      <c r="D334" s="8" t="inlineStr">
        <is>
          <t>Nhà hàng</t>
        </is>
      </c>
      <c r="E334" s="9" t="inlineStr">
        <is>
          <t>Đường Ký Con, Thống Nhất, Gia Lai 600000, Việt Nam</t>
        </is>
      </c>
      <c r="F334" s="9" t="inlineStr">
        <is>
          <t>Ký Con</t>
        </is>
      </c>
      <c r="G334" s="8" t="inlineStr">
        <is>
          <t>Phường Thống Nhất</t>
        </is>
      </c>
      <c r="H334" s="8" t="inlineStr"/>
      <c r="I334" s="10" t="inlineStr">
        <is>
          <t>Địa chỉ chưa có số nhà; Đã có trên bản đồ – kiểm tra &amp; bổ sung</t>
        </is>
      </c>
      <c r="J334" s="9" t="inlineStr">
        <is>
          <t>Hệ thống</t>
        </is>
      </c>
      <c r="K334" s="11" t="inlineStr">
        <is>
          <t>Bản đồ</t>
        </is>
      </c>
      <c r="L334" s="12" t="n"/>
      <c r="M334" s="13" t="n"/>
      <c r="N334" s="13" t="n"/>
      <c r="O334" s="13" t="n"/>
      <c r="P334" s="13" t="n"/>
      <c r="Q334" s="13" t="n"/>
      <c r="R334" s="13" t="n"/>
    </row>
    <row r="335">
      <c r="A335" s="8" t="n">
        <v>331</v>
      </c>
      <c r="B335" s="8" t="inlineStr">
        <is>
          <t>PK-331</t>
        </is>
      </c>
      <c r="C335" s="9" t="inlineStr">
        <is>
          <t>Hoàng Gia Garden Restaurant</t>
        </is>
      </c>
      <c r="D335" s="8" t="inlineStr">
        <is>
          <t>Nhà hàng</t>
        </is>
      </c>
      <c r="E335" s="9" t="inlineStr">
        <is>
          <t>hẻm 99 Lê Đại Hành, Phường Thống Nhất, TP. Pleiku</t>
        </is>
      </c>
      <c r="F335" s="9" t="inlineStr">
        <is>
          <t>Lê Đại Hành</t>
        </is>
      </c>
      <c r="G335" s="8" t="inlineStr">
        <is>
          <t>Phường Thống Nhất</t>
        </is>
      </c>
      <c r="H335" s="8" t="inlineStr">
        <is>
          <t>Thống Nhất</t>
        </is>
      </c>
      <c r="I335" s="10" t="inlineStr">
        <is>
          <t>Đã có trên bản đồ – kiểm tra &amp; bổ sung</t>
        </is>
      </c>
      <c r="J335" s="9" t="inlineStr">
        <is>
          <t>Danh sách tham khảo, Hệ thống</t>
        </is>
      </c>
      <c r="K335" s="11" t="inlineStr">
        <is>
          <t>Bản đồ</t>
        </is>
      </c>
      <c r="L335" s="12" t="n"/>
      <c r="M335" s="13" t="n"/>
      <c r="N335" s="13" t="n"/>
      <c r="O335" s="13" t="n"/>
      <c r="P335" s="13" t="n"/>
      <c r="Q335" s="13" t="n"/>
      <c r="R335" s="13" t="n"/>
    </row>
    <row r="336">
      <c r="A336" s="8" t="n">
        <v>332</v>
      </c>
      <c r="B336" s="8" t="inlineStr">
        <is>
          <t>PK-332</t>
        </is>
      </c>
      <c r="C336" s="9" t="inlineStr">
        <is>
          <t>Tiệm nướng sốm rau</t>
        </is>
      </c>
      <c r="D336" s="8" t="inlineStr">
        <is>
          <t>Nhà hàng</t>
        </is>
      </c>
      <c r="E336" s="9" t="inlineStr">
        <is>
          <t>479 Lý Thái Tổ, Phường Ia Kring, TP. Pleiku</t>
        </is>
      </c>
      <c r="F336" s="9" t="inlineStr">
        <is>
          <t>Lý Thái Tổ</t>
        </is>
      </c>
      <c r="G336" s="8" t="inlineStr">
        <is>
          <t>Phường Thống Nhất</t>
        </is>
      </c>
      <c r="H336" s="8" t="inlineStr">
        <is>
          <t>Ia Kring</t>
        </is>
      </c>
      <c r="I336" s="10" t="inlineStr">
        <is>
          <t>Địa chỉ ghi Phường Ia Kring nhưng vị trí thuộc Phường Thống Nhất; Đã có trên bản đồ – kiểm tra &amp; bổ sung</t>
        </is>
      </c>
      <c r="J336" s="9" t="inlineStr">
        <is>
          <t>Danh sách tham khảo, Hệ thống</t>
        </is>
      </c>
      <c r="K336" s="11" t="inlineStr">
        <is>
          <t>Bản đồ</t>
        </is>
      </c>
      <c r="L336" s="12" t="n"/>
      <c r="M336" s="13" t="n"/>
      <c r="N336" s="13" t="n"/>
      <c r="O336" s="13" t="n"/>
      <c r="P336" s="13" t="n"/>
      <c r="Q336" s="13" t="n"/>
      <c r="R336" s="13" t="n"/>
    </row>
    <row r="337">
      <c r="A337" s="8" t="n">
        <v>333</v>
      </c>
      <c r="B337" s="8" t="inlineStr">
        <is>
          <t>PK-333</t>
        </is>
      </c>
      <c r="C337" s="9" t="inlineStr">
        <is>
          <t>Cơm lam gà nướng Gia Lai : KSOR HNAO Gia Lai</t>
        </is>
      </c>
      <c r="D337" s="8" t="inlineStr">
        <is>
          <t>Nhà hàng</t>
        </is>
      </c>
      <c r="E337" s="9" t="inlineStr">
        <is>
          <t>Hẻm 38 Nguyễn Thị Định, Phường Thống Nhất, TP. Pleiku</t>
        </is>
      </c>
      <c r="F337" s="9" t="inlineStr">
        <is>
          <t>Nguyễn Thị Định</t>
        </is>
      </c>
      <c r="G337" s="8" t="inlineStr">
        <is>
          <t>Phường Thống Nhất</t>
        </is>
      </c>
      <c r="H337" s="8" t="inlineStr">
        <is>
          <t>Thống Nhất</t>
        </is>
      </c>
      <c r="I337" s="9" t="inlineStr"/>
      <c r="J337" s="9" t="inlineStr">
        <is>
          <t>Danh sách tham khảo</t>
        </is>
      </c>
      <c r="K337" s="11" t="inlineStr">
        <is>
          <t>Bản đồ</t>
        </is>
      </c>
      <c r="L337" s="12" t="n"/>
      <c r="M337" s="13" t="n"/>
      <c r="N337" s="13" t="n"/>
      <c r="O337" s="13" t="n"/>
      <c r="P337" s="13" t="n"/>
      <c r="Q337" s="13" t="n"/>
      <c r="R337" s="13" t="n"/>
    </row>
    <row r="338">
      <c r="A338" s="8" t="n">
        <v>334</v>
      </c>
      <c r="B338" s="8" t="inlineStr">
        <is>
          <t>PK-334</t>
        </is>
      </c>
      <c r="C338" s="9" t="inlineStr">
        <is>
          <t>Gà Nướng Ia Gui</t>
        </is>
      </c>
      <c r="D338" s="8" t="inlineStr">
        <is>
          <t>Nhà hàng</t>
        </is>
      </c>
      <c r="E338" s="9" t="inlineStr">
        <is>
          <t>27 Phạm Ngọc Thạch, Phường Thống Nhất, TP. Pleiku</t>
        </is>
      </c>
      <c r="F338" s="9" t="inlineStr">
        <is>
          <t>Phạm Ngọc Thạch</t>
        </is>
      </c>
      <c r="G338" s="8" t="inlineStr">
        <is>
          <t>Phường Thống Nhất</t>
        </is>
      </c>
      <c r="H338" s="8" t="inlineStr">
        <is>
          <t>Thống Nhất</t>
        </is>
      </c>
      <c r="I338" s="10" t="inlineStr">
        <is>
          <t>Đã có trên bản đồ – kiểm tra &amp; bổ sung</t>
        </is>
      </c>
      <c r="J338" s="9" t="inlineStr">
        <is>
          <t>Danh sách tham khảo, Hệ thống</t>
        </is>
      </c>
      <c r="K338" s="11" t="inlineStr">
        <is>
          <t>Bản đồ</t>
        </is>
      </c>
      <c r="L338" s="12" t="n"/>
      <c r="M338" s="13" t="n"/>
      <c r="N338" s="13" t="n"/>
      <c r="O338" s="13" t="n"/>
      <c r="P338" s="13" t="n"/>
      <c r="Q338" s="13" t="n"/>
      <c r="R338" s="13" t="n"/>
    </row>
    <row r="339">
      <c r="A339" s="8" t="n">
        <v>335</v>
      </c>
      <c r="B339" s="8" t="inlineStr">
        <is>
          <t>PK-335</t>
        </is>
      </c>
      <c r="C339" s="9" t="inlineStr">
        <is>
          <t>Nhà Hàng Biển Hồ Xanh</t>
        </is>
      </c>
      <c r="D339" s="8" t="inlineStr">
        <is>
          <t>Nhà hàng</t>
        </is>
      </c>
      <c r="E339" s="9" t="inlineStr">
        <is>
          <t>662 Phạm Văn 999 Hà Đồng, Thống Nhất, Gia Lai 61000, Việt Nam</t>
        </is>
      </c>
      <c r="F339" s="9" t="inlineStr">
        <is>
          <t>Phạm Văn 999 Hà Đồng</t>
        </is>
      </c>
      <c r="G339" s="8" t="inlineStr">
        <is>
          <t>Phường Thống Nhất</t>
        </is>
      </c>
      <c r="H339" s="8" t="inlineStr"/>
      <c r="I339" s="10" t="inlineStr">
        <is>
          <t>Đã có trên bản đồ – kiểm tra &amp; bổ sung</t>
        </is>
      </c>
      <c r="J339" s="9" t="inlineStr">
        <is>
          <t>Hệ thống, OpenStreetMap</t>
        </is>
      </c>
      <c r="K339" s="11" t="inlineStr">
        <is>
          <t>Bản đồ</t>
        </is>
      </c>
      <c r="L339" s="12" t="n"/>
      <c r="M339" s="13" t="n"/>
      <c r="N339" s="13" t="n"/>
      <c r="O339" s="13" t="n"/>
      <c r="P339" s="13" t="n"/>
      <c r="Q339" s="13" t="n"/>
      <c r="R339" s="13" t="n"/>
    </row>
    <row r="340">
      <c r="A340" s="8" t="n">
        <v>336</v>
      </c>
      <c r="B340" s="8" t="inlineStr">
        <is>
          <t>PK-336</t>
        </is>
      </c>
      <c r="C340" s="9" t="inlineStr">
        <is>
          <t>Quán Nhậu - Câu Cá Thư Giãn Hương Đồng</t>
        </is>
      </c>
      <c r="D340" s="8" t="inlineStr">
        <is>
          <t>Nhà hàng</t>
        </is>
      </c>
      <c r="E340" s="9" t="inlineStr">
        <is>
          <t>184 Phạm Văn Đồng, Phường Thống Nhất, TP. Pleiku</t>
        </is>
      </c>
      <c r="F340" s="9" t="inlineStr">
        <is>
          <t>Phạm Văn Đồng</t>
        </is>
      </c>
      <c r="G340" s="8" t="inlineStr">
        <is>
          <t>Phường Thống Nhất</t>
        </is>
      </c>
      <c r="H340" s="8" t="inlineStr">
        <is>
          <t>Thống Nhất</t>
        </is>
      </c>
      <c r="I340" s="9" t="inlineStr"/>
      <c r="J340" s="9" t="inlineStr">
        <is>
          <t>Danh sách tham khảo</t>
        </is>
      </c>
      <c r="K340" s="11" t="inlineStr">
        <is>
          <t>Bản đồ</t>
        </is>
      </c>
      <c r="L340" s="12" t="n"/>
      <c r="M340" s="13" t="n"/>
      <c r="N340" s="13" t="n"/>
      <c r="O340" s="13" t="n"/>
      <c r="P340" s="13" t="n"/>
      <c r="Q340" s="13" t="n"/>
      <c r="R340" s="13" t="n"/>
    </row>
    <row r="341">
      <c r="A341" s="8" t="n">
        <v>337</v>
      </c>
      <c r="B341" s="8" t="inlineStr">
        <is>
          <t>PK-337</t>
        </is>
      </c>
      <c r="C341" s="9" t="inlineStr">
        <is>
          <t>Chợ Thống Nhất</t>
        </is>
      </c>
      <c r="D341" s="8" t="inlineStr">
        <is>
          <t>Nhà hàng</t>
        </is>
      </c>
      <c r="E341" s="9" t="inlineStr">
        <is>
          <t>192 Phạm Văn Đồng, Phường Thống Nhất, TP. Pleiku</t>
        </is>
      </c>
      <c r="F341" s="9" t="inlineStr">
        <is>
          <t>Phạm Văn Đồng</t>
        </is>
      </c>
      <c r="G341" s="8" t="inlineStr">
        <is>
          <t>Phường Thống Nhất</t>
        </is>
      </c>
      <c r="H341" s="8" t="inlineStr">
        <is>
          <t>Thống Nhất</t>
        </is>
      </c>
      <c r="I341" s="10" t="inlineStr">
        <is>
          <t>Có thể không phải quán ăn</t>
        </is>
      </c>
      <c r="J341" s="9" t="inlineStr">
        <is>
          <t>Danh sách tham khảo</t>
        </is>
      </c>
      <c r="K341" s="11" t="inlineStr">
        <is>
          <t>Bản đồ</t>
        </is>
      </c>
      <c r="L341" s="12" t="n"/>
      <c r="M341" s="13" t="n"/>
      <c r="N341" s="13" t="n"/>
      <c r="O341" s="13" t="n"/>
      <c r="P341" s="13" t="n"/>
      <c r="Q341" s="13" t="n"/>
      <c r="R341" s="13" t="n"/>
    </row>
    <row r="342">
      <c r="A342" s="8" t="n">
        <v>338</v>
      </c>
      <c r="B342" s="8" t="inlineStr">
        <is>
          <t>PK-338</t>
        </is>
      </c>
      <c r="C342" s="9" t="inlineStr">
        <is>
          <t>Quán Ăn Thanh Hà</t>
        </is>
      </c>
      <c r="D342" s="8" t="inlineStr">
        <is>
          <t>Nhà hàng</t>
        </is>
      </c>
      <c r="E342" s="9" t="inlineStr">
        <is>
          <t>249 Phạm Văn Đồng, Phường Thống Nhất, TP. Pleiku</t>
        </is>
      </c>
      <c r="F342" s="9" t="inlineStr">
        <is>
          <t>Phạm Văn Đồng</t>
        </is>
      </c>
      <c r="G342" s="8" t="inlineStr">
        <is>
          <t>Phường Thống Nhất</t>
        </is>
      </c>
      <c r="H342" s="8" t="inlineStr">
        <is>
          <t>Thống Nhất</t>
        </is>
      </c>
      <c r="I342" s="10" t="inlineStr">
        <is>
          <t>Trùng vị trí với: Quán cơm</t>
        </is>
      </c>
      <c r="J342" s="9" t="inlineStr">
        <is>
          <t>Danh sách tham khảo</t>
        </is>
      </c>
      <c r="K342" s="11" t="inlineStr">
        <is>
          <t>Bản đồ</t>
        </is>
      </c>
      <c r="L342" s="12" t="n"/>
      <c r="M342" s="13" t="n"/>
      <c r="N342" s="13" t="n"/>
      <c r="O342" s="13" t="n"/>
      <c r="P342" s="13" t="n"/>
      <c r="Q342" s="13" t="n"/>
      <c r="R342" s="13" t="n"/>
    </row>
    <row r="343">
      <c r="A343" s="8" t="n">
        <v>339</v>
      </c>
      <c r="B343" s="8" t="inlineStr">
        <is>
          <t>PK-339</t>
        </is>
      </c>
      <c r="C343" s="9" t="inlineStr">
        <is>
          <t>Nhà Hàng Suối Nguồn</t>
        </is>
      </c>
      <c r="D343" s="8" t="inlineStr">
        <is>
          <t>Nhà hàng</t>
        </is>
      </c>
      <c r="E343" s="9" t="inlineStr">
        <is>
          <t>250 Phạm Văn Đồng, Phường Thống Nhất, TP. Pleiku</t>
        </is>
      </c>
      <c r="F343" s="9" t="inlineStr">
        <is>
          <t>Phạm Văn Đồng</t>
        </is>
      </c>
      <c r="G343" s="8" t="inlineStr">
        <is>
          <t>Phường Thống Nhất</t>
        </is>
      </c>
      <c r="H343" s="8" t="inlineStr">
        <is>
          <t>Thống Nhất</t>
        </is>
      </c>
      <c r="I343" s="9" t="inlineStr"/>
      <c r="J343" s="9" t="inlineStr">
        <is>
          <t>Danh sách tham khảo</t>
        </is>
      </c>
      <c r="K343" s="11" t="inlineStr">
        <is>
          <t>Bản đồ</t>
        </is>
      </c>
      <c r="L343" s="12" t="n"/>
      <c r="M343" s="13" t="n"/>
      <c r="N343" s="13" t="n"/>
      <c r="O343" s="13" t="n"/>
      <c r="P343" s="13" t="n"/>
      <c r="Q343" s="13" t="n"/>
      <c r="R343" s="13" t="n"/>
    </row>
    <row r="344">
      <c r="A344" s="8" t="n">
        <v>340</v>
      </c>
      <c r="B344" s="8" t="inlineStr">
        <is>
          <t>PK-340</t>
        </is>
      </c>
      <c r="C344" s="9" t="inlineStr">
        <is>
          <t>Quán cơm</t>
        </is>
      </c>
      <c r="D344" s="8" t="inlineStr">
        <is>
          <t>Nhà hàng</t>
        </is>
      </c>
      <c r="E344" s="9" t="inlineStr">
        <is>
          <t>258 Phạm Văn Đồng, Phường Thống Nhất, TP. Pleiku</t>
        </is>
      </c>
      <c r="F344" s="9" t="inlineStr">
        <is>
          <t>Phạm Văn Đồng</t>
        </is>
      </c>
      <c r="G344" s="8" t="inlineStr">
        <is>
          <t>Phường Thống Nhất</t>
        </is>
      </c>
      <c r="H344" s="8" t="inlineStr">
        <is>
          <t>Thống Nhất</t>
        </is>
      </c>
      <c r="I344" s="10" t="inlineStr">
        <is>
          <t>Trùng vị trí với: Quán Ăn Thanh Hà</t>
        </is>
      </c>
      <c r="J344" s="9" t="inlineStr">
        <is>
          <t>Danh sách tham khảo</t>
        </is>
      </c>
      <c r="K344" s="11" t="inlineStr">
        <is>
          <t>Bản đồ</t>
        </is>
      </c>
      <c r="L344" s="12" t="n"/>
      <c r="M344" s="13" t="n"/>
      <c r="N344" s="13" t="n"/>
      <c r="O344" s="13" t="n"/>
      <c r="P344" s="13" t="n"/>
      <c r="Q344" s="13" t="n"/>
      <c r="R344" s="13" t="n"/>
    </row>
    <row r="345">
      <c r="A345" s="8" t="n">
        <v>341</v>
      </c>
      <c r="B345" s="8" t="inlineStr">
        <is>
          <t>PK-341</t>
        </is>
      </c>
      <c r="C345" s="9" t="inlineStr">
        <is>
          <t>Quán cơm Hồng Ký, cơm gà hương vị gia truyền</t>
        </is>
      </c>
      <c r="D345" s="8" t="inlineStr">
        <is>
          <t>Nhà hàng</t>
        </is>
      </c>
      <c r="E345" s="9" t="inlineStr">
        <is>
          <t>349 Phạm Văn Đồng, Phường Thống Nhất, TP. Pleiku</t>
        </is>
      </c>
      <c r="F345" s="9" t="inlineStr">
        <is>
          <t>Phạm Văn Đồng</t>
        </is>
      </c>
      <c r="G345" s="8" t="inlineStr">
        <is>
          <t>Phường Thống Nhất</t>
        </is>
      </c>
      <c r="H345" s="8" t="inlineStr">
        <is>
          <t>Thống Nhất</t>
        </is>
      </c>
      <c r="I345" s="9" t="inlineStr"/>
      <c r="J345" s="9" t="inlineStr">
        <is>
          <t>Danh sách tham khảo</t>
        </is>
      </c>
      <c r="K345" s="11" t="inlineStr">
        <is>
          <t>Bản đồ</t>
        </is>
      </c>
      <c r="L345" s="12" t="n"/>
      <c r="M345" s="13" t="n"/>
      <c r="N345" s="13" t="n"/>
      <c r="O345" s="13" t="n"/>
      <c r="P345" s="13" t="n"/>
      <c r="Q345" s="13" t="n"/>
      <c r="R345" s="13" t="n"/>
    </row>
    <row r="346">
      <c r="A346" s="8" t="n">
        <v>342</v>
      </c>
      <c r="B346" s="8" t="inlineStr">
        <is>
          <t>PK-342</t>
        </is>
      </c>
      <c r="C346" s="9" t="inlineStr">
        <is>
          <t>Nhà Hàng Đông Dương</t>
        </is>
      </c>
      <c r="D346" s="8" t="inlineStr">
        <is>
          <t>Nhà hàng</t>
        </is>
      </c>
      <c r="E346" s="9" t="inlineStr">
        <is>
          <t>386 Phạm Văn Đồng</t>
        </is>
      </c>
      <c r="F346" s="9" t="inlineStr">
        <is>
          <t>Phạm Văn Đồng</t>
        </is>
      </c>
      <c r="G346" s="8" t="inlineStr">
        <is>
          <t>Phường Thống Nhất</t>
        </is>
      </c>
      <c r="H346" s="8" t="inlineStr"/>
      <c r="I346" s="9" t="inlineStr"/>
      <c r="J346" s="9" t="inlineStr">
        <is>
          <t>OpenStreetMap</t>
        </is>
      </c>
      <c r="K346" s="11" t="inlineStr">
        <is>
          <t>Bản đồ</t>
        </is>
      </c>
      <c r="L346" s="12" t="n"/>
      <c r="M346" s="13" t="n"/>
      <c r="N346" s="13" t="n"/>
      <c r="O346" s="13" t="n"/>
      <c r="P346" s="13" t="n"/>
      <c r="Q346" s="13" t="n"/>
      <c r="R346" s="13" t="n"/>
    </row>
    <row r="347">
      <c r="A347" s="8" t="n">
        <v>343</v>
      </c>
      <c r="B347" s="8" t="inlineStr">
        <is>
          <t>PK-343</t>
        </is>
      </c>
      <c r="C347" s="9" t="inlineStr">
        <is>
          <t>Thao Nguyen Coffee</t>
        </is>
      </c>
      <c r="D347" s="8" t="inlineStr">
        <is>
          <t>Quán cà phê</t>
        </is>
      </c>
      <c r="E347" s="9" t="inlineStr">
        <is>
          <t>Trường Sơn</t>
        </is>
      </c>
      <c r="F347" s="9" t="inlineStr">
        <is>
          <t>Trường Sơn</t>
        </is>
      </c>
      <c r="G347" s="8" t="inlineStr">
        <is>
          <t>Phường Thống Nhất</t>
        </is>
      </c>
      <c r="H347" s="8" t="inlineStr"/>
      <c r="I347" s="10" t="inlineStr">
        <is>
          <t>Địa chỉ chưa có số nhà</t>
        </is>
      </c>
      <c r="J347" s="9" t="inlineStr">
        <is>
          <t>OpenStreetMap</t>
        </is>
      </c>
      <c r="K347" s="11" t="inlineStr">
        <is>
          <t>Bản đồ</t>
        </is>
      </c>
      <c r="L347" s="12" t="n"/>
      <c r="M347" s="13" t="n"/>
      <c r="N347" s="13" t="n"/>
      <c r="O347" s="13" t="n"/>
      <c r="P347" s="13" t="n"/>
      <c r="Q347" s="13" t="n"/>
      <c r="R347" s="13" t="n"/>
    </row>
    <row r="348">
      <c r="A348" s="8" t="n">
        <v>344</v>
      </c>
      <c r="B348" s="8" t="inlineStr">
        <is>
          <t>PK-344</t>
        </is>
      </c>
      <c r="C348" s="9" t="inlineStr">
        <is>
          <t>Bánh Mì Pleiku</t>
        </is>
      </c>
      <c r="D348" s="8" t="inlineStr">
        <is>
          <t>Nhà hàng</t>
        </is>
      </c>
      <c r="E348" s="9" t="inlineStr">
        <is>
          <t>Đường Bờ kè, Phường Hội Phú, TP. Pleiku</t>
        </is>
      </c>
      <c r="F348" s="9" t="inlineStr">
        <is>
          <t>Bờ kè</t>
        </is>
      </c>
      <c r="G348" s="8" t="inlineStr">
        <is>
          <t>Phường Hội Phú</t>
        </is>
      </c>
      <c r="H348" s="8" t="inlineStr">
        <is>
          <t>Hội Phú</t>
        </is>
      </c>
      <c r="I348" s="10" t="inlineStr">
        <is>
          <t>Địa chỉ chưa có số nhà</t>
        </is>
      </c>
      <c r="J348" s="9" t="inlineStr">
        <is>
          <t>Danh sách tham khảo</t>
        </is>
      </c>
      <c r="K348" s="11" t="inlineStr">
        <is>
          <t>Bản đồ</t>
        </is>
      </c>
      <c r="L348" s="12" t="n"/>
      <c r="M348" s="13" t="n"/>
      <c r="N348" s="13" t="n"/>
      <c r="O348" s="13" t="n"/>
      <c r="P348" s="13" t="n"/>
      <c r="Q348" s="13" t="n"/>
      <c r="R348" s="13" t="n"/>
    </row>
    <row r="349">
      <c r="A349" s="8" t="n">
        <v>345</v>
      </c>
      <c r="B349" s="8" t="inlineStr">
        <is>
          <t>PK-345</t>
        </is>
      </c>
      <c r="C349" s="9" t="inlineStr">
        <is>
          <t>Nhà Hàng LAMI - LAMI Restaurant &amp; Event Space</t>
        </is>
      </c>
      <c r="D349" s="8" t="inlineStr">
        <is>
          <t>Nhà hàng</t>
        </is>
      </c>
      <c r="E349" s="9" t="inlineStr">
        <is>
          <t>69 Chu Mạnh Trinh, Phường Hội Phú, TP. Pleiku</t>
        </is>
      </c>
      <c r="F349" s="9" t="inlineStr">
        <is>
          <t>Chu Mạnh Trinh</t>
        </is>
      </c>
      <c r="G349" s="8" t="inlineStr">
        <is>
          <t>Phường Hội Phú</t>
        </is>
      </c>
      <c r="H349" s="8" t="inlineStr">
        <is>
          <t>Hội Phú</t>
        </is>
      </c>
      <c r="I349" s="9" t="inlineStr"/>
      <c r="J349" s="9" t="inlineStr">
        <is>
          <t>Danh sách tham khảo</t>
        </is>
      </c>
      <c r="K349" s="11" t="inlineStr">
        <is>
          <t>Bản đồ</t>
        </is>
      </c>
      <c r="L349" s="12" t="n"/>
      <c r="M349" s="13" t="n"/>
      <c r="N349" s="13" t="n"/>
      <c r="O349" s="13" t="n"/>
      <c r="P349" s="13" t="n"/>
      <c r="Q349" s="13" t="n"/>
      <c r="R349" s="13" t="n"/>
    </row>
    <row r="350">
      <c r="A350" s="8" t="n">
        <v>346</v>
      </c>
      <c r="B350" s="8" t="inlineStr">
        <is>
          <t>PK-346</t>
        </is>
      </c>
      <c r="C350" s="9" t="inlineStr">
        <is>
          <t>Quán nhậu 2 con khỉ</t>
        </is>
      </c>
      <c r="D350" s="8" t="inlineStr">
        <is>
          <t>Nhà hàng</t>
        </is>
      </c>
      <c r="E350" s="9" t="inlineStr">
        <is>
          <t>Hẻm 137 Chu Mạnh Trinh, Phường Hội Phú, TP. Pleiku</t>
        </is>
      </c>
      <c r="F350" s="9" t="inlineStr">
        <is>
          <t>Chu Mạnh Trinh</t>
        </is>
      </c>
      <c r="G350" s="8" t="inlineStr">
        <is>
          <t>Phường Hội Phú</t>
        </is>
      </c>
      <c r="H350" s="8" t="inlineStr">
        <is>
          <t>Hội Phú</t>
        </is>
      </c>
      <c r="I350" s="9" t="inlineStr"/>
      <c r="J350" s="9" t="inlineStr">
        <is>
          <t>Danh sách tham khảo</t>
        </is>
      </c>
      <c r="K350" s="11" t="inlineStr">
        <is>
          <t>Bản đồ</t>
        </is>
      </c>
      <c r="L350" s="12" t="n"/>
      <c r="M350" s="13" t="n"/>
      <c r="N350" s="13" t="n"/>
      <c r="O350" s="13" t="n"/>
      <c r="P350" s="13" t="n"/>
      <c r="Q350" s="13" t="n"/>
      <c r="R350" s="13" t="n"/>
    </row>
    <row r="351">
      <c r="A351" s="8" t="n">
        <v>347</v>
      </c>
      <c r="B351" s="8" t="inlineStr">
        <is>
          <t>PK-347</t>
        </is>
      </c>
      <c r="C351" s="9" t="inlineStr">
        <is>
          <t>Quán Ốc Bi</t>
        </is>
      </c>
      <c r="D351" s="8" t="inlineStr">
        <is>
          <t>Nhà hàng</t>
        </is>
      </c>
      <c r="E351" s="9" t="inlineStr"/>
      <c r="F351" s="9" t="inlineStr">
        <is>
          <t>(chưa rõ đường)</t>
        </is>
      </c>
      <c r="G351" s="8" t="inlineStr">
        <is>
          <t>Phường Hội Phú</t>
        </is>
      </c>
      <c r="H351" s="8" t="inlineStr"/>
      <c r="I351" s="10" t="inlineStr">
        <is>
          <t>Địa chỉ chưa có số nhà</t>
        </is>
      </c>
      <c r="J351" s="9" t="inlineStr">
        <is>
          <t>OpenStreetMap</t>
        </is>
      </c>
      <c r="K351" s="11" t="inlineStr">
        <is>
          <t>Bản đồ</t>
        </is>
      </c>
      <c r="L351" s="12" t="n"/>
      <c r="M351" s="13" t="n"/>
      <c r="N351" s="13" t="n"/>
      <c r="O351" s="13" t="n"/>
      <c r="P351" s="13" t="n"/>
      <c r="Q351" s="13" t="n"/>
      <c r="R351" s="13" t="n"/>
    </row>
    <row r="352">
      <c r="A352" s="8" t="n">
        <v>348</v>
      </c>
      <c r="B352" s="8" t="inlineStr">
        <is>
          <t>PK-348</t>
        </is>
      </c>
      <c r="C352" s="9" t="inlineStr">
        <is>
          <t>Năm Dũng Quán</t>
        </is>
      </c>
      <c r="D352" s="8" t="inlineStr">
        <is>
          <t>Nhà hàng</t>
        </is>
      </c>
      <c r="E352" s="9" t="inlineStr">
        <is>
          <t>Hẻm Út Tịch, Phường Trà Bá, TP. Pleiku</t>
        </is>
      </c>
      <c r="F352" s="9" t="inlineStr">
        <is>
          <t>Hẻm Út Tịch</t>
        </is>
      </c>
      <c r="G352" s="8" t="inlineStr">
        <is>
          <t>Phường Hội Phú</t>
        </is>
      </c>
      <c r="H352" s="8" t="inlineStr">
        <is>
          <t>Trà Bá</t>
        </is>
      </c>
      <c r="I352" s="10" t="inlineStr">
        <is>
          <t>Địa chỉ chưa có số nhà</t>
        </is>
      </c>
      <c r="J352" s="9" t="inlineStr">
        <is>
          <t>Danh sách tham khảo</t>
        </is>
      </c>
      <c r="K352" s="11" t="inlineStr">
        <is>
          <t>Bản đồ</t>
        </is>
      </c>
      <c r="L352" s="12" t="n"/>
      <c r="M352" s="13" t="n"/>
      <c r="N352" s="13" t="n"/>
      <c r="O352" s="13" t="n"/>
      <c r="P352" s="13" t="n"/>
      <c r="Q352" s="13" t="n"/>
      <c r="R352" s="13" t="n"/>
    </row>
    <row r="353">
      <c r="A353" s="8" t="n">
        <v>349</v>
      </c>
      <c r="B353" s="8" t="inlineStr">
        <is>
          <t>PK-349</t>
        </is>
      </c>
      <c r="C353" s="9" t="inlineStr">
        <is>
          <t>Quán Cơm ngon</t>
        </is>
      </c>
      <c r="D353" s="8" t="inlineStr">
        <is>
          <t>Nhà hàng</t>
        </is>
      </c>
      <c r="E353" s="9" t="inlineStr">
        <is>
          <t>212 Lê Duẩn, Phường Trà Bá, TP. Pleiku</t>
        </is>
      </c>
      <c r="F353" s="9" t="inlineStr">
        <is>
          <t>Lê Duẩn</t>
        </is>
      </c>
      <c r="G353" s="8" t="inlineStr">
        <is>
          <t>Phường Hội Phú</t>
        </is>
      </c>
      <c r="H353" s="8" t="inlineStr">
        <is>
          <t>Trà Bá</t>
        </is>
      </c>
      <c r="I353" s="9" t="inlineStr"/>
      <c r="J353" s="9" t="inlineStr">
        <is>
          <t>Danh sách tham khảo</t>
        </is>
      </c>
      <c r="K353" s="11" t="inlineStr">
        <is>
          <t>Bản đồ</t>
        </is>
      </c>
      <c r="L353" s="12" t="n"/>
      <c r="M353" s="13" t="n"/>
      <c r="N353" s="13" t="n"/>
      <c r="O353" s="13" t="n"/>
      <c r="P353" s="13" t="n"/>
      <c r="Q353" s="13" t="n"/>
      <c r="R353" s="13" t="n"/>
    </row>
    <row r="354">
      <c r="A354" s="8" t="n">
        <v>350</v>
      </c>
      <c r="B354" s="8" t="inlineStr">
        <is>
          <t>PK-350</t>
        </is>
      </c>
      <c r="C354" s="9" t="inlineStr">
        <is>
          <t>222 Lê Duẫn - Phường Trà Bá - Tp. Pleiku - Gia Lai</t>
        </is>
      </c>
      <c r="D354" s="8" t="inlineStr">
        <is>
          <t>Nhà hàng</t>
        </is>
      </c>
      <c r="E354" s="9" t="inlineStr">
        <is>
          <t>222 Lê Duẩn, Phường Trà Bá, TP. Pleiku</t>
        </is>
      </c>
      <c r="F354" s="9" t="inlineStr">
        <is>
          <t>Lê Duẩn</t>
        </is>
      </c>
      <c r="G354" s="8" t="inlineStr">
        <is>
          <t>Phường Hội Phú</t>
        </is>
      </c>
      <c r="H354" s="8" t="inlineStr">
        <is>
          <t>Trà Bá</t>
        </is>
      </c>
      <c r="I354" s="9" t="inlineStr"/>
      <c r="J354" s="9" t="inlineStr">
        <is>
          <t>Danh sách tham khảo</t>
        </is>
      </c>
      <c r="K354" s="11" t="inlineStr">
        <is>
          <t>Bản đồ</t>
        </is>
      </c>
      <c r="L354" s="12" t="n"/>
      <c r="M354" s="13" t="n"/>
      <c r="N354" s="13" t="n"/>
      <c r="O354" s="13" t="n"/>
      <c r="P354" s="13" t="n"/>
      <c r="Q354" s="13" t="n"/>
      <c r="R354" s="13" t="n"/>
    </row>
    <row r="355">
      <c r="A355" s="8" t="n">
        <v>351</v>
      </c>
      <c r="B355" s="8" t="inlineStr">
        <is>
          <t>PK-351</t>
        </is>
      </c>
      <c r="C355" s="9" t="inlineStr">
        <is>
          <t>Đồng Trại Quán</t>
        </is>
      </c>
      <c r="D355" s="8" t="inlineStr">
        <is>
          <t>Nhà hàng</t>
        </is>
      </c>
      <c r="E355" s="9" t="inlineStr">
        <is>
          <t>274/51B Lê Duẩn, Phường Trà Bá, TP. Pleiku</t>
        </is>
      </c>
      <c r="F355" s="9" t="inlineStr">
        <is>
          <t>Lê Duẩn</t>
        </is>
      </c>
      <c r="G355" s="8" t="inlineStr">
        <is>
          <t>Phường Hội Phú</t>
        </is>
      </c>
      <c r="H355" s="8" t="inlineStr">
        <is>
          <t>Trà Bá</t>
        </is>
      </c>
      <c r="I355" s="9" t="inlineStr"/>
      <c r="J355" s="9" t="inlineStr">
        <is>
          <t>Danh sách tham khảo</t>
        </is>
      </c>
      <c r="K355" s="11" t="inlineStr">
        <is>
          <t>Bản đồ</t>
        </is>
      </c>
      <c r="L355" s="12" t="n"/>
      <c r="M355" s="13" t="n"/>
      <c r="N355" s="13" t="n"/>
      <c r="O355" s="13" t="n"/>
      <c r="P355" s="13" t="n"/>
      <c r="Q355" s="13" t="n"/>
      <c r="R355" s="13" t="n"/>
    </row>
    <row r="356">
      <c r="A356" s="8" t="n">
        <v>352</v>
      </c>
      <c r="B356" s="8" t="inlineStr">
        <is>
          <t>PK-352</t>
        </is>
      </c>
      <c r="C356" s="9" t="inlineStr">
        <is>
          <t>Cơm Lam Gà Nướng : H ‘Bla T’rưng</t>
        </is>
      </c>
      <c r="D356" s="8" t="inlineStr">
        <is>
          <t>Nhà hàng</t>
        </is>
      </c>
      <c r="E356" s="9" t="inlineStr">
        <is>
          <t>Lê Duẩn, Phường Trà Bá, TP. Pleiku</t>
        </is>
      </c>
      <c r="F356" s="9" t="inlineStr">
        <is>
          <t>Lê Duẩn</t>
        </is>
      </c>
      <c r="G356" s="8" t="inlineStr">
        <is>
          <t>Phường Hội Phú</t>
        </is>
      </c>
      <c r="H356" s="8" t="inlineStr">
        <is>
          <t>Trà Bá</t>
        </is>
      </c>
      <c r="I356" s="10" t="inlineStr">
        <is>
          <t>Địa chỉ chưa có số nhà; Đã có trên bản đồ – kiểm tra &amp; bổ sung</t>
        </is>
      </c>
      <c r="J356" s="9" t="inlineStr">
        <is>
          <t>Danh sách tham khảo, Hệ thống</t>
        </is>
      </c>
      <c r="K356" s="11" t="inlineStr">
        <is>
          <t>Bản đồ</t>
        </is>
      </c>
      <c r="L356" s="12" t="n"/>
      <c r="M356" s="13" t="n"/>
      <c r="N356" s="13" t="n"/>
      <c r="O356" s="13" t="n"/>
      <c r="P356" s="13" t="n"/>
      <c r="Q356" s="13" t="n"/>
      <c r="R356" s="13" t="n"/>
    </row>
    <row r="357">
      <c r="A357" s="8" t="n">
        <v>353</v>
      </c>
      <c r="B357" s="8" t="inlineStr">
        <is>
          <t>PK-353</t>
        </is>
      </c>
      <c r="C357" s="9" t="inlineStr">
        <is>
          <t>QUÁN H BLA T’RƯNG</t>
        </is>
      </c>
      <c r="D357" s="8" t="inlineStr">
        <is>
          <t>Nhà hàng</t>
        </is>
      </c>
      <c r="E357" s="9" t="inlineStr">
        <is>
          <t>Hẻm 220 Lê Duẩn, Phường Trà Bá, TP. Pleiku</t>
        </is>
      </c>
      <c r="F357" s="9" t="inlineStr">
        <is>
          <t>Lê Duẩn</t>
        </is>
      </c>
      <c r="G357" s="8" t="inlineStr">
        <is>
          <t>Phường Hội Phú</t>
        </is>
      </c>
      <c r="H357" s="8" t="inlineStr">
        <is>
          <t>Trà Bá</t>
        </is>
      </c>
      <c r="I357" s="9" t="inlineStr"/>
      <c r="J357" s="9" t="inlineStr">
        <is>
          <t>Danh sách tham khảo</t>
        </is>
      </c>
      <c r="K357" s="11" t="inlineStr">
        <is>
          <t>Bản đồ</t>
        </is>
      </c>
      <c r="L357" s="12" t="n"/>
      <c r="M357" s="13" t="n"/>
      <c r="N357" s="13" t="n"/>
      <c r="O357" s="13" t="n"/>
      <c r="P357" s="13" t="n"/>
      <c r="Q357" s="13" t="n"/>
      <c r="R357" s="13" t="n"/>
    </row>
    <row r="358">
      <c r="A358" s="8" t="n">
        <v>354</v>
      </c>
      <c r="B358" s="8" t="inlineStr">
        <is>
          <t>PK-354</t>
        </is>
      </c>
      <c r="C358" s="9" t="inlineStr">
        <is>
          <t>Quán Cơm Thu Loan</t>
        </is>
      </c>
      <c r="D358" s="8" t="inlineStr">
        <is>
          <t>Nhà hàng</t>
        </is>
      </c>
      <c r="E358" s="9" t="inlineStr">
        <is>
          <t>195 Đường Lê Thánh Tôn, Phường Ia Kring, TP. Pleiku</t>
        </is>
      </c>
      <c r="F358" s="9" t="inlineStr">
        <is>
          <t>Lê Thánh Tôn</t>
        </is>
      </c>
      <c r="G358" s="8" t="inlineStr">
        <is>
          <t>Phường Hội Phú</t>
        </is>
      </c>
      <c r="H358" s="8" t="inlineStr">
        <is>
          <t>Ia Kring</t>
        </is>
      </c>
      <c r="I358" s="10" t="inlineStr">
        <is>
          <t>Địa chỉ ghi Phường Ia Kring nhưng vị trí thuộc Phường Hội Phú</t>
        </is>
      </c>
      <c r="J358" s="9" t="inlineStr">
        <is>
          <t>Danh sách tham khảo</t>
        </is>
      </c>
      <c r="K358" s="11" t="inlineStr">
        <is>
          <t>Bản đồ</t>
        </is>
      </c>
      <c r="L358" s="12" t="n"/>
      <c r="M358" s="13" t="n"/>
      <c r="N358" s="13" t="n"/>
      <c r="O358" s="13" t="n"/>
      <c r="P358" s="13" t="n"/>
      <c r="Q358" s="13" t="n"/>
      <c r="R358" s="13" t="n"/>
    </row>
    <row r="359">
      <c r="A359" s="8" t="n">
        <v>355</v>
      </c>
      <c r="B359" s="8" t="inlineStr">
        <is>
          <t>PK-355</t>
        </is>
      </c>
      <c r="C359" s="9" t="inlineStr">
        <is>
          <t>Quán Cơm Tấm Khanh 341 Lê Thánh Tôn</t>
        </is>
      </c>
      <c r="D359" s="8" t="inlineStr">
        <is>
          <t>Nhà hàng</t>
        </is>
      </c>
      <c r="E359" s="9" t="inlineStr">
        <is>
          <t>341 Đường Lê Thánh Tôn, Phường Ia Kring, TP. Pleiku</t>
        </is>
      </c>
      <c r="F359" s="9" t="inlineStr">
        <is>
          <t>Lê Thánh Tôn</t>
        </is>
      </c>
      <c r="G359" s="8" t="inlineStr">
        <is>
          <t>Phường Hội Phú</t>
        </is>
      </c>
      <c r="H359" s="8" t="inlineStr">
        <is>
          <t>Ia Kring</t>
        </is>
      </c>
      <c r="I359" s="10" t="inlineStr">
        <is>
          <t>Địa chỉ ghi Phường Ia Kring nhưng vị trí thuộc Phường Hội Phú</t>
        </is>
      </c>
      <c r="J359" s="9" t="inlineStr">
        <is>
          <t>Danh sách tham khảo</t>
        </is>
      </c>
      <c r="K359" s="11" t="inlineStr">
        <is>
          <t>Bản đồ</t>
        </is>
      </c>
      <c r="L359" s="12" t="n"/>
      <c r="M359" s="13" t="n"/>
      <c r="N359" s="13" t="n"/>
      <c r="O359" s="13" t="n"/>
      <c r="P359" s="13" t="n"/>
      <c r="Q359" s="13" t="n"/>
      <c r="R359" s="13" t="n"/>
    </row>
    <row r="360">
      <c r="A360" s="8" t="n">
        <v>356</v>
      </c>
      <c r="B360" s="8" t="inlineStr">
        <is>
          <t>PK-356</t>
        </is>
      </c>
      <c r="C360" s="9" t="inlineStr">
        <is>
          <t>Đồ Ăn Vặt Pleiku</t>
        </is>
      </c>
      <c r="D360" s="8" t="inlineStr">
        <is>
          <t>Nhà hàng</t>
        </is>
      </c>
      <c r="E360" s="9" t="inlineStr">
        <is>
          <t>47 Lý Nam Đế, Phường Phù Đổng, TP. Pleiku</t>
        </is>
      </c>
      <c r="F360" s="9" t="inlineStr">
        <is>
          <t>Lý Nam Đế</t>
        </is>
      </c>
      <c r="G360" s="8" t="inlineStr">
        <is>
          <t>Phường Hội Phú</t>
        </is>
      </c>
      <c r="H360" s="8" t="inlineStr">
        <is>
          <t>Phù Đổng</t>
        </is>
      </c>
      <c r="I360" s="10" t="inlineStr">
        <is>
          <t>Địa chỉ ghi Phường Phù Đổng nhưng vị trí thuộc Phường Hội Phú</t>
        </is>
      </c>
      <c r="J360" s="9" t="inlineStr">
        <is>
          <t>Danh sách tham khảo</t>
        </is>
      </c>
      <c r="K360" s="11" t="inlineStr">
        <is>
          <t>Bản đồ</t>
        </is>
      </c>
      <c r="L360" s="12" t="n"/>
      <c r="M360" s="13" t="n"/>
      <c r="N360" s="13" t="n"/>
      <c r="O360" s="13" t="n"/>
      <c r="P360" s="13" t="n"/>
      <c r="Q360" s="13" t="n"/>
      <c r="R360" s="13" t="n"/>
    </row>
    <row r="361">
      <c r="A361" s="8" t="n">
        <v>357</v>
      </c>
      <c r="B361" s="8" t="inlineStr">
        <is>
          <t>PK-357</t>
        </is>
      </c>
      <c r="C361" s="9" t="inlineStr">
        <is>
          <t>Quán Nhậu Hai Cảng</t>
        </is>
      </c>
      <c r="D361" s="8" t="inlineStr">
        <is>
          <t>Nhà hàng</t>
        </is>
      </c>
      <c r="E361" s="9" t="inlineStr">
        <is>
          <t>1 Nguyễn Tri Phương, Phường Hội Phú, TP. Pleiku</t>
        </is>
      </c>
      <c r="F361" s="9" t="inlineStr">
        <is>
          <t>Nguyễn Tri Phương</t>
        </is>
      </c>
      <c r="G361" s="8" t="inlineStr">
        <is>
          <t>Phường Hội Phú</t>
        </is>
      </c>
      <c r="H361" s="8" t="inlineStr">
        <is>
          <t>Hội Phú</t>
        </is>
      </c>
      <c r="I361" s="9" t="inlineStr"/>
      <c r="J361" s="9" t="inlineStr">
        <is>
          <t>Danh sách tham khảo</t>
        </is>
      </c>
      <c r="K361" s="11" t="inlineStr">
        <is>
          <t>Bản đồ</t>
        </is>
      </c>
      <c r="L361" s="12" t="n"/>
      <c r="M361" s="13" t="n"/>
      <c r="N361" s="13" t="n"/>
      <c r="O361" s="13" t="n"/>
      <c r="P361" s="13" t="n"/>
      <c r="Q361" s="13" t="n"/>
      <c r="R361" s="13" t="n"/>
    </row>
    <row r="362">
      <c r="A362" s="8" t="n">
        <v>358</v>
      </c>
      <c r="B362" s="8" t="inlineStr">
        <is>
          <t>PK-358</t>
        </is>
      </c>
      <c r="C362" s="9" t="inlineStr">
        <is>
          <t>Quán nhậu Nhà Phương</t>
        </is>
      </c>
      <c r="D362" s="8" t="inlineStr">
        <is>
          <t>Nhà hàng</t>
        </is>
      </c>
      <c r="E362" s="9" t="inlineStr">
        <is>
          <t>258 Nguyễn Viết Xuân, Phường Hội Phú, TP. Pleiku</t>
        </is>
      </c>
      <c r="F362" s="9" t="inlineStr">
        <is>
          <t>Nguyễn Viết Xuân</t>
        </is>
      </c>
      <c r="G362" s="8" t="inlineStr">
        <is>
          <t>Phường Hội Phú</t>
        </is>
      </c>
      <c r="H362" s="8" t="inlineStr">
        <is>
          <t>Hội Phú</t>
        </is>
      </c>
      <c r="I362" s="9" t="inlineStr"/>
      <c r="J362" s="9" t="inlineStr">
        <is>
          <t>Danh sách tham khảo</t>
        </is>
      </c>
      <c r="K362" s="11" t="inlineStr">
        <is>
          <t>Bản đồ</t>
        </is>
      </c>
      <c r="L362" s="12" t="n"/>
      <c r="M362" s="13" t="n"/>
      <c r="N362" s="13" t="n"/>
      <c r="O362" s="13" t="n"/>
      <c r="P362" s="13" t="n"/>
      <c r="Q362" s="13" t="n"/>
      <c r="R362" s="13" t="n"/>
    </row>
    <row r="363">
      <c r="A363" s="8" t="n">
        <v>359</v>
      </c>
      <c r="B363" s="8" t="inlineStr">
        <is>
          <t>PK-359</t>
        </is>
      </c>
      <c r="C363" s="9" t="inlineStr">
        <is>
          <t>Hương Rừng Quán</t>
        </is>
      </c>
      <c r="D363" s="8" t="inlineStr">
        <is>
          <t>Nhà hàng</t>
        </is>
      </c>
      <c r="E363" s="9" t="inlineStr">
        <is>
          <t>326 Nguyễn Viết Xuân, Phường Hội Phú, TP. Pleiku</t>
        </is>
      </c>
      <c r="F363" s="9" t="inlineStr">
        <is>
          <t>Nguyễn Viết Xuân</t>
        </is>
      </c>
      <c r="G363" s="8" t="inlineStr">
        <is>
          <t>Phường Hội Phú</t>
        </is>
      </c>
      <c r="H363" s="8" t="inlineStr">
        <is>
          <t>Hội Phú</t>
        </is>
      </c>
      <c r="I363" s="9" t="inlineStr"/>
      <c r="J363" s="9" t="inlineStr">
        <is>
          <t>Danh sách tham khảo</t>
        </is>
      </c>
      <c r="K363" s="11" t="inlineStr">
        <is>
          <t>Bản đồ</t>
        </is>
      </c>
      <c r="L363" s="12" t="n"/>
      <c r="M363" s="13" t="n"/>
      <c r="N363" s="13" t="n"/>
      <c r="O363" s="13" t="n"/>
      <c r="P363" s="13" t="n"/>
      <c r="Q363" s="13" t="n"/>
      <c r="R363" s="13" t="n"/>
    </row>
    <row r="364">
      <c r="A364" s="8" t="n">
        <v>360</v>
      </c>
      <c r="B364" s="8" t="inlineStr">
        <is>
          <t>PK-360</t>
        </is>
      </c>
      <c r="C364" s="9" t="inlineStr">
        <is>
          <t>Quán Bếp Quảng</t>
        </is>
      </c>
      <c r="D364" s="8" t="inlineStr">
        <is>
          <t>Nhà hàng</t>
        </is>
      </c>
      <c r="E364" s="9" t="inlineStr">
        <is>
          <t>344 Nguyễn Viết Xuân, Phường Hội Phú, TP. Pleiku</t>
        </is>
      </c>
      <c r="F364" s="9" t="inlineStr">
        <is>
          <t>Nguyễn Viết Xuân</t>
        </is>
      </c>
      <c r="G364" s="8" t="inlineStr">
        <is>
          <t>Phường Hội Phú</t>
        </is>
      </c>
      <c r="H364" s="8" t="inlineStr">
        <is>
          <t>Hội Phú</t>
        </is>
      </c>
      <c r="I364" s="9" t="inlineStr"/>
      <c r="J364" s="9" t="inlineStr">
        <is>
          <t>Danh sách tham khảo</t>
        </is>
      </c>
      <c r="K364" s="11" t="inlineStr">
        <is>
          <t>Bản đồ</t>
        </is>
      </c>
      <c r="L364" s="12" t="n"/>
      <c r="M364" s="13" t="n"/>
      <c r="N364" s="13" t="n"/>
      <c r="O364" s="13" t="n"/>
      <c r="P364" s="13" t="n"/>
      <c r="Q364" s="13" t="n"/>
      <c r="R364" s="13" t="n"/>
    </row>
    <row r="365">
      <c r="A365" s="8" t="n">
        <v>361</v>
      </c>
      <c r="B365" s="8" t="inlineStr">
        <is>
          <t>PK-361</t>
        </is>
      </c>
      <c r="C365" s="9" t="inlineStr">
        <is>
          <t>Quán Nhậu Vườn Mai</t>
        </is>
      </c>
      <c r="D365" s="8" t="inlineStr">
        <is>
          <t>Nhà hàng</t>
        </is>
      </c>
      <c r="E365" s="9" t="inlineStr">
        <is>
          <t>Hẻm 230 Nguyễn Viết Xuân, Phường Hội Phú, TP. Pleiku</t>
        </is>
      </c>
      <c r="F365" s="9" t="inlineStr">
        <is>
          <t>Nguyễn Viết Xuân</t>
        </is>
      </c>
      <c r="G365" s="8" t="inlineStr">
        <is>
          <t>Phường Hội Phú</t>
        </is>
      </c>
      <c r="H365" s="8" t="inlineStr">
        <is>
          <t>Hội Phú</t>
        </is>
      </c>
      <c r="I365" s="9" t="inlineStr"/>
      <c r="J365" s="9" t="inlineStr">
        <is>
          <t>Danh sách tham khảo</t>
        </is>
      </c>
      <c r="K365" s="11" t="inlineStr">
        <is>
          <t>Bản đồ</t>
        </is>
      </c>
      <c r="L365" s="12" t="n"/>
      <c r="M365" s="13" t="n"/>
      <c r="N365" s="13" t="n"/>
      <c r="O365" s="13" t="n"/>
      <c r="P365" s="13" t="n"/>
      <c r="Q365" s="13" t="n"/>
      <c r="R365" s="13" t="n"/>
    </row>
    <row r="366">
      <c r="A366" s="8" t="n">
        <v>362</v>
      </c>
      <c r="B366" s="8" t="inlineStr">
        <is>
          <t>PK-362</t>
        </is>
      </c>
      <c r="C366" s="9" t="inlineStr">
        <is>
          <t>Gà Nướng Cơm Lam Rơ Châm Rô</t>
        </is>
      </c>
      <c r="D366" s="8" t="inlineStr">
        <is>
          <t>Nhà hàng</t>
        </is>
      </c>
      <c r="E366" s="9" t="inlineStr">
        <is>
          <t>27 đường Thế Lữ, Phường Hội Phú, TP. Pleiku</t>
        </is>
      </c>
      <c r="F366" s="9" t="inlineStr">
        <is>
          <t>Thế Lữ</t>
        </is>
      </c>
      <c r="G366" s="8" t="inlineStr">
        <is>
          <t>Phường Hội Phú</t>
        </is>
      </c>
      <c r="H366" s="8" t="inlineStr">
        <is>
          <t>Hội Phú</t>
        </is>
      </c>
      <c r="I366" s="10" t="inlineStr">
        <is>
          <t>Đã có trên bản đồ – kiểm tra &amp; bổ sung</t>
        </is>
      </c>
      <c r="J366" s="9" t="inlineStr">
        <is>
          <t>Danh sách tham khảo, Hệ thống</t>
        </is>
      </c>
      <c r="K366" s="11" t="inlineStr">
        <is>
          <t>Bản đồ</t>
        </is>
      </c>
      <c r="L366" s="12" t="n"/>
      <c r="M366" s="13" t="n"/>
      <c r="N366" s="13" t="n"/>
      <c r="O366" s="13" t="n"/>
      <c r="P366" s="13" t="n"/>
      <c r="Q366" s="13" t="n"/>
      <c r="R366" s="13" t="n"/>
    </row>
    <row r="367">
      <c r="A367" s="8" t="n">
        <v>363</v>
      </c>
      <c r="B367" s="8" t="inlineStr">
        <is>
          <t>PK-363</t>
        </is>
      </c>
      <c r="C367" s="9" t="inlineStr">
        <is>
          <t>QUÁN NHẬU CÂY ỔI</t>
        </is>
      </c>
      <c r="D367" s="8" t="inlineStr">
        <is>
          <t>Nhà hàng</t>
        </is>
      </c>
      <c r="E367" s="9" t="inlineStr">
        <is>
          <t>38c Trần Nhân Tông, Phường Hội Phú, TP. Pleiku</t>
        </is>
      </c>
      <c r="F367" s="9" t="inlineStr">
        <is>
          <t>Trần Nhân Tông</t>
        </is>
      </c>
      <c r="G367" s="8" t="inlineStr">
        <is>
          <t>Phường Hội Phú</t>
        </is>
      </c>
      <c r="H367" s="8" t="inlineStr">
        <is>
          <t>Hội Phú</t>
        </is>
      </c>
      <c r="I367" s="9" t="inlineStr"/>
      <c r="J367" s="9" t="inlineStr">
        <is>
          <t>Danh sách tham khảo</t>
        </is>
      </c>
      <c r="K367" s="11" t="inlineStr">
        <is>
          <t>Bản đồ</t>
        </is>
      </c>
      <c r="L367" s="12" t="n"/>
      <c r="M367" s="13" t="n"/>
      <c r="N367" s="13" t="n"/>
      <c r="O367" s="13" t="n"/>
      <c r="P367" s="13" t="n"/>
      <c r="Q367" s="13" t="n"/>
      <c r="R367" s="13" t="n"/>
    </row>
    <row r="368">
      <c r="A368" s="8" t="n">
        <v>364</v>
      </c>
      <c r="B368" s="8" t="inlineStr">
        <is>
          <t>PK-364</t>
        </is>
      </c>
      <c r="C368" s="9" t="inlineStr">
        <is>
          <t>Chợ Trà Bá</t>
        </is>
      </c>
      <c r="D368" s="8" t="inlineStr">
        <is>
          <t>Nhà hàng</t>
        </is>
      </c>
      <c r="E368" s="9" t="inlineStr">
        <is>
          <t>18 Trường Chinh, Phường Trà Bá, TP. Pleiku</t>
        </is>
      </c>
      <c r="F368" s="9" t="inlineStr">
        <is>
          <t>Trường Chinh</t>
        </is>
      </c>
      <c r="G368" s="8" t="inlineStr">
        <is>
          <t>Phường Hội Phú</t>
        </is>
      </c>
      <c r="H368" s="8" t="inlineStr">
        <is>
          <t>Trà Bá</t>
        </is>
      </c>
      <c r="I368" s="10" t="inlineStr">
        <is>
          <t>Có thể không phải quán ăn</t>
        </is>
      </c>
      <c r="J368" s="9" t="inlineStr">
        <is>
          <t>Danh sách tham khảo</t>
        </is>
      </c>
      <c r="K368" s="11" t="inlineStr">
        <is>
          <t>Bản đồ</t>
        </is>
      </c>
      <c r="L368" s="12" t="n"/>
      <c r="M368" s="13" t="n"/>
      <c r="N368" s="13" t="n"/>
      <c r="O368" s="13" t="n"/>
      <c r="P368" s="13" t="n"/>
      <c r="Q368" s="13" t="n"/>
      <c r="R368" s="13" t="n"/>
    </row>
    <row r="369">
      <c r="A369" s="8" t="n">
        <v>365</v>
      </c>
      <c r="B369" s="8" t="inlineStr">
        <is>
          <t>PK-365</t>
        </is>
      </c>
      <c r="C369" s="9" t="inlineStr">
        <is>
          <t>Phở Khô Gia Lai - Phở Bò Nam Định - Hùng Ròm - Có bán Tết!</t>
        </is>
      </c>
      <c r="D369" s="8" t="inlineStr">
        <is>
          <t>Nhà hàng</t>
        </is>
      </c>
      <c r="E369" s="9" t="inlineStr">
        <is>
          <t>127 Trường Chinh, Phường Trà Bá, TP. Pleiku</t>
        </is>
      </c>
      <c r="F369" s="9" t="inlineStr">
        <is>
          <t>Trường Chinh</t>
        </is>
      </c>
      <c r="G369" s="8" t="inlineStr">
        <is>
          <t>Phường Hội Phú</t>
        </is>
      </c>
      <c r="H369" s="8" t="inlineStr">
        <is>
          <t>Trà Bá</t>
        </is>
      </c>
      <c r="I369" s="10" t="inlineStr">
        <is>
          <t>Tên có thể kèm quảng cáo – ghi lại tên trên biển hiệu; Đã có trên bản đồ – kiểm tra &amp; bổ sung</t>
        </is>
      </c>
      <c r="J369" s="9" t="inlineStr">
        <is>
          <t>Danh sách tham khảo, Hệ thống</t>
        </is>
      </c>
      <c r="K369" s="11" t="inlineStr">
        <is>
          <t>Bản đồ</t>
        </is>
      </c>
      <c r="L369" s="12" t="n"/>
      <c r="M369" s="13" t="n"/>
      <c r="N369" s="13" t="n"/>
      <c r="O369" s="13" t="n"/>
      <c r="P369" s="13" t="n"/>
      <c r="Q369" s="13" t="n"/>
      <c r="R369" s="13" t="n"/>
    </row>
    <row r="370">
      <c r="A370" s="8" t="n">
        <v>366</v>
      </c>
      <c r="B370" s="8" t="inlineStr">
        <is>
          <t>PK-366</t>
        </is>
      </c>
      <c r="C370" s="9" t="inlineStr">
        <is>
          <t>Cơm tấm ba tý</t>
        </is>
      </c>
      <c r="D370" s="8" t="inlineStr">
        <is>
          <t>Nhà hàng</t>
        </is>
      </c>
      <c r="E370" s="9" t="inlineStr">
        <is>
          <t>163 Trường Chinh, Phường Trà Bá, TP. Pleiku</t>
        </is>
      </c>
      <c r="F370" s="9" t="inlineStr">
        <is>
          <t>Trường Chinh</t>
        </is>
      </c>
      <c r="G370" s="8" t="inlineStr">
        <is>
          <t>Phường Hội Phú</t>
        </is>
      </c>
      <c r="H370" s="8" t="inlineStr">
        <is>
          <t>Trà Bá</t>
        </is>
      </c>
      <c r="I370" s="9" t="inlineStr"/>
      <c r="J370" s="9" t="inlineStr">
        <is>
          <t>Danh sách tham khảo</t>
        </is>
      </c>
      <c r="K370" s="11" t="inlineStr">
        <is>
          <t>Bản đồ</t>
        </is>
      </c>
      <c r="L370" s="12" t="n"/>
      <c r="M370" s="13" t="n"/>
      <c r="N370" s="13" t="n"/>
      <c r="O370" s="13" t="n"/>
      <c r="P370" s="13" t="n"/>
      <c r="Q370" s="13" t="n"/>
      <c r="R370" s="13" t="n"/>
    </row>
    <row r="371">
      <c r="A371" s="8" t="n">
        <v>367</v>
      </c>
      <c r="B371" s="8" t="inlineStr">
        <is>
          <t>PK-367</t>
        </is>
      </c>
      <c r="C371" s="9" t="inlineStr">
        <is>
          <t>Tiệm Nhà GOGA</t>
        </is>
      </c>
      <c r="D371" s="8" t="inlineStr">
        <is>
          <t>Nhà hàng</t>
        </is>
      </c>
      <c r="E371" s="9" t="inlineStr">
        <is>
          <t>298 Trường Chinh, Phường Trà Bá, TP. Pleiku</t>
        </is>
      </c>
      <c r="F371" s="9" t="inlineStr">
        <is>
          <t>Trường Chinh</t>
        </is>
      </c>
      <c r="G371" s="8" t="inlineStr">
        <is>
          <t>Phường Hội Phú</t>
        </is>
      </c>
      <c r="H371" s="8" t="inlineStr">
        <is>
          <t>Trà Bá</t>
        </is>
      </c>
      <c r="I371" s="9" t="inlineStr"/>
      <c r="J371" s="9" t="inlineStr">
        <is>
          <t>Danh sách tham khảo</t>
        </is>
      </c>
      <c r="K371" s="11" t="inlineStr">
        <is>
          <t>Bản đồ</t>
        </is>
      </c>
      <c r="L371" s="12" t="n"/>
      <c r="M371" s="13" t="n"/>
      <c r="N371" s="13" t="n"/>
      <c r="O371" s="13" t="n"/>
      <c r="P371" s="13" t="n"/>
      <c r="Q371" s="13" t="n"/>
      <c r="R371" s="13" t="n"/>
    </row>
    <row r="372">
      <c r="A372" s="8" t="n">
        <v>368</v>
      </c>
      <c r="B372" s="8" t="inlineStr">
        <is>
          <t>PK-368</t>
        </is>
      </c>
      <c r="C372" s="9" t="inlineStr">
        <is>
          <t>Quán nhậu Toàn Em</t>
        </is>
      </c>
      <c r="D372" s="8" t="inlineStr">
        <is>
          <t>Nhà hàng</t>
        </is>
      </c>
      <c r="E372" s="9" t="inlineStr">
        <is>
          <t>300Nguyễn Viết Xuân, Phường Hội Phú, TP. Pleiku</t>
        </is>
      </c>
      <c r="F372" s="9" t="inlineStr">
        <is>
          <t>Viết Xuân</t>
        </is>
      </c>
      <c r="G372" s="8" t="inlineStr">
        <is>
          <t>Phường Hội Phú</t>
        </is>
      </c>
      <c r="H372" s="8" t="inlineStr">
        <is>
          <t>Hội Phú</t>
        </is>
      </c>
      <c r="I372" s="9" t="inlineStr"/>
      <c r="J372" s="9" t="inlineStr">
        <is>
          <t>Danh sách tham khảo</t>
        </is>
      </c>
      <c r="K372" s="11" t="inlineStr">
        <is>
          <t>Bản đồ</t>
        </is>
      </c>
      <c r="L372" s="12" t="n"/>
      <c r="M372" s="13" t="n"/>
      <c r="N372" s="13" t="n"/>
      <c r="O372" s="13" t="n"/>
      <c r="P372" s="13" t="n"/>
      <c r="Q372" s="13" t="n"/>
      <c r="R372" s="13" t="n"/>
    </row>
    <row r="373">
      <c r="A373" s="8" t="n">
        <v>369</v>
      </c>
      <c r="B373" s="8" t="inlineStr">
        <is>
          <t>PK-369</t>
        </is>
      </c>
      <c r="C373" s="9" t="inlineStr">
        <is>
          <t>Quán Bê Nam</t>
        </is>
      </c>
      <c r="D373" s="8" t="inlineStr">
        <is>
          <t>Nhà hàng</t>
        </is>
      </c>
      <c r="E373" s="9" t="inlineStr">
        <is>
          <t>X29G+9FF, Phường Trà Bá, TP. Pleiku</t>
        </is>
      </c>
      <c r="F373" s="9" t="inlineStr">
        <is>
          <t>X29G+9FF</t>
        </is>
      </c>
      <c r="G373" s="8" t="inlineStr">
        <is>
          <t>Phường Hội Phú</t>
        </is>
      </c>
      <c r="H373" s="8" t="inlineStr">
        <is>
          <t>Trà Bá</t>
        </is>
      </c>
      <c r="I373" s="10" t="inlineStr">
        <is>
          <t>Địa chỉ chưa có số nhà</t>
        </is>
      </c>
      <c r="J373" s="9" t="inlineStr">
        <is>
          <t>Danh sách tham khảo</t>
        </is>
      </c>
      <c r="K373" s="11" t="inlineStr">
        <is>
          <t>Bản đồ</t>
        </is>
      </c>
      <c r="L373" s="12" t="n"/>
      <c r="M373" s="13" t="n"/>
      <c r="N373" s="13" t="n"/>
      <c r="O373" s="13" t="n"/>
      <c r="P373" s="13" t="n"/>
      <c r="Q373" s="13" t="n"/>
      <c r="R373" s="13" t="n"/>
    </row>
    <row r="374">
      <c r="A374" s="8" t="n">
        <v>370</v>
      </c>
      <c r="B374" s="8" t="inlineStr">
        <is>
          <t>PK-370</t>
        </is>
      </c>
      <c r="C374" s="9" t="inlineStr">
        <is>
          <t>Quán Phở Gà Thảo Ú</t>
        </is>
      </c>
      <c r="D374" s="8" t="inlineStr">
        <is>
          <t>Nhà hàng</t>
        </is>
      </c>
      <c r="E374" s="9" t="inlineStr">
        <is>
          <t>X2F5+CHM, Đường Bờ kè, Phường Hội Phú, TP. Pleiku</t>
        </is>
      </c>
      <c r="F374" s="9" t="inlineStr">
        <is>
          <t>X2F5+CHM</t>
        </is>
      </c>
      <c r="G374" s="8" t="inlineStr">
        <is>
          <t>Phường Hội Phú</t>
        </is>
      </c>
      <c r="H374" s="8" t="inlineStr">
        <is>
          <t>Hội Phú</t>
        </is>
      </c>
      <c r="I374" s="10" t="inlineStr">
        <is>
          <t>Địa chỉ chưa có số nhà</t>
        </is>
      </c>
      <c r="J374" s="9" t="inlineStr">
        <is>
          <t>Danh sách tham khảo</t>
        </is>
      </c>
      <c r="K374" s="11" t="inlineStr">
        <is>
          <t>Bản đồ</t>
        </is>
      </c>
      <c r="L374" s="12" t="n"/>
      <c r="M374" s="13" t="n"/>
      <c r="N374" s="13" t="n"/>
      <c r="O374" s="13" t="n"/>
      <c r="P374" s="13" t="n"/>
      <c r="Q374" s="13" t="n"/>
      <c r="R374" s="13" t="n"/>
    </row>
    <row r="375">
      <c r="A375" s="8" t="n">
        <v>371</v>
      </c>
      <c r="B375" s="8" t="inlineStr">
        <is>
          <t>PK-371</t>
        </is>
      </c>
      <c r="C375" s="9" t="inlineStr">
        <is>
          <t>Hoa Sơn Quán</t>
        </is>
      </c>
      <c r="D375" s="8" t="inlineStr">
        <is>
          <t>Nhà hàng</t>
        </is>
      </c>
      <c r="E375" s="9" t="inlineStr">
        <is>
          <t>XX6V+MP4, Phường Hội Phú, TP. Pleiku</t>
        </is>
      </c>
      <c r="F375" s="9" t="inlineStr">
        <is>
          <t>XX6V+MP4</t>
        </is>
      </c>
      <c r="G375" s="8" t="inlineStr">
        <is>
          <t>Phường Hội Phú</t>
        </is>
      </c>
      <c r="H375" s="8" t="inlineStr">
        <is>
          <t>Hội Phú</t>
        </is>
      </c>
      <c r="I375" s="10" t="inlineStr">
        <is>
          <t>Địa chỉ chưa có số nhà</t>
        </is>
      </c>
      <c r="J375" s="9" t="inlineStr">
        <is>
          <t>Danh sách tham khảo</t>
        </is>
      </c>
      <c r="K375" s="11" t="inlineStr">
        <is>
          <t>Bản đồ</t>
        </is>
      </c>
      <c r="L375" s="12" t="n"/>
      <c r="M375" s="13" t="n"/>
      <c r="N375" s="13" t="n"/>
      <c r="O375" s="13" t="n"/>
      <c r="P375" s="13" t="n"/>
      <c r="Q375" s="13" t="n"/>
      <c r="R375" s="13" t="n"/>
    </row>
    <row r="376">
      <c r="A376" s="8" t="n">
        <v>372</v>
      </c>
      <c r="B376" s="8" t="inlineStr">
        <is>
          <t>PK-372</t>
        </is>
      </c>
      <c r="C376" s="9" t="inlineStr">
        <is>
          <t>Bò Một Nắng</t>
        </is>
      </c>
      <c r="D376" s="8" t="inlineStr">
        <is>
          <t>Nhà hàng</t>
        </is>
      </c>
      <c r="E376" s="9" t="inlineStr">
        <is>
          <t>41 Anh Hùng Đôn, Phường Thắng Lợi, TP. Pleiku</t>
        </is>
      </c>
      <c r="F376" s="9" t="inlineStr">
        <is>
          <t>Anh Hùng Đôn</t>
        </is>
      </c>
      <c r="G376" s="8" t="inlineStr">
        <is>
          <t>Phường An Phú</t>
        </is>
      </c>
      <c r="H376" s="8" t="inlineStr">
        <is>
          <t>Thắng Lợi</t>
        </is>
      </c>
      <c r="I376" s="9" t="inlineStr"/>
      <c r="J376" s="9" t="inlineStr">
        <is>
          <t>Danh sách tham khảo</t>
        </is>
      </c>
      <c r="K376" s="11" t="inlineStr">
        <is>
          <t>Bản đồ</t>
        </is>
      </c>
      <c r="L376" s="12" t="n"/>
      <c r="M376" s="13" t="n"/>
      <c r="N376" s="13" t="n"/>
      <c r="O376" s="13" t="n"/>
      <c r="P376" s="13" t="n"/>
      <c r="Q376" s="13" t="n"/>
      <c r="R376" s="13" t="n"/>
    </row>
    <row r="377">
      <c r="A377" s="8" t="n">
        <v>373</v>
      </c>
      <c r="B377" s="8" t="inlineStr">
        <is>
          <t>PK-373</t>
        </is>
      </c>
      <c r="C377" s="9" t="inlineStr">
        <is>
          <t>Phở Cười</t>
        </is>
      </c>
      <c r="D377" s="8" t="inlineStr">
        <is>
          <t>Nhà hàng</t>
        </is>
      </c>
      <c r="E377" s="9" t="inlineStr">
        <is>
          <t>101 Âu Cơ, Phường Thắng Lợi, TP. Pleiku</t>
        </is>
      </c>
      <c r="F377" s="9" t="inlineStr">
        <is>
          <t>Âu Cơ</t>
        </is>
      </c>
      <c r="G377" s="8" t="inlineStr">
        <is>
          <t>Phường An Phú</t>
        </is>
      </c>
      <c r="H377" s="8" t="inlineStr">
        <is>
          <t>Thắng Lợi</t>
        </is>
      </c>
      <c r="I377" s="9" t="inlineStr"/>
      <c r="J377" s="9" t="inlineStr">
        <is>
          <t>Danh sách tham khảo</t>
        </is>
      </c>
      <c r="K377" s="11" t="inlineStr">
        <is>
          <t>Bản đồ</t>
        </is>
      </c>
      <c r="L377" s="12" t="n"/>
      <c r="M377" s="13" t="n"/>
      <c r="N377" s="13" t="n"/>
      <c r="O377" s="13" t="n"/>
      <c r="P377" s="13" t="n"/>
      <c r="Q377" s="13" t="n"/>
      <c r="R377" s="13" t="n"/>
    </row>
    <row r="378">
      <c r="A378" s="8" t="n">
        <v>374</v>
      </c>
      <c r="B378" s="8" t="inlineStr">
        <is>
          <t>PK-374</t>
        </is>
      </c>
      <c r="C378" s="9" t="inlineStr">
        <is>
          <t>Pleiku Mẹt Gà Lên Mẹt</t>
        </is>
      </c>
      <c r="D378" s="8" t="inlineStr">
        <is>
          <t>Nhà hàng</t>
        </is>
      </c>
      <c r="E378" s="9" t="inlineStr">
        <is>
          <t>73 Lạc Long Quân, Phường Thắng Lợi, TP. Pleiku</t>
        </is>
      </c>
      <c r="F378" s="9" t="inlineStr">
        <is>
          <t>Lạc Long Quân</t>
        </is>
      </c>
      <c r="G378" s="8" t="inlineStr">
        <is>
          <t>Phường An Phú</t>
        </is>
      </c>
      <c r="H378" s="8" t="inlineStr">
        <is>
          <t>Thắng Lợi</t>
        </is>
      </c>
      <c r="I378" s="9" t="inlineStr"/>
      <c r="J378" s="9" t="inlineStr">
        <is>
          <t>Danh sách tham khảo</t>
        </is>
      </c>
      <c r="K378" s="11" t="inlineStr">
        <is>
          <t>Bản đồ</t>
        </is>
      </c>
      <c r="L378" s="12" t="n"/>
      <c r="M378" s="13" t="n"/>
      <c r="N378" s="13" t="n"/>
      <c r="O378" s="13" t="n"/>
      <c r="P378" s="13" t="n"/>
      <c r="Q378" s="13" t="n"/>
      <c r="R378" s="13" t="n"/>
    </row>
    <row r="379">
      <c r="A379" s="8" t="n">
        <v>375</v>
      </c>
      <c r="B379" s="8" t="inlineStr">
        <is>
          <t>PK-375</t>
        </is>
      </c>
      <c r="C379" s="9" t="inlineStr">
        <is>
          <t>Bún Cá rô đồng Plei Ku</t>
        </is>
      </c>
      <c r="D379" s="8" t="inlineStr">
        <is>
          <t>Nhà hàng</t>
        </is>
      </c>
      <c r="E379" s="9" t="inlineStr">
        <is>
          <t>273 Lê Duẩn, Phường Thắng Lợi, TP. Pleiku</t>
        </is>
      </c>
      <c r="F379" s="9" t="inlineStr">
        <is>
          <t>Lê Duẩn</t>
        </is>
      </c>
      <c r="G379" s="8" t="inlineStr">
        <is>
          <t>Phường An Phú</t>
        </is>
      </c>
      <c r="H379" s="8" t="inlineStr">
        <is>
          <t>Thắng Lợi</t>
        </is>
      </c>
      <c r="I379" s="9" t="inlineStr"/>
      <c r="J379" s="9" t="inlineStr">
        <is>
          <t>Danh sách tham khảo</t>
        </is>
      </c>
      <c r="K379" s="11" t="inlineStr">
        <is>
          <t>Bản đồ</t>
        </is>
      </c>
      <c r="L379" s="12" t="n"/>
      <c r="M379" s="13" t="n"/>
      <c r="N379" s="13" t="n"/>
      <c r="O379" s="13" t="n"/>
      <c r="P379" s="13" t="n"/>
      <c r="Q379" s="13" t="n"/>
      <c r="R379" s="13" t="n"/>
    </row>
    <row r="380">
      <c r="A380" s="8" t="n">
        <v>376</v>
      </c>
      <c r="B380" s="8" t="inlineStr">
        <is>
          <t>PK-376</t>
        </is>
      </c>
      <c r="C380" s="9" t="inlineStr">
        <is>
          <t>Phở Bắc 273 Lê Duẩn</t>
        </is>
      </c>
      <c r="D380" s="8" t="inlineStr">
        <is>
          <t>Nhà hàng</t>
        </is>
      </c>
      <c r="E380" s="9" t="inlineStr">
        <is>
          <t>273 Lê Duẩn, Phường Thắng Lợi, TP. Pleiku</t>
        </is>
      </c>
      <c r="F380" s="9" t="inlineStr">
        <is>
          <t>Lê Duẩn</t>
        </is>
      </c>
      <c r="G380" s="8" t="inlineStr">
        <is>
          <t>Phường An Phú</t>
        </is>
      </c>
      <c r="H380" s="8" t="inlineStr">
        <is>
          <t>Thắng Lợi</t>
        </is>
      </c>
      <c r="I380" s="9" t="inlineStr"/>
      <c r="J380" s="9" t="inlineStr">
        <is>
          <t>Danh sách tham khảo</t>
        </is>
      </c>
      <c r="K380" s="11" t="inlineStr">
        <is>
          <t>Bản đồ</t>
        </is>
      </c>
      <c r="L380" s="12" t="n"/>
      <c r="M380" s="13" t="n"/>
      <c r="N380" s="13" t="n"/>
      <c r="O380" s="13" t="n"/>
      <c r="P380" s="13" t="n"/>
      <c r="Q380" s="13" t="n"/>
      <c r="R380" s="13" t="n"/>
    </row>
    <row r="381">
      <c r="A381" s="8" t="n">
        <v>377</v>
      </c>
      <c r="B381" s="8" t="inlineStr">
        <is>
          <t>PK-377</t>
        </is>
      </c>
      <c r="C381" s="9" t="inlineStr">
        <is>
          <t>Quán Ăn 398</t>
        </is>
      </c>
      <c r="D381" s="8" t="inlineStr">
        <is>
          <t>Nhà hàng</t>
        </is>
      </c>
      <c r="E381" s="9" t="inlineStr">
        <is>
          <t>398 Lê Duẩn, Phường Thắng Lợi, TP. Pleiku</t>
        </is>
      </c>
      <c r="F381" s="9" t="inlineStr">
        <is>
          <t>Lê Duẩn</t>
        </is>
      </c>
      <c r="G381" s="8" t="inlineStr">
        <is>
          <t>Phường An Phú</t>
        </is>
      </c>
      <c r="H381" s="8" t="inlineStr">
        <is>
          <t>Thắng Lợi</t>
        </is>
      </c>
      <c r="I381" s="9" t="inlineStr"/>
      <c r="J381" s="9" t="inlineStr">
        <is>
          <t>Danh sách tham khảo</t>
        </is>
      </c>
      <c r="K381" s="11" t="inlineStr">
        <is>
          <t>Bản đồ</t>
        </is>
      </c>
      <c r="L381" s="12" t="n"/>
      <c r="M381" s="13" t="n"/>
      <c r="N381" s="13" t="n"/>
      <c r="O381" s="13" t="n"/>
      <c r="P381" s="13" t="n"/>
      <c r="Q381" s="13" t="n"/>
      <c r="R381" s="13" t="n"/>
    </row>
    <row r="382">
      <c r="A382" s="8" t="n">
        <v>378</v>
      </c>
      <c r="B382" s="8" t="inlineStr">
        <is>
          <t>PK-378</t>
        </is>
      </c>
      <c r="C382" s="9" t="inlineStr">
        <is>
          <t>cơm lam gà nướng Bazan Pleiku</t>
        </is>
      </c>
      <c r="D382" s="8" t="inlineStr">
        <is>
          <t>Nhà hàng</t>
        </is>
      </c>
      <c r="E382" s="9" t="inlineStr">
        <is>
          <t>Hẻm 480 Lê Duẩn, Phường Thắng Lợi, TP. Pleiku</t>
        </is>
      </c>
      <c r="F382" s="9" t="inlineStr">
        <is>
          <t>Lê Duẩn</t>
        </is>
      </c>
      <c r="G382" s="8" t="inlineStr">
        <is>
          <t>Phường An Phú</t>
        </is>
      </c>
      <c r="H382" s="8" t="inlineStr">
        <is>
          <t>Thắng Lợi</t>
        </is>
      </c>
      <c r="I382" s="10" t="inlineStr">
        <is>
          <t>Đã có trên bản đồ – kiểm tra &amp; bổ sung</t>
        </is>
      </c>
      <c r="J382" s="9" t="inlineStr">
        <is>
          <t>Danh sách tham khảo, Hệ thống</t>
        </is>
      </c>
      <c r="K382" s="11" t="inlineStr">
        <is>
          <t>Bản đồ</t>
        </is>
      </c>
      <c r="L382" s="12" t="n"/>
      <c r="M382" s="13" t="n"/>
      <c r="N382" s="13" t="n"/>
      <c r="O382" s="13" t="n"/>
      <c r="P382" s="13" t="n"/>
      <c r="Q382" s="13" t="n"/>
      <c r="R382" s="13" t="n"/>
    </row>
    <row r="383">
      <c r="A383" s="8" t="n">
        <v>379</v>
      </c>
      <c r="B383" s="8" t="inlineStr">
        <is>
          <t>PK-379</t>
        </is>
      </c>
      <c r="C383" s="9" t="inlineStr">
        <is>
          <t>Raca farm</t>
        </is>
      </c>
      <c r="D383" s="8" t="inlineStr">
        <is>
          <t>Quán cà phê</t>
        </is>
      </c>
      <c r="E383" s="9" t="inlineStr">
        <is>
          <t>hẻm 443 Lê Duẩn, phường, An Phú, Gia Lai 600000, Việt Nam</t>
        </is>
      </c>
      <c r="F383" s="9" t="inlineStr">
        <is>
          <t>Lê Duẩn</t>
        </is>
      </c>
      <c r="G383" s="8" t="inlineStr">
        <is>
          <t>Phường An Phú</t>
        </is>
      </c>
      <c r="H383" s="8" t="inlineStr"/>
      <c r="I383" s="10" t="inlineStr">
        <is>
          <t>Đã có trên bản đồ – kiểm tra &amp; bổ sung</t>
        </is>
      </c>
      <c r="J383" s="9" t="inlineStr">
        <is>
          <t>Hệ thống</t>
        </is>
      </c>
      <c r="K383" s="11" t="inlineStr">
        <is>
          <t>Bản đồ</t>
        </is>
      </c>
      <c r="L383" s="12" t="n"/>
      <c r="M383" s="13" t="n"/>
      <c r="N383" s="13" t="n"/>
      <c r="O383" s="13" t="n"/>
      <c r="P383" s="13" t="n"/>
      <c r="Q383" s="13" t="n"/>
      <c r="R383" s="13" t="n"/>
    </row>
    <row r="384">
      <c r="A384" s="8" t="n">
        <v>380</v>
      </c>
      <c r="B384" s="8" t="inlineStr">
        <is>
          <t>PK-380</t>
        </is>
      </c>
      <c r="C384" s="9" t="inlineStr">
        <is>
          <t>Quán cơm 319</t>
        </is>
      </c>
      <c r="D384" s="8" t="inlineStr">
        <is>
          <t>Nhà hàng</t>
        </is>
      </c>
      <c r="E384" s="9" t="inlineStr">
        <is>
          <t>319 QL19, Phường Thắng Lợi, TP. Pleiku</t>
        </is>
      </c>
      <c r="F384" s="9" t="inlineStr">
        <is>
          <t>QL19</t>
        </is>
      </c>
      <c r="G384" s="8" t="inlineStr">
        <is>
          <t>Phường An Phú</t>
        </is>
      </c>
      <c r="H384" s="8" t="inlineStr">
        <is>
          <t>Thắng Lợi</t>
        </is>
      </c>
      <c r="I384" s="9" t="inlineStr"/>
      <c r="J384" s="9" t="inlineStr">
        <is>
          <t>Danh sách tham khảo</t>
        </is>
      </c>
      <c r="K384" s="11" t="inlineStr">
        <is>
          <t>Bản đồ</t>
        </is>
      </c>
      <c r="L384" s="12" t="n"/>
      <c r="M384" s="13" t="n"/>
      <c r="N384" s="13" t="n"/>
      <c r="O384" s="13" t="n"/>
      <c r="P384" s="13" t="n"/>
      <c r="Q384" s="13" t="n"/>
      <c r="R384" s="13" t="n"/>
    </row>
    <row r="385">
      <c r="A385" s="8" t="n">
        <v>381</v>
      </c>
      <c r="B385" s="8" t="inlineStr">
        <is>
          <t>PK-381</t>
        </is>
      </c>
      <c r="C385" s="9" t="inlineStr">
        <is>
          <t>Quán Đệ Nhất Dê Cỏ - 40 Võ Văn Tần</t>
        </is>
      </c>
      <c r="D385" s="8" t="inlineStr">
        <is>
          <t>Nhà hàng</t>
        </is>
      </c>
      <c r="E385" s="9" t="inlineStr">
        <is>
          <t>40 Võ Văn Tần, Phường Thắng Lợi, TP. Pleiku</t>
        </is>
      </c>
      <c r="F385" s="9" t="inlineStr">
        <is>
          <t>Võ Văn Tần</t>
        </is>
      </c>
      <c r="G385" s="8" t="inlineStr">
        <is>
          <t>Phường An Phú</t>
        </is>
      </c>
      <c r="H385" s="8" t="inlineStr">
        <is>
          <t>Thắng Lợi</t>
        </is>
      </c>
      <c r="I385" s="9" t="inlineStr"/>
      <c r="J385" s="9" t="inlineStr">
        <is>
          <t>Danh sách tham khảo</t>
        </is>
      </c>
      <c r="K385" s="11" t="inlineStr">
        <is>
          <t>Bản đồ</t>
        </is>
      </c>
      <c r="L385" s="12" t="n"/>
      <c r="M385" s="13" t="n"/>
      <c r="N385" s="13" t="n"/>
      <c r="O385" s="13" t="n"/>
      <c r="P385" s="13" t="n"/>
      <c r="Q385" s="13" t="n"/>
      <c r="R385" s="13" t="n"/>
    </row>
    <row r="386">
      <c r="A386" s="8" t="n">
        <v>382</v>
      </c>
      <c r="B386" s="8" t="inlineStr">
        <is>
          <t>PK-382</t>
        </is>
      </c>
      <c r="C386" s="9" t="inlineStr">
        <is>
          <t>Tơ Nưng</t>
        </is>
      </c>
      <c r="D386" s="8" t="inlineStr">
        <is>
          <t>Nhà hàng</t>
        </is>
      </c>
      <c r="E386" s="9" t="inlineStr"/>
      <c r="F386" s="9" t="inlineStr">
        <is>
          <t>(chưa rõ đường)</t>
        </is>
      </c>
      <c r="G386" s="8" t="inlineStr">
        <is>
          <t>Xã Biển Hồ</t>
        </is>
      </c>
      <c r="H386" s="8" t="inlineStr"/>
      <c r="I386" s="10" t="inlineStr">
        <is>
          <t>Địa chỉ chưa có số nhà; Trùng vị trí với: Nhà Hàng Tơ Nưng-Biển Hồ</t>
        </is>
      </c>
      <c r="J386" s="9" t="inlineStr">
        <is>
          <t>OpenStreetMap</t>
        </is>
      </c>
      <c r="K386" s="11" t="inlineStr">
        <is>
          <t>Bản đồ</t>
        </is>
      </c>
      <c r="L386" s="12" t="n"/>
      <c r="M386" s="13" t="n"/>
      <c r="N386" s="13" t="n"/>
      <c r="O386" s="13" t="n"/>
      <c r="P386" s="13" t="n"/>
      <c r="Q386" s="13" t="n"/>
      <c r="R386" s="13" t="n"/>
    </row>
    <row r="387">
      <c r="A387" s="8" t="n">
        <v>383</v>
      </c>
      <c r="B387" s="8" t="inlineStr">
        <is>
          <t>PK-383</t>
        </is>
      </c>
      <c r="C387" s="9" t="inlineStr">
        <is>
          <t>Nhà Hàng Tơ Nưng-Biển Hồ</t>
        </is>
      </c>
      <c r="D387" s="8" t="inlineStr">
        <is>
          <t>Nhà hàng</t>
        </is>
      </c>
      <c r="E387" s="9" t="inlineStr">
        <is>
          <t>220 Tôn Đức Thắng, Phường Hoa Lư, TP. Pleiku</t>
        </is>
      </c>
      <c r="F387" s="9" t="inlineStr">
        <is>
          <t>Tôn Đức Thắng</t>
        </is>
      </c>
      <c r="G387" s="8" t="inlineStr">
        <is>
          <t>Xã Biển Hồ</t>
        </is>
      </c>
      <c r="H387" s="8" t="inlineStr">
        <is>
          <t>Hoa Lư</t>
        </is>
      </c>
      <c r="I387" s="10" t="inlineStr">
        <is>
          <t>Địa chỉ ghi Phường Hoa Lư nhưng vị trí thuộc Xã Biển Hồ; Trùng vị trí với: Tơ Nưng</t>
        </is>
      </c>
      <c r="J387" s="9" t="inlineStr">
        <is>
          <t>Danh sách tham khảo</t>
        </is>
      </c>
      <c r="K387" s="11" t="inlineStr">
        <is>
          <t>Bản đồ</t>
        </is>
      </c>
      <c r="L387" s="12" t="n"/>
      <c r="M387" s="13" t="n"/>
      <c r="N387" s="13" t="n"/>
      <c r="O387" s="13" t="n"/>
      <c r="P387" s="13" t="n"/>
      <c r="Q387" s="13" t="n"/>
      <c r="R387" s="13" t="n"/>
    </row>
    <row r="388">
      <c r="A388" s="8" t="n">
        <v>384</v>
      </c>
      <c r="B388" s="8" t="inlineStr">
        <is>
          <t>PK-384</t>
        </is>
      </c>
      <c r="C388" s="9" t="inlineStr">
        <is>
          <t>Ẩm Thực Kơ Nia - Cơm Lam Gà Nướng</t>
        </is>
      </c>
      <c r="D388" s="8" t="inlineStr">
        <is>
          <t>Nhà hàng</t>
        </is>
      </c>
      <c r="E388" s="9" t="inlineStr">
        <is>
          <t>Hẻm 151 Tôn Đức Thắng, Phường Thắng Lợi, TP. Pleiku</t>
        </is>
      </c>
      <c r="F388" s="9" t="inlineStr">
        <is>
          <t>Tôn Đức Thắng</t>
        </is>
      </c>
      <c r="G388" s="8" t="inlineStr">
        <is>
          <t>Xã Biển Hồ</t>
        </is>
      </c>
      <c r="H388" s="8" t="inlineStr">
        <is>
          <t>Thắng Lợi</t>
        </is>
      </c>
      <c r="I388" s="10" t="inlineStr">
        <is>
          <t>Địa chỉ ghi Phường Thắng Lợi nhưng vị trí thuộc Xã Biển Hồ</t>
        </is>
      </c>
      <c r="J388" s="9" t="inlineStr">
        <is>
          <t>Danh sách tham khảo</t>
        </is>
      </c>
      <c r="K388" s="11" t="inlineStr">
        <is>
          <t>Bản đồ</t>
        </is>
      </c>
      <c r="L388" s="12" t="n"/>
      <c r="M388" s="13" t="n"/>
      <c r="N388" s="13" t="n"/>
      <c r="O388" s="13" t="n"/>
      <c r="P388" s="13" t="n"/>
      <c r="Q388" s="13" t="n"/>
      <c r="R388" s="13" t="n"/>
    </row>
  </sheetData>
  <autoFilter ref="A4:R388"/>
  <conditionalFormatting sqref="M5:M388">
    <cfRule type="expression" priority="1" dxfId="0">
      <formula>M5="Đã thu thập đủ"</formula>
    </cfRule>
    <cfRule type="expression" priority="2" dxfId="1">
      <formula>OR(M5="Đã đóng cửa",M5="Không tìm thấy",M5="Không phải quán ăn",M5="Từ chối cung cấp")</formula>
    </cfRule>
  </conditionalFormatting>
  <dataValidations count="3">
    <dataValidation sqref="M5:M388" showDropDown="0" showInputMessage="0" showErrorMessage="1" allowBlank="1" error="Chọn kết quả trong danh sách." type="list">
      <formula1>"Đã thu thập đủ,Chủ quán hẹn lại,Từ chối cung cấp,Đã đóng cửa,Không tìm thấy,Đã chuyển địa chỉ,Không phải quán ăn"</formula1>
    </dataValidation>
    <dataValidation sqref="O5:P388" showDropDown="0" showInputMessage="0" showErrorMessage="0" allowBlank="1" type="list">
      <formula1>"Có,Không"</formula1>
    </dataValidation>
    <dataValidation sqref="L5:L388" showDropDown="0" showInputMessage="0" showErrorMessage="1" allowBlank="0" error="Nhập ngày dd/mm/yyyy." type="date" operator="between">
      <formula1>DATE(2025,1,1)</formula1>
      <formula2>DATE(2030,12,31)</formula2>
    </dataValidation>
  </dataValidation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8" customWidth="1" min="4" max="4"/>
    <col width="20" customWidth="1" min="5" max="5"/>
    <col width="18" customWidth="1" min="6" max="6"/>
    <col width="12" customWidth="1" min="7" max="7"/>
    <col width="10" customWidth="1" min="8" max="8"/>
    <col width="17" customWidth="1" min="9" max="9"/>
    <col width="8" customWidth="1" min="10" max="10"/>
    <col width="10" customWidth="1" min="11" max="11"/>
    <col width="13" customWidth="1" min="12" max="12"/>
    <col width="26" customWidth="1" min="13" max="13"/>
  </cols>
  <sheetData>
    <row r="1">
      <c r="A1" s="14" t="inlineStr">
        <is>
          <t>QUÁN PHÁT HIỆN THÊM KHI ĐI KHẢO SÁT (chưa có trong danh sách)</t>
        </is>
      </c>
    </row>
    <row r="2">
      <c r="A2" s="5" t="inlineStr">
        <is>
          <t>Ưu tiên các phường cũ chưa có quán nào trong danh sách: Đống Đa, Yên Thế, Chi Lăng; và Thắng Lợi (mới có 11). Mã KS bắt đầu từ PK-M001.</t>
        </is>
      </c>
    </row>
    <row r="4" ht="34" customHeight="1">
      <c r="A4" s="6" t="inlineStr">
        <is>
          <t>Mã KS</t>
        </is>
      </c>
      <c r="B4" s="6" t="inlineStr">
        <is>
          <t>Tên trên biển hiệu</t>
        </is>
      </c>
      <c r="C4" s="6" t="inlineStr">
        <is>
          <t>Danh mục</t>
        </is>
      </c>
      <c r="D4" s="6" t="inlineStr">
        <is>
          <t>Số nhà</t>
        </is>
      </c>
      <c r="E4" s="6" t="inlineStr">
        <is>
          <t>Đường</t>
        </is>
      </c>
      <c r="F4" s="6" t="inlineStr">
        <is>
          <t>Phường / xã mới</t>
        </is>
      </c>
      <c r="G4" s="6" t="inlineStr">
        <is>
          <t>Phường cũ</t>
        </is>
      </c>
      <c r="H4" s="7" t="inlineStr">
        <is>
          <t>Ngày đến</t>
        </is>
      </c>
      <c r="I4" s="7" t="inlineStr">
        <is>
          <t>Kết quả</t>
        </is>
      </c>
      <c r="J4" s="7" t="inlineStr">
        <is>
          <t>Đã đo GPS</t>
        </is>
      </c>
      <c r="K4" s="7" t="inlineStr">
        <is>
          <t>Chủ quán ký phiếu đồng ý</t>
        </is>
      </c>
      <c r="L4" s="7" t="inlineStr">
        <is>
          <t>Người khảo sát</t>
        </is>
      </c>
      <c r="M4" s="7" t="inlineStr">
        <is>
          <t>Ghi chú</t>
        </is>
      </c>
    </row>
    <row r="5">
      <c r="A5" s="15" t="inlineStr">
        <is>
          <t>PK-M001</t>
        </is>
      </c>
      <c r="B5" s="13" t="n"/>
      <c r="C5" s="13" t="n"/>
      <c r="D5" s="13" t="n"/>
      <c r="E5" s="13" t="n"/>
      <c r="F5" s="13" t="n"/>
      <c r="G5" s="13" t="n"/>
      <c r="H5" s="12" t="n"/>
      <c r="I5" s="13" t="n"/>
      <c r="J5" s="13" t="n"/>
      <c r="K5" s="13" t="n"/>
      <c r="L5" s="13" t="n"/>
      <c r="M5" s="13" t="n"/>
    </row>
    <row r="6">
      <c r="A6" s="15" t="inlineStr">
        <is>
          <t>PK-M002</t>
        </is>
      </c>
      <c r="B6" s="13" t="n"/>
      <c r="C6" s="13" t="n"/>
      <c r="D6" s="13" t="n"/>
      <c r="E6" s="13" t="n"/>
      <c r="F6" s="13" t="n"/>
      <c r="G6" s="13" t="n"/>
      <c r="H6" s="12" t="n"/>
      <c r="I6" s="13" t="n"/>
      <c r="J6" s="13" t="n"/>
      <c r="K6" s="13" t="n"/>
      <c r="L6" s="13" t="n"/>
      <c r="M6" s="13" t="n"/>
    </row>
    <row r="7">
      <c r="A7" s="15" t="inlineStr">
        <is>
          <t>PK-M003</t>
        </is>
      </c>
      <c r="B7" s="13" t="n"/>
      <c r="C7" s="13" t="n"/>
      <c r="D7" s="13" t="n"/>
      <c r="E7" s="13" t="n"/>
      <c r="F7" s="13" t="n"/>
      <c r="G7" s="13" t="n"/>
      <c r="H7" s="12" t="n"/>
      <c r="I7" s="13" t="n"/>
      <c r="J7" s="13" t="n"/>
      <c r="K7" s="13" t="n"/>
      <c r="L7" s="13" t="n"/>
      <c r="M7" s="13" t="n"/>
    </row>
    <row r="8">
      <c r="A8" s="15" t="inlineStr">
        <is>
          <t>PK-M004</t>
        </is>
      </c>
      <c r="B8" s="13" t="n"/>
      <c r="C8" s="13" t="n"/>
      <c r="D8" s="13" t="n"/>
      <c r="E8" s="13" t="n"/>
      <c r="F8" s="13" t="n"/>
      <c r="G8" s="13" t="n"/>
      <c r="H8" s="12" t="n"/>
      <c r="I8" s="13" t="n"/>
      <c r="J8" s="13" t="n"/>
      <c r="K8" s="13" t="n"/>
      <c r="L8" s="13" t="n"/>
      <c r="M8" s="13" t="n"/>
    </row>
    <row r="9">
      <c r="A9" s="15" t="inlineStr">
        <is>
          <t>PK-M005</t>
        </is>
      </c>
      <c r="B9" s="13" t="n"/>
      <c r="C9" s="13" t="n"/>
      <c r="D9" s="13" t="n"/>
      <c r="E9" s="13" t="n"/>
      <c r="F9" s="13" t="n"/>
      <c r="G9" s="13" t="n"/>
      <c r="H9" s="12" t="n"/>
      <c r="I9" s="13" t="n"/>
      <c r="J9" s="13" t="n"/>
      <c r="K9" s="13" t="n"/>
      <c r="L9" s="13" t="n"/>
      <c r="M9" s="13" t="n"/>
    </row>
    <row r="10">
      <c r="A10" s="15" t="inlineStr">
        <is>
          <t>PK-M006</t>
        </is>
      </c>
      <c r="B10" s="13" t="n"/>
      <c r="C10" s="13" t="n"/>
      <c r="D10" s="13" t="n"/>
      <c r="E10" s="13" t="n"/>
      <c r="F10" s="13" t="n"/>
      <c r="G10" s="13" t="n"/>
      <c r="H10" s="12" t="n"/>
      <c r="I10" s="13" t="n"/>
      <c r="J10" s="13" t="n"/>
      <c r="K10" s="13" t="n"/>
      <c r="L10" s="13" t="n"/>
      <c r="M10" s="13" t="n"/>
    </row>
    <row r="11">
      <c r="A11" s="15" t="inlineStr">
        <is>
          <t>PK-M007</t>
        </is>
      </c>
      <c r="B11" s="13" t="n"/>
      <c r="C11" s="13" t="n"/>
      <c r="D11" s="13" t="n"/>
      <c r="E11" s="13" t="n"/>
      <c r="F11" s="13" t="n"/>
      <c r="G11" s="13" t="n"/>
      <c r="H11" s="12" t="n"/>
      <c r="I11" s="13" t="n"/>
      <c r="J11" s="13" t="n"/>
      <c r="K11" s="13" t="n"/>
      <c r="L11" s="13" t="n"/>
      <c r="M11" s="13" t="n"/>
    </row>
    <row r="12">
      <c r="A12" s="15" t="inlineStr">
        <is>
          <t>PK-M008</t>
        </is>
      </c>
      <c r="B12" s="13" t="n"/>
      <c r="C12" s="13" t="n"/>
      <c r="D12" s="13" t="n"/>
      <c r="E12" s="13" t="n"/>
      <c r="F12" s="13" t="n"/>
      <c r="G12" s="13" t="n"/>
      <c r="H12" s="12" t="n"/>
      <c r="I12" s="13" t="n"/>
      <c r="J12" s="13" t="n"/>
      <c r="K12" s="13" t="n"/>
      <c r="L12" s="13" t="n"/>
      <c r="M12" s="13" t="n"/>
    </row>
    <row r="13">
      <c r="A13" s="15" t="inlineStr">
        <is>
          <t>PK-M009</t>
        </is>
      </c>
      <c r="B13" s="13" t="n"/>
      <c r="C13" s="13" t="n"/>
      <c r="D13" s="13" t="n"/>
      <c r="E13" s="13" t="n"/>
      <c r="F13" s="13" t="n"/>
      <c r="G13" s="13" t="n"/>
      <c r="H13" s="12" t="n"/>
      <c r="I13" s="13" t="n"/>
      <c r="J13" s="13" t="n"/>
      <c r="K13" s="13" t="n"/>
      <c r="L13" s="13" t="n"/>
      <c r="M13" s="13" t="n"/>
    </row>
    <row r="14">
      <c r="A14" s="15" t="inlineStr">
        <is>
          <t>PK-M010</t>
        </is>
      </c>
      <c r="B14" s="13" t="n"/>
      <c r="C14" s="13" t="n"/>
      <c r="D14" s="13" t="n"/>
      <c r="E14" s="13" t="n"/>
      <c r="F14" s="13" t="n"/>
      <c r="G14" s="13" t="n"/>
      <c r="H14" s="12" t="n"/>
      <c r="I14" s="13" t="n"/>
      <c r="J14" s="13" t="n"/>
      <c r="K14" s="13" t="n"/>
      <c r="L14" s="13" t="n"/>
      <c r="M14" s="13" t="n"/>
    </row>
    <row r="15">
      <c r="A15" s="15" t="inlineStr">
        <is>
          <t>PK-M011</t>
        </is>
      </c>
      <c r="B15" s="13" t="n"/>
      <c r="C15" s="13" t="n"/>
      <c r="D15" s="13" t="n"/>
      <c r="E15" s="13" t="n"/>
      <c r="F15" s="13" t="n"/>
      <c r="G15" s="13" t="n"/>
      <c r="H15" s="12" t="n"/>
      <c r="I15" s="13" t="n"/>
      <c r="J15" s="13" t="n"/>
      <c r="K15" s="13" t="n"/>
      <c r="L15" s="13" t="n"/>
      <c r="M15" s="13" t="n"/>
    </row>
    <row r="16">
      <c r="A16" s="15" t="inlineStr">
        <is>
          <t>PK-M012</t>
        </is>
      </c>
      <c r="B16" s="13" t="n"/>
      <c r="C16" s="13" t="n"/>
      <c r="D16" s="13" t="n"/>
      <c r="E16" s="13" t="n"/>
      <c r="F16" s="13" t="n"/>
      <c r="G16" s="13" t="n"/>
      <c r="H16" s="12" t="n"/>
      <c r="I16" s="13" t="n"/>
      <c r="J16" s="13" t="n"/>
      <c r="K16" s="13" t="n"/>
      <c r="L16" s="13" t="n"/>
      <c r="M16" s="13" t="n"/>
    </row>
    <row r="17">
      <c r="A17" s="15" t="inlineStr">
        <is>
          <t>PK-M013</t>
        </is>
      </c>
      <c r="B17" s="13" t="n"/>
      <c r="C17" s="13" t="n"/>
      <c r="D17" s="13" t="n"/>
      <c r="E17" s="13" t="n"/>
      <c r="F17" s="13" t="n"/>
      <c r="G17" s="13" t="n"/>
      <c r="H17" s="12" t="n"/>
      <c r="I17" s="13" t="n"/>
      <c r="J17" s="13" t="n"/>
      <c r="K17" s="13" t="n"/>
      <c r="L17" s="13" t="n"/>
      <c r="M17" s="13" t="n"/>
    </row>
    <row r="18">
      <c r="A18" s="15" t="inlineStr">
        <is>
          <t>PK-M014</t>
        </is>
      </c>
      <c r="B18" s="13" t="n"/>
      <c r="C18" s="13" t="n"/>
      <c r="D18" s="13" t="n"/>
      <c r="E18" s="13" t="n"/>
      <c r="F18" s="13" t="n"/>
      <c r="G18" s="13" t="n"/>
      <c r="H18" s="12" t="n"/>
      <c r="I18" s="13" t="n"/>
      <c r="J18" s="13" t="n"/>
      <c r="K18" s="13" t="n"/>
      <c r="L18" s="13" t="n"/>
      <c r="M18" s="13" t="n"/>
    </row>
    <row r="19">
      <c r="A19" s="15" t="inlineStr">
        <is>
          <t>PK-M015</t>
        </is>
      </c>
      <c r="B19" s="13" t="n"/>
      <c r="C19" s="13" t="n"/>
      <c r="D19" s="13" t="n"/>
      <c r="E19" s="13" t="n"/>
      <c r="F19" s="13" t="n"/>
      <c r="G19" s="13" t="n"/>
      <c r="H19" s="12" t="n"/>
      <c r="I19" s="13" t="n"/>
      <c r="J19" s="13" t="n"/>
      <c r="K19" s="13" t="n"/>
      <c r="L19" s="13" t="n"/>
      <c r="M19" s="13" t="n"/>
    </row>
    <row r="20">
      <c r="A20" s="15" t="inlineStr">
        <is>
          <t>PK-M016</t>
        </is>
      </c>
      <c r="B20" s="13" t="n"/>
      <c r="C20" s="13" t="n"/>
      <c r="D20" s="13" t="n"/>
      <c r="E20" s="13" t="n"/>
      <c r="F20" s="13" t="n"/>
      <c r="G20" s="13" t="n"/>
      <c r="H20" s="12" t="n"/>
      <c r="I20" s="13" t="n"/>
      <c r="J20" s="13" t="n"/>
      <c r="K20" s="13" t="n"/>
      <c r="L20" s="13" t="n"/>
      <c r="M20" s="13" t="n"/>
    </row>
    <row r="21">
      <c r="A21" s="15" t="inlineStr">
        <is>
          <t>PK-M017</t>
        </is>
      </c>
      <c r="B21" s="13" t="n"/>
      <c r="C21" s="13" t="n"/>
      <c r="D21" s="13" t="n"/>
      <c r="E21" s="13" t="n"/>
      <c r="F21" s="13" t="n"/>
      <c r="G21" s="13" t="n"/>
      <c r="H21" s="12" t="n"/>
      <c r="I21" s="13" t="n"/>
      <c r="J21" s="13" t="n"/>
      <c r="K21" s="13" t="n"/>
      <c r="L21" s="13" t="n"/>
      <c r="M21" s="13" t="n"/>
    </row>
    <row r="22">
      <c r="A22" s="15" t="inlineStr">
        <is>
          <t>PK-M018</t>
        </is>
      </c>
      <c r="B22" s="13" t="n"/>
      <c r="C22" s="13" t="n"/>
      <c r="D22" s="13" t="n"/>
      <c r="E22" s="13" t="n"/>
      <c r="F22" s="13" t="n"/>
      <c r="G22" s="13" t="n"/>
      <c r="H22" s="12" t="n"/>
      <c r="I22" s="13" t="n"/>
      <c r="J22" s="13" t="n"/>
      <c r="K22" s="13" t="n"/>
      <c r="L22" s="13" t="n"/>
      <c r="M22" s="13" t="n"/>
    </row>
    <row r="23">
      <c r="A23" s="15" t="inlineStr">
        <is>
          <t>PK-M019</t>
        </is>
      </c>
      <c r="B23" s="13" t="n"/>
      <c r="C23" s="13" t="n"/>
      <c r="D23" s="13" t="n"/>
      <c r="E23" s="13" t="n"/>
      <c r="F23" s="13" t="n"/>
      <c r="G23" s="13" t="n"/>
      <c r="H23" s="12" t="n"/>
      <c r="I23" s="13" t="n"/>
      <c r="J23" s="13" t="n"/>
      <c r="K23" s="13" t="n"/>
      <c r="L23" s="13" t="n"/>
      <c r="M23" s="13" t="n"/>
    </row>
    <row r="24">
      <c r="A24" s="15" t="inlineStr">
        <is>
          <t>PK-M020</t>
        </is>
      </c>
      <c r="B24" s="13" t="n"/>
      <c r="C24" s="13" t="n"/>
      <c r="D24" s="13" t="n"/>
      <c r="E24" s="13" t="n"/>
      <c r="F24" s="13" t="n"/>
      <c r="G24" s="13" t="n"/>
      <c r="H24" s="12" t="n"/>
      <c r="I24" s="13" t="n"/>
      <c r="J24" s="13" t="n"/>
      <c r="K24" s="13" t="n"/>
      <c r="L24" s="13" t="n"/>
      <c r="M24" s="13" t="n"/>
    </row>
    <row r="25">
      <c r="A25" s="15" t="inlineStr">
        <is>
          <t>PK-M021</t>
        </is>
      </c>
      <c r="B25" s="13" t="n"/>
      <c r="C25" s="13" t="n"/>
      <c r="D25" s="13" t="n"/>
      <c r="E25" s="13" t="n"/>
      <c r="F25" s="13" t="n"/>
      <c r="G25" s="13" t="n"/>
      <c r="H25" s="12" t="n"/>
      <c r="I25" s="13" t="n"/>
      <c r="J25" s="13" t="n"/>
      <c r="K25" s="13" t="n"/>
      <c r="L25" s="13" t="n"/>
      <c r="M25" s="13" t="n"/>
    </row>
    <row r="26">
      <c r="A26" s="15" t="inlineStr">
        <is>
          <t>PK-M022</t>
        </is>
      </c>
      <c r="B26" s="13" t="n"/>
      <c r="C26" s="13" t="n"/>
      <c r="D26" s="13" t="n"/>
      <c r="E26" s="13" t="n"/>
      <c r="F26" s="13" t="n"/>
      <c r="G26" s="13" t="n"/>
      <c r="H26" s="12" t="n"/>
      <c r="I26" s="13" t="n"/>
      <c r="J26" s="13" t="n"/>
      <c r="K26" s="13" t="n"/>
      <c r="L26" s="13" t="n"/>
      <c r="M26" s="13" t="n"/>
    </row>
    <row r="27">
      <c r="A27" s="15" t="inlineStr">
        <is>
          <t>PK-M023</t>
        </is>
      </c>
      <c r="B27" s="13" t="n"/>
      <c r="C27" s="13" t="n"/>
      <c r="D27" s="13" t="n"/>
      <c r="E27" s="13" t="n"/>
      <c r="F27" s="13" t="n"/>
      <c r="G27" s="13" t="n"/>
      <c r="H27" s="12" t="n"/>
      <c r="I27" s="13" t="n"/>
      <c r="J27" s="13" t="n"/>
      <c r="K27" s="13" t="n"/>
      <c r="L27" s="13" t="n"/>
      <c r="M27" s="13" t="n"/>
    </row>
    <row r="28">
      <c r="A28" s="15" t="inlineStr">
        <is>
          <t>PK-M024</t>
        </is>
      </c>
      <c r="B28" s="13" t="n"/>
      <c r="C28" s="13" t="n"/>
      <c r="D28" s="13" t="n"/>
      <c r="E28" s="13" t="n"/>
      <c r="F28" s="13" t="n"/>
      <c r="G28" s="13" t="n"/>
      <c r="H28" s="12" t="n"/>
      <c r="I28" s="13" t="n"/>
      <c r="J28" s="13" t="n"/>
      <c r="K28" s="13" t="n"/>
      <c r="L28" s="13" t="n"/>
      <c r="M28" s="13" t="n"/>
    </row>
    <row r="29">
      <c r="A29" s="15" t="inlineStr">
        <is>
          <t>PK-M025</t>
        </is>
      </c>
      <c r="B29" s="13" t="n"/>
      <c r="C29" s="13" t="n"/>
      <c r="D29" s="13" t="n"/>
      <c r="E29" s="13" t="n"/>
      <c r="F29" s="13" t="n"/>
      <c r="G29" s="13" t="n"/>
      <c r="H29" s="12" t="n"/>
      <c r="I29" s="13" t="n"/>
      <c r="J29" s="13" t="n"/>
      <c r="K29" s="13" t="n"/>
      <c r="L29" s="13" t="n"/>
      <c r="M29" s="13" t="n"/>
    </row>
    <row r="30">
      <c r="A30" s="15" t="inlineStr">
        <is>
          <t>PK-M026</t>
        </is>
      </c>
      <c r="B30" s="13" t="n"/>
      <c r="C30" s="13" t="n"/>
      <c r="D30" s="13" t="n"/>
      <c r="E30" s="13" t="n"/>
      <c r="F30" s="13" t="n"/>
      <c r="G30" s="13" t="n"/>
      <c r="H30" s="12" t="n"/>
      <c r="I30" s="13" t="n"/>
      <c r="J30" s="13" t="n"/>
      <c r="K30" s="13" t="n"/>
      <c r="L30" s="13" t="n"/>
      <c r="M30" s="13" t="n"/>
    </row>
    <row r="31">
      <c r="A31" s="15" t="inlineStr">
        <is>
          <t>PK-M027</t>
        </is>
      </c>
      <c r="B31" s="13" t="n"/>
      <c r="C31" s="13" t="n"/>
      <c r="D31" s="13" t="n"/>
      <c r="E31" s="13" t="n"/>
      <c r="F31" s="13" t="n"/>
      <c r="G31" s="13" t="n"/>
      <c r="H31" s="12" t="n"/>
      <c r="I31" s="13" t="n"/>
      <c r="J31" s="13" t="n"/>
      <c r="K31" s="13" t="n"/>
      <c r="L31" s="13" t="n"/>
      <c r="M31" s="13" t="n"/>
    </row>
    <row r="32">
      <c r="A32" s="15" t="inlineStr">
        <is>
          <t>PK-M028</t>
        </is>
      </c>
      <c r="B32" s="13" t="n"/>
      <c r="C32" s="13" t="n"/>
      <c r="D32" s="13" t="n"/>
      <c r="E32" s="13" t="n"/>
      <c r="F32" s="13" t="n"/>
      <c r="G32" s="13" t="n"/>
      <c r="H32" s="12" t="n"/>
      <c r="I32" s="13" t="n"/>
      <c r="J32" s="13" t="n"/>
      <c r="K32" s="13" t="n"/>
      <c r="L32" s="13" t="n"/>
      <c r="M32" s="13" t="n"/>
    </row>
    <row r="33">
      <c r="A33" s="15" t="inlineStr">
        <is>
          <t>PK-M029</t>
        </is>
      </c>
      <c r="B33" s="13" t="n"/>
      <c r="C33" s="13" t="n"/>
      <c r="D33" s="13" t="n"/>
      <c r="E33" s="13" t="n"/>
      <c r="F33" s="13" t="n"/>
      <c r="G33" s="13" t="n"/>
      <c r="H33" s="12" t="n"/>
      <c r="I33" s="13" t="n"/>
      <c r="J33" s="13" t="n"/>
      <c r="K33" s="13" t="n"/>
      <c r="L33" s="13" t="n"/>
      <c r="M33" s="13" t="n"/>
    </row>
    <row r="34">
      <c r="A34" s="15" t="inlineStr">
        <is>
          <t>PK-M030</t>
        </is>
      </c>
      <c r="B34" s="13" t="n"/>
      <c r="C34" s="13" t="n"/>
      <c r="D34" s="13" t="n"/>
      <c r="E34" s="13" t="n"/>
      <c r="F34" s="13" t="n"/>
      <c r="G34" s="13" t="n"/>
      <c r="H34" s="12" t="n"/>
      <c r="I34" s="13" t="n"/>
      <c r="J34" s="13" t="n"/>
      <c r="K34" s="13" t="n"/>
      <c r="L34" s="13" t="n"/>
      <c r="M34" s="13" t="n"/>
    </row>
    <row r="35">
      <c r="A35" s="15" t="inlineStr">
        <is>
          <t>PK-M031</t>
        </is>
      </c>
      <c r="B35" s="13" t="n"/>
      <c r="C35" s="13" t="n"/>
      <c r="D35" s="13" t="n"/>
      <c r="E35" s="13" t="n"/>
      <c r="F35" s="13" t="n"/>
      <c r="G35" s="13" t="n"/>
      <c r="H35" s="12" t="n"/>
      <c r="I35" s="13" t="n"/>
      <c r="J35" s="13" t="n"/>
      <c r="K35" s="13" t="n"/>
      <c r="L35" s="13" t="n"/>
      <c r="M35" s="13" t="n"/>
    </row>
    <row r="36">
      <c r="A36" s="15" t="inlineStr">
        <is>
          <t>PK-M032</t>
        </is>
      </c>
      <c r="B36" s="13" t="n"/>
      <c r="C36" s="13" t="n"/>
      <c r="D36" s="13" t="n"/>
      <c r="E36" s="13" t="n"/>
      <c r="F36" s="13" t="n"/>
      <c r="G36" s="13" t="n"/>
      <c r="H36" s="12" t="n"/>
      <c r="I36" s="13" t="n"/>
      <c r="J36" s="13" t="n"/>
      <c r="K36" s="13" t="n"/>
      <c r="L36" s="13" t="n"/>
      <c r="M36" s="13" t="n"/>
    </row>
    <row r="37">
      <c r="A37" s="15" t="inlineStr">
        <is>
          <t>PK-M033</t>
        </is>
      </c>
      <c r="B37" s="13" t="n"/>
      <c r="C37" s="13" t="n"/>
      <c r="D37" s="13" t="n"/>
      <c r="E37" s="13" t="n"/>
      <c r="F37" s="13" t="n"/>
      <c r="G37" s="13" t="n"/>
      <c r="H37" s="12" t="n"/>
      <c r="I37" s="13" t="n"/>
      <c r="J37" s="13" t="n"/>
      <c r="K37" s="13" t="n"/>
      <c r="L37" s="13" t="n"/>
      <c r="M37" s="13" t="n"/>
    </row>
    <row r="38">
      <c r="A38" s="15" t="inlineStr">
        <is>
          <t>PK-M034</t>
        </is>
      </c>
      <c r="B38" s="13" t="n"/>
      <c r="C38" s="13" t="n"/>
      <c r="D38" s="13" t="n"/>
      <c r="E38" s="13" t="n"/>
      <c r="F38" s="13" t="n"/>
      <c r="G38" s="13" t="n"/>
      <c r="H38" s="12" t="n"/>
      <c r="I38" s="13" t="n"/>
      <c r="J38" s="13" t="n"/>
      <c r="K38" s="13" t="n"/>
      <c r="L38" s="13" t="n"/>
      <c r="M38" s="13" t="n"/>
    </row>
    <row r="39">
      <c r="A39" s="15" t="inlineStr">
        <is>
          <t>PK-M035</t>
        </is>
      </c>
      <c r="B39" s="13" t="n"/>
      <c r="C39" s="13" t="n"/>
      <c r="D39" s="13" t="n"/>
      <c r="E39" s="13" t="n"/>
      <c r="F39" s="13" t="n"/>
      <c r="G39" s="13" t="n"/>
      <c r="H39" s="12" t="n"/>
      <c r="I39" s="13" t="n"/>
      <c r="J39" s="13" t="n"/>
      <c r="K39" s="13" t="n"/>
      <c r="L39" s="13" t="n"/>
      <c r="M39" s="13" t="n"/>
    </row>
    <row r="40">
      <c r="A40" s="15" t="inlineStr">
        <is>
          <t>PK-M036</t>
        </is>
      </c>
      <c r="B40" s="13" t="n"/>
      <c r="C40" s="13" t="n"/>
      <c r="D40" s="13" t="n"/>
      <c r="E40" s="13" t="n"/>
      <c r="F40" s="13" t="n"/>
      <c r="G40" s="13" t="n"/>
      <c r="H40" s="12" t="n"/>
      <c r="I40" s="13" t="n"/>
      <c r="J40" s="13" t="n"/>
      <c r="K40" s="13" t="n"/>
      <c r="L40" s="13" t="n"/>
      <c r="M40" s="13" t="n"/>
    </row>
    <row r="41">
      <c r="A41" s="15" t="inlineStr">
        <is>
          <t>PK-M037</t>
        </is>
      </c>
      <c r="B41" s="13" t="n"/>
      <c r="C41" s="13" t="n"/>
      <c r="D41" s="13" t="n"/>
      <c r="E41" s="13" t="n"/>
      <c r="F41" s="13" t="n"/>
      <c r="G41" s="13" t="n"/>
      <c r="H41" s="12" t="n"/>
      <c r="I41" s="13" t="n"/>
      <c r="J41" s="13" t="n"/>
      <c r="K41" s="13" t="n"/>
      <c r="L41" s="13" t="n"/>
      <c r="M41" s="13" t="n"/>
    </row>
    <row r="42">
      <c r="A42" s="15" t="inlineStr">
        <is>
          <t>PK-M038</t>
        </is>
      </c>
      <c r="B42" s="13" t="n"/>
      <c r="C42" s="13" t="n"/>
      <c r="D42" s="13" t="n"/>
      <c r="E42" s="13" t="n"/>
      <c r="F42" s="13" t="n"/>
      <c r="G42" s="13" t="n"/>
      <c r="H42" s="12" t="n"/>
      <c r="I42" s="13" t="n"/>
      <c r="J42" s="13" t="n"/>
      <c r="K42" s="13" t="n"/>
      <c r="L42" s="13" t="n"/>
      <c r="M42" s="13" t="n"/>
    </row>
    <row r="43">
      <c r="A43" s="15" t="inlineStr">
        <is>
          <t>PK-M039</t>
        </is>
      </c>
      <c r="B43" s="13" t="n"/>
      <c r="C43" s="13" t="n"/>
      <c r="D43" s="13" t="n"/>
      <c r="E43" s="13" t="n"/>
      <c r="F43" s="13" t="n"/>
      <c r="G43" s="13" t="n"/>
      <c r="H43" s="12" t="n"/>
      <c r="I43" s="13" t="n"/>
      <c r="J43" s="13" t="n"/>
      <c r="K43" s="13" t="n"/>
      <c r="L43" s="13" t="n"/>
      <c r="M43" s="13" t="n"/>
    </row>
    <row r="44">
      <c r="A44" s="15" t="inlineStr">
        <is>
          <t>PK-M040</t>
        </is>
      </c>
      <c r="B44" s="13" t="n"/>
      <c r="C44" s="13" t="n"/>
      <c r="D44" s="13" t="n"/>
      <c r="E44" s="13" t="n"/>
      <c r="F44" s="13" t="n"/>
      <c r="G44" s="13" t="n"/>
      <c r="H44" s="12" t="n"/>
      <c r="I44" s="13" t="n"/>
      <c r="J44" s="13" t="n"/>
      <c r="K44" s="13" t="n"/>
      <c r="L44" s="13" t="n"/>
      <c r="M44" s="13" t="n"/>
    </row>
    <row r="45">
      <c r="A45" s="15" t="inlineStr">
        <is>
          <t>PK-M041</t>
        </is>
      </c>
      <c r="B45" s="13" t="n"/>
      <c r="C45" s="13" t="n"/>
      <c r="D45" s="13" t="n"/>
      <c r="E45" s="13" t="n"/>
      <c r="F45" s="13" t="n"/>
      <c r="G45" s="13" t="n"/>
      <c r="H45" s="12" t="n"/>
      <c r="I45" s="13" t="n"/>
      <c r="J45" s="13" t="n"/>
      <c r="K45" s="13" t="n"/>
      <c r="L45" s="13" t="n"/>
      <c r="M45" s="13" t="n"/>
    </row>
    <row r="46">
      <c r="A46" s="15" t="inlineStr">
        <is>
          <t>PK-M042</t>
        </is>
      </c>
      <c r="B46" s="13" t="n"/>
      <c r="C46" s="13" t="n"/>
      <c r="D46" s="13" t="n"/>
      <c r="E46" s="13" t="n"/>
      <c r="F46" s="13" t="n"/>
      <c r="G46" s="13" t="n"/>
      <c r="H46" s="12" t="n"/>
      <c r="I46" s="13" t="n"/>
      <c r="J46" s="13" t="n"/>
      <c r="K46" s="13" t="n"/>
      <c r="L46" s="13" t="n"/>
      <c r="M46" s="13" t="n"/>
    </row>
    <row r="47">
      <c r="A47" s="15" t="inlineStr">
        <is>
          <t>PK-M043</t>
        </is>
      </c>
      <c r="B47" s="13" t="n"/>
      <c r="C47" s="13" t="n"/>
      <c r="D47" s="13" t="n"/>
      <c r="E47" s="13" t="n"/>
      <c r="F47" s="13" t="n"/>
      <c r="G47" s="13" t="n"/>
      <c r="H47" s="12" t="n"/>
      <c r="I47" s="13" t="n"/>
      <c r="J47" s="13" t="n"/>
      <c r="K47" s="13" t="n"/>
      <c r="L47" s="13" t="n"/>
      <c r="M47" s="13" t="n"/>
    </row>
    <row r="48">
      <c r="A48" s="15" t="inlineStr">
        <is>
          <t>PK-M044</t>
        </is>
      </c>
      <c r="B48" s="13" t="n"/>
      <c r="C48" s="13" t="n"/>
      <c r="D48" s="13" t="n"/>
      <c r="E48" s="13" t="n"/>
      <c r="F48" s="13" t="n"/>
      <c r="G48" s="13" t="n"/>
      <c r="H48" s="12" t="n"/>
      <c r="I48" s="13" t="n"/>
      <c r="J48" s="13" t="n"/>
      <c r="K48" s="13" t="n"/>
      <c r="L48" s="13" t="n"/>
      <c r="M48" s="13" t="n"/>
    </row>
    <row r="49">
      <c r="A49" s="15" t="inlineStr">
        <is>
          <t>PK-M045</t>
        </is>
      </c>
      <c r="B49" s="13" t="n"/>
      <c r="C49" s="13" t="n"/>
      <c r="D49" s="13" t="n"/>
      <c r="E49" s="13" t="n"/>
      <c r="F49" s="13" t="n"/>
      <c r="G49" s="13" t="n"/>
      <c r="H49" s="12" t="n"/>
      <c r="I49" s="13" t="n"/>
      <c r="J49" s="13" t="n"/>
      <c r="K49" s="13" t="n"/>
      <c r="L49" s="13" t="n"/>
      <c r="M49" s="13" t="n"/>
    </row>
    <row r="50">
      <c r="A50" s="15" t="inlineStr">
        <is>
          <t>PK-M046</t>
        </is>
      </c>
      <c r="B50" s="13" t="n"/>
      <c r="C50" s="13" t="n"/>
      <c r="D50" s="13" t="n"/>
      <c r="E50" s="13" t="n"/>
      <c r="F50" s="13" t="n"/>
      <c r="G50" s="13" t="n"/>
      <c r="H50" s="12" t="n"/>
      <c r="I50" s="13" t="n"/>
      <c r="J50" s="13" t="n"/>
      <c r="K50" s="13" t="n"/>
      <c r="L50" s="13" t="n"/>
      <c r="M50" s="13" t="n"/>
    </row>
    <row r="51">
      <c r="A51" s="15" t="inlineStr">
        <is>
          <t>PK-M047</t>
        </is>
      </c>
      <c r="B51" s="13" t="n"/>
      <c r="C51" s="13" t="n"/>
      <c r="D51" s="13" t="n"/>
      <c r="E51" s="13" t="n"/>
      <c r="F51" s="13" t="n"/>
      <c r="G51" s="13" t="n"/>
      <c r="H51" s="12" t="n"/>
      <c r="I51" s="13" t="n"/>
      <c r="J51" s="13" t="n"/>
      <c r="K51" s="13" t="n"/>
      <c r="L51" s="13" t="n"/>
      <c r="M51" s="13" t="n"/>
    </row>
    <row r="52">
      <c r="A52" s="15" t="inlineStr">
        <is>
          <t>PK-M048</t>
        </is>
      </c>
      <c r="B52" s="13" t="n"/>
      <c r="C52" s="13" t="n"/>
      <c r="D52" s="13" t="n"/>
      <c r="E52" s="13" t="n"/>
      <c r="F52" s="13" t="n"/>
      <c r="G52" s="13" t="n"/>
      <c r="H52" s="12" t="n"/>
      <c r="I52" s="13" t="n"/>
      <c r="J52" s="13" t="n"/>
      <c r="K52" s="13" t="n"/>
      <c r="L52" s="13" t="n"/>
      <c r="M52" s="13" t="n"/>
    </row>
    <row r="53">
      <c r="A53" s="15" t="inlineStr">
        <is>
          <t>PK-M049</t>
        </is>
      </c>
      <c r="B53" s="13" t="n"/>
      <c r="C53" s="13" t="n"/>
      <c r="D53" s="13" t="n"/>
      <c r="E53" s="13" t="n"/>
      <c r="F53" s="13" t="n"/>
      <c r="G53" s="13" t="n"/>
      <c r="H53" s="12" t="n"/>
      <c r="I53" s="13" t="n"/>
      <c r="J53" s="13" t="n"/>
      <c r="K53" s="13" t="n"/>
      <c r="L53" s="13" t="n"/>
      <c r="M53" s="13" t="n"/>
    </row>
    <row r="54">
      <c r="A54" s="15" t="inlineStr">
        <is>
          <t>PK-M050</t>
        </is>
      </c>
      <c r="B54" s="13" t="n"/>
      <c r="C54" s="13" t="n"/>
      <c r="D54" s="13" t="n"/>
      <c r="E54" s="13" t="n"/>
      <c r="F54" s="13" t="n"/>
      <c r="G54" s="13" t="n"/>
      <c r="H54" s="12" t="n"/>
      <c r="I54" s="13" t="n"/>
      <c r="J54" s="13" t="n"/>
      <c r="K54" s="13" t="n"/>
      <c r="L54" s="13" t="n"/>
      <c r="M54" s="13" t="n"/>
    </row>
    <row r="55">
      <c r="A55" s="15" t="inlineStr">
        <is>
          <t>PK-M051</t>
        </is>
      </c>
      <c r="B55" s="13" t="n"/>
      <c r="C55" s="13" t="n"/>
      <c r="D55" s="13" t="n"/>
      <c r="E55" s="13" t="n"/>
      <c r="F55" s="13" t="n"/>
      <c r="G55" s="13" t="n"/>
      <c r="H55" s="12" t="n"/>
      <c r="I55" s="13" t="n"/>
      <c r="J55" s="13" t="n"/>
      <c r="K55" s="13" t="n"/>
      <c r="L55" s="13" t="n"/>
      <c r="M55" s="13" t="n"/>
    </row>
    <row r="56">
      <c r="A56" s="15" t="inlineStr">
        <is>
          <t>PK-M052</t>
        </is>
      </c>
      <c r="B56" s="13" t="n"/>
      <c r="C56" s="13" t="n"/>
      <c r="D56" s="13" t="n"/>
      <c r="E56" s="13" t="n"/>
      <c r="F56" s="13" t="n"/>
      <c r="G56" s="13" t="n"/>
      <c r="H56" s="12" t="n"/>
      <c r="I56" s="13" t="n"/>
      <c r="J56" s="13" t="n"/>
      <c r="K56" s="13" t="n"/>
      <c r="L56" s="13" t="n"/>
      <c r="M56" s="13" t="n"/>
    </row>
    <row r="57">
      <c r="A57" s="15" t="inlineStr">
        <is>
          <t>PK-M053</t>
        </is>
      </c>
      <c r="B57" s="13" t="n"/>
      <c r="C57" s="13" t="n"/>
      <c r="D57" s="13" t="n"/>
      <c r="E57" s="13" t="n"/>
      <c r="F57" s="13" t="n"/>
      <c r="G57" s="13" t="n"/>
      <c r="H57" s="12" t="n"/>
      <c r="I57" s="13" t="n"/>
      <c r="J57" s="13" t="n"/>
      <c r="K57" s="13" t="n"/>
      <c r="L57" s="13" t="n"/>
      <c r="M57" s="13" t="n"/>
    </row>
    <row r="58">
      <c r="A58" s="15" t="inlineStr">
        <is>
          <t>PK-M054</t>
        </is>
      </c>
      <c r="B58" s="13" t="n"/>
      <c r="C58" s="13" t="n"/>
      <c r="D58" s="13" t="n"/>
      <c r="E58" s="13" t="n"/>
      <c r="F58" s="13" t="n"/>
      <c r="G58" s="13" t="n"/>
      <c r="H58" s="12" t="n"/>
      <c r="I58" s="13" t="n"/>
      <c r="J58" s="13" t="n"/>
      <c r="K58" s="13" t="n"/>
      <c r="L58" s="13" t="n"/>
      <c r="M58" s="13" t="n"/>
    </row>
    <row r="59">
      <c r="A59" s="15" t="inlineStr">
        <is>
          <t>PK-M055</t>
        </is>
      </c>
      <c r="B59" s="13" t="n"/>
      <c r="C59" s="13" t="n"/>
      <c r="D59" s="13" t="n"/>
      <c r="E59" s="13" t="n"/>
      <c r="F59" s="13" t="n"/>
      <c r="G59" s="13" t="n"/>
      <c r="H59" s="12" t="n"/>
      <c r="I59" s="13" t="n"/>
      <c r="J59" s="13" t="n"/>
      <c r="K59" s="13" t="n"/>
      <c r="L59" s="13" t="n"/>
      <c r="M59" s="13" t="n"/>
    </row>
    <row r="60">
      <c r="A60" s="15" t="inlineStr">
        <is>
          <t>PK-M056</t>
        </is>
      </c>
      <c r="B60" s="13" t="n"/>
      <c r="C60" s="13" t="n"/>
      <c r="D60" s="13" t="n"/>
      <c r="E60" s="13" t="n"/>
      <c r="F60" s="13" t="n"/>
      <c r="G60" s="13" t="n"/>
      <c r="H60" s="12" t="n"/>
      <c r="I60" s="13" t="n"/>
      <c r="J60" s="13" t="n"/>
      <c r="K60" s="13" t="n"/>
      <c r="L60" s="13" t="n"/>
      <c r="M60" s="13" t="n"/>
    </row>
    <row r="61">
      <c r="A61" s="15" t="inlineStr">
        <is>
          <t>PK-M057</t>
        </is>
      </c>
      <c r="B61" s="13" t="n"/>
      <c r="C61" s="13" t="n"/>
      <c r="D61" s="13" t="n"/>
      <c r="E61" s="13" t="n"/>
      <c r="F61" s="13" t="n"/>
      <c r="G61" s="13" t="n"/>
      <c r="H61" s="12" t="n"/>
      <c r="I61" s="13" t="n"/>
      <c r="J61" s="13" t="n"/>
      <c r="K61" s="13" t="n"/>
      <c r="L61" s="13" t="n"/>
      <c r="M61" s="13" t="n"/>
    </row>
    <row r="62">
      <c r="A62" s="15" t="inlineStr">
        <is>
          <t>PK-M058</t>
        </is>
      </c>
      <c r="B62" s="13" t="n"/>
      <c r="C62" s="13" t="n"/>
      <c r="D62" s="13" t="n"/>
      <c r="E62" s="13" t="n"/>
      <c r="F62" s="13" t="n"/>
      <c r="G62" s="13" t="n"/>
      <c r="H62" s="12" t="n"/>
      <c r="I62" s="13" t="n"/>
      <c r="J62" s="13" t="n"/>
      <c r="K62" s="13" t="n"/>
      <c r="L62" s="13" t="n"/>
      <c r="M62" s="13" t="n"/>
    </row>
    <row r="63">
      <c r="A63" s="15" t="inlineStr">
        <is>
          <t>PK-M059</t>
        </is>
      </c>
      <c r="B63" s="13" t="n"/>
      <c r="C63" s="13" t="n"/>
      <c r="D63" s="13" t="n"/>
      <c r="E63" s="13" t="n"/>
      <c r="F63" s="13" t="n"/>
      <c r="G63" s="13" t="n"/>
      <c r="H63" s="12" t="n"/>
      <c r="I63" s="13" t="n"/>
      <c r="J63" s="13" t="n"/>
      <c r="K63" s="13" t="n"/>
      <c r="L63" s="13" t="n"/>
      <c r="M63" s="13" t="n"/>
    </row>
    <row r="64">
      <c r="A64" s="15" t="inlineStr">
        <is>
          <t>PK-M060</t>
        </is>
      </c>
      <c r="B64" s="13" t="n"/>
      <c r="C64" s="13" t="n"/>
      <c r="D64" s="13" t="n"/>
      <c r="E64" s="13" t="n"/>
      <c r="F64" s="13" t="n"/>
      <c r="G64" s="13" t="n"/>
      <c r="H64" s="12" t="n"/>
      <c r="I64" s="13" t="n"/>
      <c r="J64" s="13" t="n"/>
      <c r="K64" s="13" t="n"/>
      <c r="L64" s="13" t="n"/>
      <c r="M64" s="13" t="n"/>
    </row>
    <row r="65">
      <c r="A65" s="15" t="inlineStr">
        <is>
          <t>PK-M061</t>
        </is>
      </c>
      <c r="B65" s="13" t="n"/>
      <c r="C65" s="13" t="n"/>
      <c r="D65" s="13" t="n"/>
      <c r="E65" s="13" t="n"/>
      <c r="F65" s="13" t="n"/>
      <c r="G65" s="13" t="n"/>
      <c r="H65" s="12" t="n"/>
      <c r="I65" s="13" t="n"/>
      <c r="J65" s="13" t="n"/>
      <c r="K65" s="13" t="n"/>
      <c r="L65" s="13" t="n"/>
      <c r="M65" s="13" t="n"/>
    </row>
    <row r="66">
      <c r="A66" s="15" t="inlineStr">
        <is>
          <t>PK-M062</t>
        </is>
      </c>
      <c r="B66" s="13" t="n"/>
      <c r="C66" s="13" t="n"/>
      <c r="D66" s="13" t="n"/>
      <c r="E66" s="13" t="n"/>
      <c r="F66" s="13" t="n"/>
      <c r="G66" s="13" t="n"/>
      <c r="H66" s="12" t="n"/>
      <c r="I66" s="13" t="n"/>
      <c r="J66" s="13" t="n"/>
      <c r="K66" s="13" t="n"/>
      <c r="L66" s="13" t="n"/>
      <c r="M66" s="13" t="n"/>
    </row>
    <row r="67">
      <c r="A67" s="15" t="inlineStr">
        <is>
          <t>PK-M063</t>
        </is>
      </c>
      <c r="B67" s="13" t="n"/>
      <c r="C67" s="13" t="n"/>
      <c r="D67" s="13" t="n"/>
      <c r="E67" s="13" t="n"/>
      <c r="F67" s="13" t="n"/>
      <c r="G67" s="13" t="n"/>
      <c r="H67" s="12" t="n"/>
      <c r="I67" s="13" t="n"/>
      <c r="J67" s="13" t="n"/>
      <c r="K67" s="13" t="n"/>
      <c r="L67" s="13" t="n"/>
      <c r="M67" s="13" t="n"/>
    </row>
    <row r="68">
      <c r="A68" s="15" t="inlineStr">
        <is>
          <t>PK-M064</t>
        </is>
      </c>
      <c r="B68" s="13" t="n"/>
      <c r="C68" s="13" t="n"/>
      <c r="D68" s="13" t="n"/>
      <c r="E68" s="13" t="n"/>
      <c r="F68" s="13" t="n"/>
      <c r="G68" s="13" t="n"/>
      <c r="H68" s="12" t="n"/>
      <c r="I68" s="13" t="n"/>
      <c r="J68" s="13" t="n"/>
      <c r="K68" s="13" t="n"/>
      <c r="L68" s="13" t="n"/>
      <c r="M68" s="13" t="n"/>
    </row>
    <row r="69">
      <c r="A69" s="15" t="inlineStr">
        <is>
          <t>PK-M065</t>
        </is>
      </c>
      <c r="B69" s="13" t="n"/>
      <c r="C69" s="13" t="n"/>
      <c r="D69" s="13" t="n"/>
      <c r="E69" s="13" t="n"/>
      <c r="F69" s="13" t="n"/>
      <c r="G69" s="13" t="n"/>
      <c r="H69" s="12" t="n"/>
      <c r="I69" s="13" t="n"/>
      <c r="J69" s="13" t="n"/>
      <c r="K69" s="13" t="n"/>
      <c r="L69" s="13" t="n"/>
      <c r="M69" s="13" t="n"/>
    </row>
    <row r="70">
      <c r="A70" s="15" t="inlineStr">
        <is>
          <t>PK-M066</t>
        </is>
      </c>
      <c r="B70" s="13" t="n"/>
      <c r="C70" s="13" t="n"/>
      <c r="D70" s="13" t="n"/>
      <c r="E70" s="13" t="n"/>
      <c r="F70" s="13" t="n"/>
      <c r="G70" s="13" t="n"/>
      <c r="H70" s="12" t="n"/>
      <c r="I70" s="13" t="n"/>
      <c r="J70" s="13" t="n"/>
      <c r="K70" s="13" t="n"/>
      <c r="L70" s="13" t="n"/>
      <c r="M70" s="13" t="n"/>
    </row>
    <row r="71">
      <c r="A71" s="15" t="inlineStr">
        <is>
          <t>PK-M067</t>
        </is>
      </c>
      <c r="B71" s="13" t="n"/>
      <c r="C71" s="13" t="n"/>
      <c r="D71" s="13" t="n"/>
      <c r="E71" s="13" t="n"/>
      <c r="F71" s="13" t="n"/>
      <c r="G71" s="13" t="n"/>
      <c r="H71" s="12" t="n"/>
      <c r="I71" s="13" t="n"/>
      <c r="J71" s="13" t="n"/>
      <c r="K71" s="13" t="n"/>
      <c r="L71" s="13" t="n"/>
      <c r="M71" s="13" t="n"/>
    </row>
    <row r="72">
      <c r="A72" s="15" t="inlineStr">
        <is>
          <t>PK-M068</t>
        </is>
      </c>
      <c r="B72" s="13" t="n"/>
      <c r="C72" s="13" t="n"/>
      <c r="D72" s="13" t="n"/>
      <c r="E72" s="13" t="n"/>
      <c r="F72" s="13" t="n"/>
      <c r="G72" s="13" t="n"/>
      <c r="H72" s="12" t="n"/>
      <c r="I72" s="13" t="n"/>
      <c r="J72" s="13" t="n"/>
      <c r="K72" s="13" t="n"/>
      <c r="L72" s="13" t="n"/>
      <c r="M72" s="13" t="n"/>
    </row>
    <row r="73">
      <c r="A73" s="15" t="inlineStr">
        <is>
          <t>PK-M069</t>
        </is>
      </c>
      <c r="B73" s="13" t="n"/>
      <c r="C73" s="13" t="n"/>
      <c r="D73" s="13" t="n"/>
      <c r="E73" s="13" t="n"/>
      <c r="F73" s="13" t="n"/>
      <c r="G73" s="13" t="n"/>
      <c r="H73" s="12" t="n"/>
      <c r="I73" s="13" t="n"/>
      <c r="J73" s="13" t="n"/>
      <c r="K73" s="13" t="n"/>
      <c r="L73" s="13" t="n"/>
      <c r="M73" s="13" t="n"/>
    </row>
    <row r="74">
      <c r="A74" s="15" t="inlineStr">
        <is>
          <t>PK-M070</t>
        </is>
      </c>
      <c r="B74" s="13" t="n"/>
      <c r="C74" s="13" t="n"/>
      <c r="D74" s="13" t="n"/>
      <c r="E74" s="13" t="n"/>
      <c r="F74" s="13" t="n"/>
      <c r="G74" s="13" t="n"/>
      <c r="H74" s="12" t="n"/>
      <c r="I74" s="13" t="n"/>
      <c r="J74" s="13" t="n"/>
      <c r="K74" s="13" t="n"/>
      <c r="L74" s="13" t="n"/>
      <c r="M74" s="13" t="n"/>
    </row>
    <row r="75">
      <c r="A75" s="15" t="inlineStr">
        <is>
          <t>PK-M071</t>
        </is>
      </c>
      <c r="B75" s="13" t="n"/>
      <c r="C75" s="13" t="n"/>
      <c r="D75" s="13" t="n"/>
      <c r="E75" s="13" t="n"/>
      <c r="F75" s="13" t="n"/>
      <c r="G75" s="13" t="n"/>
      <c r="H75" s="12" t="n"/>
      <c r="I75" s="13" t="n"/>
      <c r="J75" s="13" t="n"/>
      <c r="K75" s="13" t="n"/>
      <c r="L75" s="13" t="n"/>
      <c r="M75" s="13" t="n"/>
    </row>
    <row r="76">
      <c r="A76" s="15" t="inlineStr">
        <is>
          <t>PK-M072</t>
        </is>
      </c>
      <c r="B76" s="13" t="n"/>
      <c r="C76" s="13" t="n"/>
      <c r="D76" s="13" t="n"/>
      <c r="E76" s="13" t="n"/>
      <c r="F76" s="13" t="n"/>
      <c r="G76" s="13" t="n"/>
      <c r="H76" s="12" t="n"/>
      <c r="I76" s="13" t="n"/>
      <c r="J76" s="13" t="n"/>
      <c r="K76" s="13" t="n"/>
      <c r="L76" s="13" t="n"/>
      <c r="M76" s="13" t="n"/>
    </row>
    <row r="77">
      <c r="A77" s="15" t="inlineStr">
        <is>
          <t>PK-M073</t>
        </is>
      </c>
      <c r="B77" s="13" t="n"/>
      <c r="C77" s="13" t="n"/>
      <c r="D77" s="13" t="n"/>
      <c r="E77" s="13" t="n"/>
      <c r="F77" s="13" t="n"/>
      <c r="G77" s="13" t="n"/>
      <c r="H77" s="12" t="n"/>
      <c r="I77" s="13" t="n"/>
      <c r="J77" s="13" t="n"/>
      <c r="K77" s="13" t="n"/>
      <c r="L77" s="13" t="n"/>
      <c r="M77" s="13" t="n"/>
    </row>
    <row r="78">
      <c r="A78" s="15" t="inlineStr">
        <is>
          <t>PK-M074</t>
        </is>
      </c>
      <c r="B78" s="13" t="n"/>
      <c r="C78" s="13" t="n"/>
      <c r="D78" s="13" t="n"/>
      <c r="E78" s="13" t="n"/>
      <c r="F78" s="13" t="n"/>
      <c r="G78" s="13" t="n"/>
      <c r="H78" s="12" t="n"/>
      <c r="I78" s="13" t="n"/>
      <c r="J78" s="13" t="n"/>
      <c r="K78" s="13" t="n"/>
      <c r="L78" s="13" t="n"/>
      <c r="M78" s="13" t="n"/>
    </row>
    <row r="79">
      <c r="A79" s="15" t="inlineStr">
        <is>
          <t>PK-M075</t>
        </is>
      </c>
      <c r="B79" s="13" t="n"/>
      <c r="C79" s="13" t="n"/>
      <c r="D79" s="13" t="n"/>
      <c r="E79" s="13" t="n"/>
      <c r="F79" s="13" t="n"/>
      <c r="G79" s="13" t="n"/>
      <c r="H79" s="12" t="n"/>
      <c r="I79" s="13" t="n"/>
      <c r="J79" s="13" t="n"/>
      <c r="K79" s="13" t="n"/>
      <c r="L79" s="13" t="n"/>
      <c r="M79" s="13" t="n"/>
    </row>
    <row r="80">
      <c r="A80" s="15" t="inlineStr">
        <is>
          <t>PK-M076</t>
        </is>
      </c>
      <c r="B80" s="13" t="n"/>
      <c r="C80" s="13" t="n"/>
      <c r="D80" s="13" t="n"/>
      <c r="E80" s="13" t="n"/>
      <c r="F80" s="13" t="n"/>
      <c r="G80" s="13" t="n"/>
      <c r="H80" s="12" t="n"/>
      <c r="I80" s="13" t="n"/>
      <c r="J80" s="13" t="n"/>
      <c r="K80" s="13" t="n"/>
      <c r="L80" s="13" t="n"/>
      <c r="M80" s="13" t="n"/>
    </row>
    <row r="81">
      <c r="A81" s="15" t="inlineStr">
        <is>
          <t>PK-M077</t>
        </is>
      </c>
      <c r="B81" s="13" t="n"/>
      <c r="C81" s="13" t="n"/>
      <c r="D81" s="13" t="n"/>
      <c r="E81" s="13" t="n"/>
      <c r="F81" s="13" t="n"/>
      <c r="G81" s="13" t="n"/>
      <c r="H81" s="12" t="n"/>
      <c r="I81" s="13" t="n"/>
      <c r="J81" s="13" t="n"/>
      <c r="K81" s="13" t="n"/>
      <c r="L81" s="13" t="n"/>
      <c r="M81" s="13" t="n"/>
    </row>
    <row r="82">
      <c r="A82" s="15" t="inlineStr">
        <is>
          <t>PK-M078</t>
        </is>
      </c>
      <c r="B82" s="13" t="n"/>
      <c r="C82" s="13" t="n"/>
      <c r="D82" s="13" t="n"/>
      <c r="E82" s="13" t="n"/>
      <c r="F82" s="13" t="n"/>
      <c r="G82" s="13" t="n"/>
      <c r="H82" s="12" t="n"/>
      <c r="I82" s="13" t="n"/>
      <c r="J82" s="13" t="n"/>
      <c r="K82" s="13" t="n"/>
      <c r="L82" s="13" t="n"/>
      <c r="M82" s="13" t="n"/>
    </row>
    <row r="83">
      <c r="A83" s="15" t="inlineStr">
        <is>
          <t>PK-M079</t>
        </is>
      </c>
      <c r="B83" s="13" t="n"/>
      <c r="C83" s="13" t="n"/>
      <c r="D83" s="13" t="n"/>
      <c r="E83" s="13" t="n"/>
      <c r="F83" s="13" t="n"/>
      <c r="G83" s="13" t="n"/>
      <c r="H83" s="12" t="n"/>
      <c r="I83" s="13" t="n"/>
      <c r="J83" s="13" t="n"/>
      <c r="K83" s="13" t="n"/>
      <c r="L83" s="13" t="n"/>
      <c r="M83" s="13" t="n"/>
    </row>
    <row r="84">
      <c r="A84" s="15" t="inlineStr">
        <is>
          <t>PK-M080</t>
        </is>
      </c>
      <c r="B84" s="13" t="n"/>
      <c r="C84" s="13" t="n"/>
      <c r="D84" s="13" t="n"/>
      <c r="E84" s="13" t="n"/>
      <c r="F84" s="13" t="n"/>
      <c r="G84" s="13" t="n"/>
      <c r="H84" s="12" t="n"/>
      <c r="I84" s="13" t="n"/>
      <c r="J84" s="13" t="n"/>
      <c r="K84" s="13" t="n"/>
      <c r="L84" s="13" t="n"/>
      <c r="M84" s="13" t="n"/>
    </row>
    <row r="85">
      <c r="A85" s="15" t="inlineStr">
        <is>
          <t>PK-M081</t>
        </is>
      </c>
      <c r="B85" s="13" t="n"/>
      <c r="C85" s="13" t="n"/>
      <c r="D85" s="13" t="n"/>
      <c r="E85" s="13" t="n"/>
      <c r="F85" s="13" t="n"/>
      <c r="G85" s="13" t="n"/>
      <c r="H85" s="12" t="n"/>
      <c r="I85" s="13" t="n"/>
      <c r="J85" s="13" t="n"/>
      <c r="K85" s="13" t="n"/>
      <c r="L85" s="13" t="n"/>
      <c r="M85" s="13" t="n"/>
    </row>
    <row r="86">
      <c r="A86" s="15" t="inlineStr">
        <is>
          <t>PK-M082</t>
        </is>
      </c>
      <c r="B86" s="13" t="n"/>
      <c r="C86" s="13" t="n"/>
      <c r="D86" s="13" t="n"/>
      <c r="E86" s="13" t="n"/>
      <c r="F86" s="13" t="n"/>
      <c r="G86" s="13" t="n"/>
      <c r="H86" s="12" t="n"/>
      <c r="I86" s="13" t="n"/>
      <c r="J86" s="13" t="n"/>
      <c r="K86" s="13" t="n"/>
      <c r="L86" s="13" t="n"/>
      <c r="M86" s="13" t="n"/>
    </row>
    <row r="87">
      <c r="A87" s="15" t="inlineStr">
        <is>
          <t>PK-M083</t>
        </is>
      </c>
      <c r="B87" s="13" t="n"/>
      <c r="C87" s="13" t="n"/>
      <c r="D87" s="13" t="n"/>
      <c r="E87" s="13" t="n"/>
      <c r="F87" s="13" t="n"/>
      <c r="G87" s="13" t="n"/>
      <c r="H87" s="12" t="n"/>
      <c r="I87" s="13" t="n"/>
      <c r="J87" s="13" t="n"/>
      <c r="K87" s="13" t="n"/>
      <c r="L87" s="13" t="n"/>
      <c r="M87" s="13" t="n"/>
    </row>
    <row r="88">
      <c r="A88" s="15" t="inlineStr">
        <is>
          <t>PK-M084</t>
        </is>
      </c>
      <c r="B88" s="13" t="n"/>
      <c r="C88" s="13" t="n"/>
      <c r="D88" s="13" t="n"/>
      <c r="E88" s="13" t="n"/>
      <c r="F88" s="13" t="n"/>
      <c r="G88" s="13" t="n"/>
      <c r="H88" s="12" t="n"/>
      <c r="I88" s="13" t="n"/>
      <c r="J88" s="13" t="n"/>
      <c r="K88" s="13" t="n"/>
      <c r="L88" s="13" t="n"/>
      <c r="M88" s="13" t="n"/>
    </row>
    <row r="89">
      <c r="A89" s="15" t="inlineStr">
        <is>
          <t>PK-M085</t>
        </is>
      </c>
      <c r="B89" s="13" t="n"/>
      <c r="C89" s="13" t="n"/>
      <c r="D89" s="13" t="n"/>
      <c r="E89" s="13" t="n"/>
      <c r="F89" s="13" t="n"/>
      <c r="G89" s="13" t="n"/>
      <c r="H89" s="12" t="n"/>
      <c r="I89" s="13" t="n"/>
      <c r="J89" s="13" t="n"/>
      <c r="K89" s="13" t="n"/>
      <c r="L89" s="13" t="n"/>
      <c r="M89" s="13" t="n"/>
    </row>
    <row r="90">
      <c r="A90" s="15" t="inlineStr">
        <is>
          <t>PK-M086</t>
        </is>
      </c>
      <c r="B90" s="13" t="n"/>
      <c r="C90" s="13" t="n"/>
      <c r="D90" s="13" t="n"/>
      <c r="E90" s="13" t="n"/>
      <c r="F90" s="13" t="n"/>
      <c r="G90" s="13" t="n"/>
      <c r="H90" s="12" t="n"/>
      <c r="I90" s="13" t="n"/>
      <c r="J90" s="13" t="n"/>
      <c r="K90" s="13" t="n"/>
      <c r="L90" s="13" t="n"/>
      <c r="M90" s="13" t="n"/>
    </row>
    <row r="91">
      <c r="A91" s="15" t="inlineStr">
        <is>
          <t>PK-M087</t>
        </is>
      </c>
      <c r="B91" s="13" t="n"/>
      <c r="C91" s="13" t="n"/>
      <c r="D91" s="13" t="n"/>
      <c r="E91" s="13" t="n"/>
      <c r="F91" s="13" t="n"/>
      <c r="G91" s="13" t="n"/>
      <c r="H91" s="12" t="n"/>
      <c r="I91" s="13" t="n"/>
      <c r="J91" s="13" t="n"/>
      <c r="K91" s="13" t="n"/>
      <c r="L91" s="13" t="n"/>
      <c r="M91" s="13" t="n"/>
    </row>
    <row r="92">
      <c r="A92" s="15" t="inlineStr">
        <is>
          <t>PK-M088</t>
        </is>
      </c>
      <c r="B92" s="13" t="n"/>
      <c r="C92" s="13" t="n"/>
      <c r="D92" s="13" t="n"/>
      <c r="E92" s="13" t="n"/>
      <c r="F92" s="13" t="n"/>
      <c r="G92" s="13" t="n"/>
      <c r="H92" s="12" t="n"/>
      <c r="I92" s="13" t="n"/>
      <c r="J92" s="13" t="n"/>
      <c r="K92" s="13" t="n"/>
      <c r="L92" s="13" t="n"/>
      <c r="M92" s="13" t="n"/>
    </row>
    <row r="93">
      <c r="A93" s="15" t="inlineStr">
        <is>
          <t>PK-M089</t>
        </is>
      </c>
      <c r="B93" s="13" t="n"/>
      <c r="C93" s="13" t="n"/>
      <c r="D93" s="13" t="n"/>
      <c r="E93" s="13" t="n"/>
      <c r="F93" s="13" t="n"/>
      <c r="G93" s="13" t="n"/>
      <c r="H93" s="12" t="n"/>
      <c r="I93" s="13" t="n"/>
      <c r="J93" s="13" t="n"/>
      <c r="K93" s="13" t="n"/>
      <c r="L93" s="13" t="n"/>
      <c r="M93" s="13" t="n"/>
    </row>
    <row r="94">
      <c r="A94" s="15" t="inlineStr">
        <is>
          <t>PK-M090</t>
        </is>
      </c>
      <c r="B94" s="13" t="n"/>
      <c r="C94" s="13" t="n"/>
      <c r="D94" s="13" t="n"/>
      <c r="E94" s="13" t="n"/>
      <c r="F94" s="13" t="n"/>
      <c r="G94" s="13" t="n"/>
      <c r="H94" s="12" t="n"/>
      <c r="I94" s="13" t="n"/>
      <c r="J94" s="13" t="n"/>
      <c r="K94" s="13" t="n"/>
      <c r="L94" s="13" t="n"/>
      <c r="M94" s="13" t="n"/>
    </row>
    <row r="95">
      <c r="A95" s="15" t="inlineStr">
        <is>
          <t>PK-M091</t>
        </is>
      </c>
      <c r="B95" s="13" t="n"/>
      <c r="C95" s="13" t="n"/>
      <c r="D95" s="13" t="n"/>
      <c r="E95" s="13" t="n"/>
      <c r="F95" s="13" t="n"/>
      <c r="G95" s="13" t="n"/>
      <c r="H95" s="12" t="n"/>
      <c r="I95" s="13" t="n"/>
      <c r="J95" s="13" t="n"/>
      <c r="K95" s="13" t="n"/>
      <c r="L95" s="13" t="n"/>
      <c r="M95" s="13" t="n"/>
    </row>
    <row r="96">
      <c r="A96" s="15" t="inlineStr">
        <is>
          <t>PK-M092</t>
        </is>
      </c>
      <c r="B96" s="13" t="n"/>
      <c r="C96" s="13" t="n"/>
      <c r="D96" s="13" t="n"/>
      <c r="E96" s="13" t="n"/>
      <c r="F96" s="13" t="n"/>
      <c r="G96" s="13" t="n"/>
      <c r="H96" s="12" t="n"/>
      <c r="I96" s="13" t="n"/>
      <c r="J96" s="13" t="n"/>
      <c r="K96" s="13" t="n"/>
      <c r="L96" s="13" t="n"/>
      <c r="M96" s="13" t="n"/>
    </row>
    <row r="97">
      <c r="A97" s="15" t="inlineStr">
        <is>
          <t>PK-M093</t>
        </is>
      </c>
      <c r="B97" s="13" t="n"/>
      <c r="C97" s="13" t="n"/>
      <c r="D97" s="13" t="n"/>
      <c r="E97" s="13" t="n"/>
      <c r="F97" s="13" t="n"/>
      <c r="G97" s="13" t="n"/>
      <c r="H97" s="12" t="n"/>
      <c r="I97" s="13" t="n"/>
      <c r="J97" s="13" t="n"/>
      <c r="K97" s="13" t="n"/>
      <c r="L97" s="13" t="n"/>
      <c r="M97" s="13" t="n"/>
    </row>
    <row r="98">
      <c r="A98" s="15" t="inlineStr">
        <is>
          <t>PK-M094</t>
        </is>
      </c>
      <c r="B98" s="13" t="n"/>
      <c r="C98" s="13" t="n"/>
      <c r="D98" s="13" t="n"/>
      <c r="E98" s="13" t="n"/>
      <c r="F98" s="13" t="n"/>
      <c r="G98" s="13" t="n"/>
      <c r="H98" s="12" t="n"/>
      <c r="I98" s="13" t="n"/>
      <c r="J98" s="13" t="n"/>
      <c r="K98" s="13" t="n"/>
      <c r="L98" s="13" t="n"/>
      <c r="M98" s="13" t="n"/>
    </row>
    <row r="99">
      <c r="A99" s="15" t="inlineStr">
        <is>
          <t>PK-M095</t>
        </is>
      </c>
      <c r="B99" s="13" t="n"/>
      <c r="C99" s="13" t="n"/>
      <c r="D99" s="13" t="n"/>
      <c r="E99" s="13" t="n"/>
      <c r="F99" s="13" t="n"/>
      <c r="G99" s="13" t="n"/>
      <c r="H99" s="12" t="n"/>
      <c r="I99" s="13" t="n"/>
      <c r="J99" s="13" t="n"/>
      <c r="K99" s="13" t="n"/>
      <c r="L99" s="13" t="n"/>
      <c r="M99" s="13" t="n"/>
    </row>
    <row r="100">
      <c r="A100" s="15" t="inlineStr">
        <is>
          <t>PK-M096</t>
        </is>
      </c>
      <c r="B100" s="13" t="n"/>
      <c r="C100" s="13" t="n"/>
      <c r="D100" s="13" t="n"/>
      <c r="E100" s="13" t="n"/>
      <c r="F100" s="13" t="n"/>
      <c r="G100" s="13" t="n"/>
      <c r="H100" s="12" t="n"/>
      <c r="I100" s="13" t="n"/>
      <c r="J100" s="13" t="n"/>
      <c r="K100" s="13" t="n"/>
      <c r="L100" s="13" t="n"/>
      <c r="M100" s="13" t="n"/>
    </row>
    <row r="101">
      <c r="A101" s="15" t="inlineStr">
        <is>
          <t>PK-M097</t>
        </is>
      </c>
      <c r="B101" s="13" t="n"/>
      <c r="C101" s="13" t="n"/>
      <c r="D101" s="13" t="n"/>
      <c r="E101" s="13" t="n"/>
      <c r="F101" s="13" t="n"/>
      <c r="G101" s="13" t="n"/>
      <c r="H101" s="12" t="n"/>
      <c r="I101" s="13" t="n"/>
      <c r="J101" s="13" t="n"/>
      <c r="K101" s="13" t="n"/>
      <c r="L101" s="13" t="n"/>
      <c r="M101" s="13" t="n"/>
    </row>
    <row r="102">
      <c r="A102" s="15" t="inlineStr">
        <is>
          <t>PK-M098</t>
        </is>
      </c>
      <c r="B102" s="13" t="n"/>
      <c r="C102" s="13" t="n"/>
      <c r="D102" s="13" t="n"/>
      <c r="E102" s="13" t="n"/>
      <c r="F102" s="13" t="n"/>
      <c r="G102" s="13" t="n"/>
      <c r="H102" s="12" t="n"/>
      <c r="I102" s="13" t="n"/>
      <c r="J102" s="13" t="n"/>
      <c r="K102" s="13" t="n"/>
      <c r="L102" s="13" t="n"/>
      <c r="M102" s="13" t="n"/>
    </row>
    <row r="103">
      <c r="A103" s="15" t="inlineStr">
        <is>
          <t>PK-M099</t>
        </is>
      </c>
      <c r="B103" s="13" t="n"/>
      <c r="C103" s="13" t="n"/>
      <c r="D103" s="13" t="n"/>
      <c r="E103" s="13" t="n"/>
      <c r="F103" s="13" t="n"/>
      <c r="G103" s="13" t="n"/>
      <c r="H103" s="12" t="n"/>
      <c r="I103" s="13" t="n"/>
      <c r="J103" s="13" t="n"/>
      <c r="K103" s="13" t="n"/>
      <c r="L103" s="13" t="n"/>
      <c r="M103" s="13" t="n"/>
    </row>
    <row r="104">
      <c r="A104" s="15" t="inlineStr">
        <is>
          <t>PK-M100</t>
        </is>
      </c>
      <c r="B104" s="13" t="n"/>
      <c r="C104" s="13" t="n"/>
      <c r="D104" s="13" t="n"/>
      <c r="E104" s="13" t="n"/>
      <c r="F104" s="13" t="n"/>
      <c r="G104" s="13" t="n"/>
      <c r="H104" s="12" t="n"/>
      <c r="I104" s="13" t="n"/>
      <c r="J104" s="13" t="n"/>
      <c r="K104" s="13" t="n"/>
      <c r="L104" s="13" t="n"/>
      <c r="M104" s="13" t="n"/>
    </row>
    <row r="105">
      <c r="A105" s="15" t="inlineStr">
        <is>
          <t>PK-M101</t>
        </is>
      </c>
      <c r="B105" s="13" t="n"/>
      <c r="C105" s="13" t="n"/>
      <c r="D105" s="13" t="n"/>
      <c r="E105" s="13" t="n"/>
      <c r="F105" s="13" t="n"/>
      <c r="G105" s="13" t="n"/>
      <c r="H105" s="12" t="n"/>
      <c r="I105" s="13" t="n"/>
      <c r="J105" s="13" t="n"/>
      <c r="K105" s="13" t="n"/>
      <c r="L105" s="13" t="n"/>
      <c r="M105" s="13" t="n"/>
    </row>
    <row r="106">
      <c r="A106" s="15" t="inlineStr">
        <is>
          <t>PK-M102</t>
        </is>
      </c>
      <c r="B106" s="13" t="n"/>
      <c r="C106" s="13" t="n"/>
      <c r="D106" s="13" t="n"/>
      <c r="E106" s="13" t="n"/>
      <c r="F106" s="13" t="n"/>
      <c r="G106" s="13" t="n"/>
      <c r="H106" s="12" t="n"/>
      <c r="I106" s="13" t="n"/>
      <c r="J106" s="13" t="n"/>
      <c r="K106" s="13" t="n"/>
      <c r="L106" s="13" t="n"/>
      <c r="M106" s="13" t="n"/>
    </row>
    <row r="107">
      <c r="A107" s="15" t="inlineStr">
        <is>
          <t>PK-M103</t>
        </is>
      </c>
      <c r="B107" s="13" t="n"/>
      <c r="C107" s="13" t="n"/>
      <c r="D107" s="13" t="n"/>
      <c r="E107" s="13" t="n"/>
      <c r="F107" s="13" t="n"/>
      <c r="G107" s="13" t="n"/>
      <c r="H107" s="12" t="n"/>
      <c r="I107" s="13" t="n"/>
      <c r="J107" s="13" t="n"/>
      <c r="K107" s="13" t="n"/>
      <c r="L107" s="13" t="n"/>
      <c r="M107" s="13" t="n"/>
    </row>
    <row r="108">
      <c r="A108" s="15" t="inlineStr">
        <is>
          <t>PK-M104</t>
        </is>
      </c>
      <c r="B108" s="13" t="n"/>
      <c r="C108" s="13" t="n"/>
      <c r="D108" s="13" t="n"/>
      <c r="E108" s="13" t="n"/>
      <c r="F108" s="13" t="n"/>
      <c r="G108" s="13" t="n"/>
      <c r="H108" s="12" t="n"/>
      <c r="I108" s="13" t="n"/>
      <c r="J108" s="13" t="n"/>
      <c r="K108" s="13" t="n"/>
      <c r="L108" s="13" t="n"/>
      <c r="M108" s="13" t="n"/>
    </row>
    <row r="109">
      <c r="A109" s="15" t="inlineStr">
        <is>
          <t>PK-M105</t>
        </is>
      </c>
      <c r="B109" s="13" t="n"/>
      <c r="C109" s="13" t="n"/>
      <c r="D109" s="13" t="n"/>
      <c r="E109" s="13" t="n"/>
      <c r="F109" s="13" t="n"/>
      <c r="G109" s="13" t="n"/>
      <c r="H109" s="12" t="n"/>
      <c r="I109" s="13" t="n"/>
      <c r="J109" s="13" t="n"/>
      <c r="K109" s="13" t="n"/>
      <c r="L109" s="13" t="n"/>
      <c r="M109" s="13" t="n"/>
    </row>
    <row r="110">
      <c r="A110" s="15" t="inlineStr">
        <is>
          <t>PK-M106</t>
        </is>
      </c>
      <c r="B110" s="13" t="n"/>
      <c r="C110" s="13" t="n"/>
      <c r="D110" s="13" t="n"/>
      <c r="E110" s="13" t="n"/>
      <c r="F110" s="13" t="n"/>
      <c r="G110" s="13" t="n"/>
      <c r="H110" s="12" t="n"/>
      <c r="I110" s="13" t="n"/>
      <c r="J110" s="13" t="n"/>
      <c r="K110" s="13" t="n"/>
      <c r="L110" s="13" t="n"/>
      <c r="M110" s="13" t="n"/>
    </row>
    <row r="111">
      <c r="A111" s="15" t="inlineStr">
        <is>
          <t>PK-M107</t>
        </is>
      </c>
      <c r="B111" s="13" t="n"/>
      <c r="C111" s="13" t="n"/>
      <c r="D111" s="13" t="n"/>
      <c r="E111" s="13" t="n"/>
      <c r="F111" s="13" t="n"/>
      <c r="G111" s="13" t="n"/>
      <c r="H111" s="12" t="n"/>
      <c r="I111" s="13" t="n"/>
      <c r="J111" s="13" t="n"/>
      <c r="K111" s="13" t="n"/>
      <c r="L111" s="13" t="n"/>
      <c r="M111" s="13" t="n"/>
    </row>
    <row r="112">
      <c r="A112" s="15" t="inlineStr">
        <is>
          <t>PK-M108</t>
        </is>
      </c>
      <c r="B112" s="13" t="n"/>
      <c r="C112" s="13" t="n"/>
      <c r="D112" s="13" t="n"/>
      <c r="E112" s="13" t="n"/>
      <c r="F112" s="13" t="n"/>
      <c r="G112" s="13" t="n"/>
      <c r="H112" s="12" t="n"/>
      <c r="I112" s="13" t="n"/>
      <c r="J112" s="13" t="n"/>
      <c r="K112" s="13" t="n"/>
      <c r="L112" s="13" t="n"/>
      <c r="M112" s="13" t="n"/>
    </row>
    <row r="113">
      <c r="A113" s="15" t="inlineStr">
        <is>
          <t>PK-M109</t>
        </is>
      </c>
      <c r="B113" s="13" t="n"/>
      <c r="C113" s="13" t="n"/>
      <c r="D113" s="13" t="n"/>
      <c r="E113" s="13" t="n"/>
      <c r="F113" s="13" t="n"/>
      <c r="G113" s="13" t="n"/>
      <c r="H113" s="12" t="n"/>
      <c r="I113" s="13" t="n"/>
      <c r="J113" s="13" t="n"/>
      <c r="K113" s="13" t="n"/>
      <c r="L113" s="13" t="n"/>
      <c r="M113" s="13" t="n"/>
    </row>
    <row r="114">
      <c r="A114" s="15" t="inlineStr">
        <is>
          <t>PK-M110</t>
        </is>
      </c>
      <c r="B114" s="13" t="n"/>
      <c r="C114" s="13" t="n"/>
      <c r="D114" s="13" t="n"/>
      <c r="E114" s="13" t="n"/>
      <c r="F114" s="13" t="n"/>
      <c r="G114" s="13" t="n"/>
      <c r="H114" s="12" t="n"/>
      <c r="I114" s="13" t="n"/>
      <c r="J114" s="13" t="n"/>
      <c r="K114" s="13" t="n"/>
      <c r="L114" s="13" t="n"/>
      <c r="M114" s="13" t="n"/>
    </row>
    <row r="115">
      <c r="A115" s="15" t="inlineStr">
        <is>
          <t>PK-M111</t>
        </is>
      </c>
      <c r="B115" s="13" t="n"/>
      <c r="C115" s="13" t="n"/>
      <c r="D115" s="13" t="n"/>
      <c r="E115" s="13" t="n"/>
      <c r="F115" s="13" t="n"/>
      <c r="G115" s="13" t="n"/>
      <c r="H115" s="12" t="n"/>
      <c r="I115" s="13" t="n"/>
      <c r="J115" s="13" t="n"/>
      <c r="K115" s="13" t="n"/>
      <c r="L115" s="13" t="n"/>
      <c r="M115" s="13" t="n"/>
    </row>
    <row r="116">
      <c r="A116" s="15" t="inlineStr">
        <is>
          <t>PK-M112</t>
        </is>
      </c>
      <c r="B116" s="13" t="n"/>
      <c r="C116" s="13" t="n"/>
      <c r="D116" s="13" t="n"/>
      <c r="E116" s="13" t="n"/>
      <c r="F116" s="13" t="n"/>
      <c r="G116" s="13" t="n"/>
      <c r="H116" s="12" t="n"/>
      <c r="I116" s="13" t="n"/>
      <c r="J116" s="13" t="n"/>
      <c r="K116" s="13" t="n"/>
      <c r="L116" s="13" t="n"/>
      <c r="M116" s="13" t="n"/>
    </row>
    <row r="117">
      <c r="A117" s="15" t="inlineStr">
        <is>
          <t>PK-M113</t>
        </is>
      </c>
      <c r="B117" s="13" t="n"/>
      <c r="C117" s="13" t="n"/>
      <c r="D117" s="13" t="n"/>
      <c r="E117" s="13" t="n"/>
      <c r="F117" s="13" t="n"/>
      <c r="G117" s="13" t="n"/>
      <c r="H117" s="12" t="n"/>
      <c r="I117" s="13" t="n"/>
      <c r="J117" s="13" t="n"/>
      <c r="K117" s="13" t="n"/>
      <c r="L117" s="13" t="n"/>
      <c r="M117" s="13" t="n"/>
    </row>
    <row r="118">
      <c r="A118" s="15" t="inlineStr">
        <is>
          <t>PK-M114</t>
        </is>
      </c>
      <c r="B118" s="13" t="n"/>
      <c r="C118" s="13" t="n"/>
      <c r="D118" s="13" t="n"/>
      <c r="E118" s="13" t="n"/>
      <c r="F118" s="13" t="n"/>
      <c r="G118" s="13" t="n"/>
      <c r="H118" s="12" t="n"/>
      <c r="I118" s="13" t="n"/>
      <c r="J118" s="13" t="n"/>
      <c r="K118" s="13" t="n"/>
      <c r="L118" s="13" t="n"/>
      <c r="M118" s="13" t="n"/>
    </row>
    <row r="119">
      <c r="A119" s="15" t="inlineStr">
        <is>
          <t>PK-M115</t>
        </is>
      </c>
      <c r="B119" s="13" t="n"/>
      <c r="C119" s="13" t="n"/>
      <c r="D119" s="13" t="n"/>
      <c r="E119" s="13" t="n"/>
      <c r="F119" s="13" t="n"/>
      <c r="G119" s="13" t="n"/>
      <c r="H119" s="12" t="n"/>
      <c r="I119" s="13" t="n"/>
      <c r="J119" s="13" t="n"/>
      <c r="K119" s="13" t="n"/>
      <c r="L119" s="13" t="n"/>
      <c r="M119" s="13" t="n"/>
    </row>
    <row r="120">
      <c r="A120" s="15" t="inlineStr">
        <is>
          <t>PK-M116</t>
        </is>
      </c>
      <c r="B120" s="13" t="n"/>
      <c r="C120" s="13" t="n"/>
      <c r="D120" s="13" t="n"/>
      <c r="E120" s="13" t="n"/>
      <c r="F120" s="13" t="n"/>
      <c r="G120" s="13" t="n"/>
      <c r="H120" s="12" t="n"/>
      <c r="I120" s="13" t="n"/>
      <c r="J120" s="13" t="n"/>
      <c r="K120" s="13" t="n"/>
      <c r="L120" s="13" t="n"/>
      <c r="M120" s="13" t="n"/>
    </row>
    <row r="121">
      <c r="A121" s="15" t="inlineStr">
        <is>
          <t>PK-M117</t>
        </is>
      </c>
      <c r="B121" s="13" t="n"/>
      <c r="C121" s="13" t="n"/>
      <c r="D121" s="13" t="n"/>
      <c r="E121" s="13" t="n"/>
      <c r="F121" s="13" t="n"/>
      <c r="G121" s="13" t="n"/>
      <c r="H121" s="12" t="n"/>
      <c r="I121" s="13" t="n"/>
      <c r="J121" s="13" t="n"/>
      <c r="K121" s="13" t="n"/>
      <c r="L121" s="13" t="n"/>
      <c r="M121" s="13" t="n"/>
    </row>
    <row r="122">
      <c r="A122" s="15" t="inlineStr">
        <is>
          <t>PK-M118</t>
        </is>
      </c>
      <c r="B122" s="13" t="n"/>
      <c r="C122" s="13" t="n"/>
      <c r="D122" s="13" t="n"/>
      <c r="E122" s="13" t="n"/>
      <c r="F122" s="13" t="n"/>
      <c r="G122" s="13" t="n"/>
      <c r="H122" s="12" t="n"/>
      <c r="I122" s="13" t="n"/>
      <c r="J122" s="13" t="n"/>
      <c r="K122" s="13" t="n"/>
      <c r="L122" s="13" t="n"/>
      <c r="M122" s="13" t="n"/>
    </row>
    <row r="123">
      <c r="A123" s="15" t="inlineStr">
        <is>
          <t>PK-M119</t>
        </is>
      </c>
      <c r="B123" s="13" t="n"/>
      <c r="C123" s="13" t="n"/>
      <c r="D123" s="13" t="n"/>
      <c r="E123" s="13" t="n"/>
      <c r="F123" s="13" t="n"/>
      <c r="G123" s="13" t="n"/>
      <c r="H123" s="12" t="n"/>
      <c r="I123" s="13" t="n"/>
      <c r="J123" s="13" t="n"/>
      <c r="K123" s="13" t="n"/>
      <c r="L123" s="13" t="n"/>
      <c r="M123" s="13" t="n"/>
    </row>
    <row r="124">
      <c r="A124" s="15" t="inlineStr">
        <is>
          <t>PK-M120</t>
        </is>
      </c>
      <c r="B124" s="13" t="n"/>
      <c r="C124" s="13" t="n"/>
      <c r="D124" s="13" t="n"/>
      <c r="E124" s="13" t="n"/>
      <c r="F124" s="13" t="n"/>
      <c r="G124" s="13" t="n"/>
      <c r="H124" s="12" t="n"/>
      <c r="I124" s="13" t="n"/>
      <c r="J124" s="13" t="n"/>
      <c r="K124" s="13" t="n"/>
      <c r="L124" s="13" t="n"/>
      <c r="M124" s="13" t="n"/>
    </row>
    <row r="125">
      <c r="A125" s="15" t="inlineStr">
        <is>
          <t>PK-M121</t>
        </is>
      </c>
      <c r="B125" s="13" t="n"/>
      <c r="C125" s="13" t="n"/>
      <c r="D125" s="13" t="n"/>
      <c r="E125" s="13" t="n"/>
      <c r="F125" s="13" t="n"/>
      <c r="G125" s="13" t="n"/>
      <c r="H125" s="12" t="n"/>
      <c r="I125" s="13" t="n"/>
      <c r="J125" s="13" t="n"/>
      <c r="K125" s="13" t="n"/>
      <c r="L125" s="13" t="n"/>
      <c r="M125" s="13" t="n"/>
    </row>
    <row r="126">
      <c r="A126" s="15" t="inlineStr">
        <is>
          <t>PK-M122</t>
        </is>
      </c>
      <c r="B126" s="13" t="n"/>
      <c r="C126" s="13" t="n"/>
      <c r="D126" s="13" t="n"/>
      <c r="E126" s="13" t="n"/>
      <c r="F126" s="13" t="n"/>
      <c r="G126" s="13" t="n"/>
      <c r="H126" s="12" t="n"/>
      <c r="I126" s="13" t="n"/>
      <c r="J126" s="13" t="n"/>
      <c r="K126" s="13" t="n"/>
      <c r="L126" s="13" t="n"/>
      <c r="M126" s="13" t="n"/>
    </row>
    <row r="127">
      <c r="A127" s="15" t="inlineStr">
        <is>
          <t>PK-M123</t>
        </is>
      </c>
      <c r="B127" s="13" t="n"/>
      <c r="C127" s="13" t="n"/>
      <c r="D127" s="13" t="n"/>
      <c r="E127" s="13" t="n"/>
      <c r="F127" s="13" t="n"/>
      <c r="G127" s="13" t="n"/>
      <c r="H127" s="12" t="n"/>
      <c r="I127" s="13" t="n"/>
      <c r="J127" s="13" t="n"/>
      <c r="K127" s="13" t="n"/>
      <c r="L127" s="13" t="n"/>
      <c r="M127" s="13" t="n"/>
    </row>
    <row r="128">
      <c r="A128" s="15" t="inlineStr">
        <is>
          <t>PK-M124</t>
        </is>
      </c>
      <c r="B128" s="13" t="n"/>
      <c r="C128" s="13" t="n"/>
      <c r="D128" s="13" t="n"/>
      <c r="E128" s="13" t="n"/>
      <c r="F128" s="13" t="n"/>
      <c r="G128" s="13" t="n"/>
      <c r="H128" s="12" t="n"/>
      <c r="I128" s="13" t="n"/>
      <c r="J128" s="13" t="n"/>
      <c r="K128" s="13" t="n"/>
      <c r="L128" s="13" t="n"/>
      <c r="M128" s="13" t="n"/>
    </row>
    <row r="129">
      <c r="A129" s="15" t="inlineStr">
        <is>
          <t>PK-M125</t>
        </is>
      </c>
      <c r="B129" s="13" t="n"/>
      <c r="C129" s="13" t="n"/>
      <c r="D129" s="13" t="n"/>
      <c r="E129" s="13" t="n"/>
      <c r="F129" s="13" t="n"/>
      <c r="G129" s="13" t="n"/>
      <c r="H129" s="12" t="n"/>
      <c r="I129" s="13" t="n"/>
      <c r="J129" s="13" t="n"/>
      <c r="K129" s="13" t="n"/>
      <c r="L129" s="13" t="n"/>
      <c r="M129" s="13" t="n"/>
    </row>
    <row r="130">
      <c r="A130" s="15" t="inlineStr">
        <is>
          <t>PK-M126</t>
        </is>
      </c>
      <c r="B130" s="13" t="n"/>
      <c r="C130" s="13" t="n"/>
      <c r="D130" s="13" t="n"/>
      <c r="E130" s="13" t="n"/>
      <c r="F130" s="13" t="n"/>
      <c r="G130" s="13" t="n"/>
      <c r="H130" s="12" t="n"/>
      <c r="I130" s="13" t="n"/>
      <c r="J130" s="13" t="n"/>
      <c r="K130" s="13" t="n"/>
      <c r="L130" s="13" t="n"/>
      <c r="M130" s="13" t="n"/>
    </row>
    <row r="131">
      <c r="A131" s="15" t="inlineStr">
        <is>
          <t>PK-M127</t>
        </is>
      </c>
      <c r="B131" s="13" t="n"/>
      <c r="C131" s="13" t="n"/>
      <c r="D131" s="13" t="n"/>
      <c r="E131" s="13" t="n"/>
      <c r="F131" s="13" t="n"/>
      <c r="G131" s="13" t="n"/>
      <c r="H131" s="12" t="n"/>
      <c r="I131" s="13" t="n"/>
      <c r="J131" s="13" t="n"/>
      <c r="K131" s="13" t="n"/>
      <c r="L131" s="13" t="n"/>
      <c r="M131" s="13" t="n"/>
    </row>
    <row r="132">
      <c r="A132" s="15" t="inlineStr">
        <is>
          <t>PK-M128</t>
        </is>
      </c>
      <c r="B132" s="13" t="n"/>
      <c r="C132" s="13" t="n"/>
      <c r="D132" s="13" t="n"/>
      <c r="E132" s="13" t="n"/>
      <c r="F132" s="13" t="n"/>
      <c r="G132" s="13" t="n"/>
      <c r="H132" s="12" t="n"/>
      <c r="I132" s="13" t="n"/>
      <c r="J132" s="13" t="n"/>
      <c r="K132" s="13" t="n"/>
      <c r="L132" s="13" t="n"/>
      <c r="M132" s="13" t="n"/>
    </row>
    <row r="133">
      <c r="A133" s="15" t="inlineStr">
        <is>
          <t>PK-M129</t>
        </is>
      </c>
      <c r="B133" s="13" t="n"/>
      <c r="C133" s="13" t="n"/>
      <c r="D133" s="13" t="n"/>
      <c r="E133" s="13" t="n"/>
      <c r="F133" s="13" t="n"/>
      <c r="G133" s="13" t="n"/>
      <c r="H133" s="12" t="n"/>
      <c r="I133" s="13" t="n"/>
      <c r="J133" s="13" t="n"/>
      <c r="K133" s="13" t="n"/>
      <c r="L133" s="13" t="n"/>
      <c r="M133" s="13" t="n"/>
    </row>
    <row r="134">
      <c r="A134" s="15" t="inlineStr">
        <is>
          <t>PK-M130</t>
        </is>
      </c>
      <c r="B134" s="13" t="n"/>
      <c r="C134" s="13" t="n"/>
      <c r="D134" s="13" t="n"/>
      <c r="E134" s="13" t="n"/>
      <c r="F134" s="13" t="n"/>
      <c r="G134" s="13" t="n"/>
      <c r="H134" s="12" t="n"/>
      <c r="I134" s="13" t="n"/>
      <c r="J134" s="13" t="n"/>
      <c r="K134" s="13" t="n"/>
      <c r="L134" s="13" t="n"/>
      <c r="M134" s="13" t="n"/>
    </row>
    <row r="135">
      <c r="A135" s="15" t="inlineStr">
        <is>
          <t>PK-M131</t>
        </is>
      </c>
      <c r="B135" s="13" t="n"/>
      <c r="C135" s="13" t="n"/>
      <c r="D135" s="13" t="n"/>
      <c r="E135" s="13" t="n"/>
      <c r="F135" s="13" t="n"/>
      <c r="G135" s="13" t="n"/>
      <c r="H135" s="12" t="n"/>
      <c r="I135" s="13" t="n"/>
      <c r="J135" s="13" t="n"/>
      <c r="K135" s="13" t="n"/>
      <c r="L135" s="13" t="n"/>
      <c r="M135" s="13" t="n"/>
    </row>
    <row r="136">
      <c r="A136" s="15" t="inlineStr">
        <is>
          <t>PK-M132</t>
        </is>
      </c>
      <c r="B136" s="13" t="n"/>
      <c r="C136" s="13" t="n"/>
      <c r="D136" s="13" t="n"/>
      <c r="E136" s="13" t="n"/>
      <c r="F136" s="13" t="n"/>
      <c r="G136" s="13" t="n"/>
      <c r="H136" s="12" t="n"/>
      <c r="I136" s="13" t="n"/>
      <c r="J136" s="13" t="n"/>
      <c r="K136" s="13" t="n"/>
      <c r="L136" s="13" t="n"/>
      <c r="M136" s="13" t="n"/>
    </row>
    <row r="137">
      <c r="A137" s="15" t="inlineStr">
        <is>
          <t>PK-M133</t>
        </is>
      </c>
      <c r="B137" s="13" t="n"/>
      <c r="C137" s="13" t="n"/>
      <c r="D137" s="13" t="n"/>
      <c r="E137" s="13" t="n"/>
      <c r="F137" s="13" t="n"/>
      <c r="G137" s="13" t="n"/>
      <c r="H137" s="12" t="n"/>
      <c r="I137" s="13" t="n"/>
      <c r="J137" s="13" t="n"/>
      <c r="K137" s="13" t="n"/>
      <c r="L137" s="13" t="n"/>
      <c r="M137" s="13" t="n"/>
    </row>
    <row r="138">
      <c r="A138" s="15" t="inlineStr">
        <is>
          <t>PK-M134</t>
        </is>
      </c>
      <c r="B138" s="13" t="n"/>
      <c r="C138" s="13" t="n"/>
      <c r="D138" s="13" t="n"/>
      <c r="E138" s="13" t="n"/>
      <c r="F138" s="13" t="n"/>
      <c r="G138" s="13" t="n"/>
      <c r="H138" s="12" t="n"/>
      <c r="I138" s="13" t="n"/>
      <c r="J138" s="13" t="n"/>
      <c r="K138" s="13" t="n"/>
      <c r="L138" s="13" t="n"/>
      <c r="M138" s="13" t="n"/>
    </row>
    <row r="139">
      <c r="A139" s="15" t="inlineStr">
        <is>
          <t>PK-M135</t>
        </is>
      </c>
      <c r="B139" s="13" t="n"/>
      <c r="C139" s="13" t="n"/>
      <c r="D139" s="13" t="n"/>
      <c r="E139" s="13" t="n"/>
      <c r="F139" s="13" t="n"/>
      <c r="G139" s="13" t="n"/>
      <c r="H139" s="12" t="n"/>
      <c r="I139" s="13" t="n"/>
      <c r="J139" s="13" t="n"/>
      <c r="K139" s="13" t="n"/>
      <c r="L139" s="13" t="n"/>
      <c r="M139" s="13" t="n"/>
    </row>
    <row r="140">
      <c r="A140" s="15" t="inlineStr">
        <is>
          <t>PK-M136</t>
        </is>
      </c>
      <c r="B140" s="13" t="n"/>
      <c r="C140" s="13" t="n"/>
      <c r="D140" s="13" t="n"/>
      <c r="E140" s="13" t="n"/>
      <c r="F140" s="13" t="n"/>
      <c r="G140" s="13" t="n"/>
      <c r="H140" s="12" t="n"/>
      <c r="I140" s="13" t="n"/>
      <c r="J140" s="13" t="n"/>
      <c r="K140" s="13" t="n"/>
      <c r="L140" s="13" t="n"/>
      <c r="M140" s="13" t="n"/>
    </row>
    <row r="141">
      <c r="A141" s="15" t="inlineStr">
        <is>
          <t>PK-M137</t>
        </is>
      </c>
      <c r="B141" s="13" t="n"/>
      <c r="C141" s="13" t="n"/>
      <c r="D141" s="13" t="n"/>
      <c r="E141" s="13" t="n"/>
      <c r="F141" s="13" t="n"/>
      <c r="G141" s="13" t="n"/>
      <c r="H141" s="12" t="n"/>
      <c r="I141" s="13" t="n"/>
      <c r="J141" s="13" t="n"/>
      <c r="K141" s="13" t="n"/>
      <c r="L141" s="13" t="n"/>
      <c r="M141" s="13" t="n"/>
    </row>
    <row r="142">
      <c r="A142" s="15" t="inlineStr">
        <is>
          <t>PK-M138</t>
        </is>
      </c>
      <c r="B142" s="13" t="n"/>
      <c r="C142" s="13" t="n"/>
      <c r="D142" s="13" t="n"/>
      <c r="E142" s="13" t="n"/>
      <c r="F142" s="13" t="n"/>
      <c r="G142" s="13" t="n"/>
      <c r="H142" s="12" t="n"/>
      <c r="I142" s="13" t="n"/>
      <c r="J142" s="13" t="n"/>
      <c r="K142" s="13" t="n"/>
      <c r="L142" s="13" t="n"/>
      <c r="M142" s="13" t="n"/>
    </row>
    <row r="143">
      <c r="A143" s="15" t="inlineStr">
        <is>
          <t>PK-M139</t>
        </is>
      </c>
      <c r="B143" s="13" t="n"/>
      <c r="C143" s="13" t="n"/>
      <c r="D143" s="13" t="n"/>
      <c r="E143" s="13" t="n"/>
      <c r="F143" s="13" t="n"/>
      <c r="G143" s="13" t="n"/>
      <c r="H143" s="12" t="n"/>
      <c r="I143" s="13" t="n"/>
      <c r="J143" s="13" t="n"/>
      <c r="K143" s="13" t="n"/>
      <c r="L143" s="13" t="n"/>
      <c r="M143" s="13" t="n"/>
    </row>
    <row r="144">
      <c r="A144" s="15" t="inlineStr">
        <is>
          <t>PK-M140</t>
        </is>
      </c>
      <c r="B144" s="13" t="n"/>
      <c r="C144" s="13" t="n"/>
      <c r="D144" s="13" t="n"/>
      <c r="E144" s="13" t="n"/>
      <c r="F144" s="13" t="n"/>
      <c r="G144" s="13" t="n"/>
      <c r="H144" s="12" t="n"/>
      <c r="I144" s="13" t="n"/>
      <c r="J144" s="13" t="n"/>
      <c r="K144" s="13" t="n"/>
      <c r="L144" s="13" t="n"/>
      <c r="M144" s="13" t="n"/>
    </row>
    <row r="145">
      <c r="A145" s="15" t="inlineStr">
        <is>
          <t>PK-M141</t>
        </is>
      </c>
      <c r="B145" s="13" t="n"/>
      <c r="C145" s="13" t="n"/>
      <c r="D145" s="13" t="n"/>
      <c r="E145" s="13" t="n"/>
      <c r="F145" s="13" t="n"/>
      <c r="G145" s="13" t="n"/>
      <c r="H145" s="12" t="n"/>
      <c r="I145" s="13" t="n"/>
      <c r="J145" s="13" t="n"/>
      <c r="K145" s="13" t="n"/>
      <c r="L145" s="13" t="n"/>
      <c r="M145" s="13" t="n"/>
    </row>
    <row r="146">
      <c r="A146" s="15" t="inlineStr">
        <is>
          <t>PK-M142</t>
        </is>
      </c>
      <c r="B146" s="13" t="n"/>
      <c r="C146" s="13" t="n"/>
      <c r="D146" s="13" t="n"/>
      <c r="E146" s="13" t="n"/>
      <c r="F146" s="13" t="n"/>
      <c r="G146" s="13" t="n"/>
      <c r="H146" s="12" t="n"/>
      <c r="I146" s="13" t="n"/>
      <c r="J146" s="13" t="n"/>
      <c r="K146" s="13" t="n"/>
      <c r="L146" s="13" t="n"/>
      <c r="M146" s="13" t="n"/>
    </row>
    <row r="147">
      <c r="A147" s="15" t="inlineStr">
        <is>
          <t>PK-M143</t>
        </is>
      </c>
      <c r="B147" s="13" t="n"/>
      <c r="C147" s="13" t="n"/>
      <c r="D147" s="13" t="n"/>
      <c r="E147" s="13" t="n"/>
      <c r="F147" s="13" t="n"/>
      <c r="G147" s="13" t="n"/>
      <c r="H147" s="12" t="n"/>
      <c r="I147" s="13" t="n"/>
      <c r="J147" s="13" t="n"/>
      <c r="K147" s="13" t="n"/>
      <c r="L147" s="13" t="n"/>
      <c r="M147" s="13" t="n"/>
    </row>
    <row r="148">
      <c r="A148" s="15" t="inlineStr">
        <is>
          <t>PK-M144</t>
        </is>
      </c>
      <c r="B148" s="13" t="n"/>
      <c r="C148" s="13" t="n"/>
      <c r="D148" s="13" t="n"/>
      <c r="E148" s="13" t="n"/>
      <c r="F148" s="13" t="n"/>
      <c r="G148" s="13" t="n"/>
      <c r="H148" s="12" t="n"/>
      <c r="I148" s="13" t="n"/>
      <c r="J148" s="13" t="n"/>
      <c r="K148" s="13" t="n"/>
      <c r="L148" s="13" t="n"/>
      <c r="M148" s="13" t="n"/>
    </row>
    <row r="149">
      <c r="A149" s="15" t="inlineStr">
        <is>
          <t>PK-M145</t>
        </is>
      </c>
      <c r="B149" s="13" t="n"/>
      <c r="C149" s="13" t="n"/>
      <c r="D149" s="13" t="n"/>
      <c r="E149" s="13" t="n"/>
      <c r="F149" s="13" t="n"/>
      <c r="G149" s="13" t="n"/>
      <c r="H149" s="12" t="n"/>
      <c r="I149" s="13" t="n"/>
      <c r="J149" s="13" t="n"/>
      <c r="K149" s="13" t="n"/>
      <c r="L149" s="13" t="n"/>
      <c r="M149" s="13" t="n"/>
    </row>
    <row r="150">
      <c r="A150" s="15" t="inlineStr">
        <is>
          <t>PK-M146</t>
        </is>
      </c>
      <c r="B150" s="13" t="n"/>
      <c r="C150" s="13" t="n"/>
      <c r="D150" s="13" t="n"/>
      <c r="E150" s="13" t="n"/>
      <c r="F150" s="13" t="n"/>
      <c r="G150" s="13" t="n"/>
      <c r="H150" s="12" t="n"/>
      <c r="I150" s="13" t="n"/>
      <c r="J150" s="13" t="n"/>
      <c r="K150" s="13" t="n"/>
      <c r="L150" s="13" t="n"/>
      <c r="M150" s="13" t="n"/>
    </row>
    <row r="151">
      <c r="A151" s="15" t="inlineStr">
        <is>
          <t>PK-M147</t>
        </is>
      </c>
      <c r="B151" s="13" t="n"/>
      <c r="C151" s="13" t="n"/>
      <c r="D151" s="13" t="n"/>
      <c r="E151" s="13" t="n"/>
      <c r="F151" s="13" t="n"/>
      <c r="G151" s="13" t="n"/>
      <c r="H151" s="12" t="n"/>
      <c r="I151" s="13" t="n"/>
      <c r="J151" s="13" t="n"/>
      <c r="K151" s="13" t="n"/>
      <c r="L151" s="13" t="n"/>
      <c r="M151" s="13" t="n"/>
    </row>
    <row r="152">
      <c r="A152" s="15" t="inlineStr">
        <is>
          <t>PK-M148</t>
        </is>
      </c>
      <c r="B152" s="13" t="n"/>
      <c r="C152" s="13" t="n"/>
      <c r="D152" s="13" t="n"/>
      <c r="E152" s="13" t="n"/>
      <c r="F152" s="13" t="n"/>
      <c r="G152" s="13" t="n"/>
      <c r="H152" s="12" t="n"/>
      <c r="I152" s="13" t="n"/>
      <c r="J152" s="13" t="n"/>
      <c r="K152" s="13" t="n"/>
      <c r="L152" s="13" t="n"/>
      <c r="M152" s="13" t="n"/>
    </row>
    <row r="153">
      <c r="A153" s="15" t="inlineStr">
        <is>
          <t>PK-M149</t>
        </is>
      </c>
      <c r="B153" s="13" t="n"/>
      <c r="C153" s="13" t="n"/>
      <c r="D153" s="13" t="n"/>
      <c r="E153" s="13" t="n"/>
      <c r="F153" s="13" t="n"/>
      <c r="G153" s="13" t="n"/>
      <c r="H153" s="12" t="n"/>
      <c r="I153" s="13" t="n"/>
      <c r="J153" s="13" t="n"/>
      <c r="K153" s="13" t="n"/>
      <c r="L153" s="13" t="n"/>
      <c r="M153" s="13" t="n"/>
    </row>
    <row r="154">
      <c r="A154" s="15" t="inlineStr">
        <is>
          <t>PK-M150</t>
        </is>
      </c>
      <c r="B154" s="13" t="n"/>
      <c r="C154" s="13" t="n"/>
      <c r="D154" s="13" t="n"/>
      <c r="E154" s="13" t="n"/>
      <c r="F154" s="13" t="n"/>
      <c r="G154" s="13" t="n"/>
      <c r="H154" s="12" t="n"/>
      <c r="I154" s="13" t="n"/>
      <c r="J154" s="13" t="n"/>
      <c r="K154" s="13" t="n"/>
      <c r="L154" s="13" t="n"/>
      <c r="M154" s="13" t="n"/>
    </row>
    <row r="155">
      <c r="A155" s="15" t="inlineStr">
        <is>
          <t>PK-M151</t>
        </is>
      </c>
      <c r="B155" s="13" t="n"/>
      <c r="C155" s="13" t="n"/>
      <c r="D155" s="13" t="n"/>
      <c r="E155" s="13" t="n"/>
      <c r="F155" s="13" t="n"/>
      <c r="G155" s="13" t="n"/>
      <c r="H155" s="12" t="n"/>
      <c r="I155" s="13" t="n"/>
      <c r="J155" s="13" t="n"/>
      <c r="K155" s="13" t="n"/>
      <c r="L155" s="13" t="n"/>
      <c r="M155" s="13" t="n"/>
    </row>
    <row r="156">
      <c r="A156" s="15" t="inlineStr">
        <is>
          <t>PK-M152</t>
        </is>
      </c>
      <c r="B156" s="13" t="n"/>
      <c r="C156" s="13" t="n"/>
      <c r="D156" s="13" t="n"/>
      <c r="E156" s="13" t="n"/>
      <c r="F156" s="13" t="n"/>
      <c r="G156" s="13" t="n"/>
      <c r="H156" s="12" t="n"/>
      <c r="I156" s="13" t="n"/>
      <c r="J156" s="13" t="n"/>
      <c r="K156" s="13" t="n"/>
      <c r="L156" s="13" t="n"/>
      <c r="M156" s="13" t="n"/>
    </row>
    <row r="157">
      <c r="A157" s="15" t="inlineStr">
        <is>
          <t>PK-M153</t>
        </is>
      </c>
      <c r="B157" s="13" t="n"/>
      <c r="C157" s="13" t="n"/>
      <c r="D157" s="13" t="n"/>
      <c r="E157" s="13" t="n"/>
      <c r="F157" s="13" t="n"/>
      <c r="G157" s="13" t="n"/>
      <c r="H157" s="12" t="n"/>
      <c r="I157" s="13" t="n"/>
      <c r="J157" s="13" t="n"/>
      <c r="K157" s="13" t="n"/>
      <c r="L157" s="13" t="n"/>
      <c r="M157" s="13" t="n"/>
    </row>
    <row r="158">
      <c r="A158" s="15" t="inlineStr">
        <is>
          <t>PK-M154</t>
        </is>
      </c>
      <c r="B158" s="13" t="n"/>
      <c r="C158" s="13" t="n"/>
      <c r="D158" s="13" t="n"/>
      <c r="E158" s="13" t="n"/>
      <c r="F158" s="13" t="n"/>
      <c r="G158" s="13" t="n"/>
      <c r="H158" s="12" t="n"/>
      <c r="I158" s="13" t="n"/>
      <c r="J158" s="13" t="n"/>
      <c r="K158" s="13" t="n"/>
      <c r="L158" s="13" t="n"/>
      <c r="M158" s="13" t="n"/>
    </row>
    <row r="159">
      <c r="A159" s="15" t="inlineStr">
        <is>
          <t>PK-M155</t>
        </is>
      </c>
      <c r="B159" s="13" t="n"/>
      <c r="C159" s="13" t="n"/>
      <c r="D159" s="13" t="n"/>
      <c r="E159" s="13" t="n"/>
      <c r="F159" s="13" t="n"/>
      <c r="G159" s="13" t="n"/>
      <c r="H159" s="12" t="n"/>
      <c r="I159" s="13" t="n"/>
      <c r="J159" s="13" t="n"/>
      <c r="K159" s="13" t="n"/>
      <c r="L159" s="13" t="n"/>
      <c r="M159" s="13" t="n"/>
    </row>
    <row r="160">
      <c r="A160" s="15" t="inlineStr">
        <is>
          <t>PK-M156</t>
        </is>
      </c>
      <c r="B160" s="13" t="n"/>
      <c r="C160" s="13" t="n"/>
      <c r="D160" s="13" t="n"/>
      <c r="E160" s="13" t="n"/>
      <c r="F160" s="13" t="n"/>
      <c r="G160" s="13" t="n"/>
      <c r="H160" s="12" t="n"/>
      <c r="I160" s="13" t="n"/>
      <c r="J160" s="13" t="n"/>
      <c r="K160" s="13" t="n"/>
      <c r="L160" s="13" t="n"/>
      <c r="M160" s="13" t="n"/>
    </row>
    <row r="161">
      <c r="A161" s="15" t="inlineStr">
        <is>
          <t>PK-M157</t>
        </is>
      </c>
      <c r="B161" s="13" t="n"/>
      <c r="C161" s="13" t="n"/>
      <c r="D161" s="13" t="n"/>
      <c r="E161" s="13" t="n"/>
      <c r="F161" s="13" t="n"/>
      <c r="G161" s="13" t="n"/>
      <c r="H161" s="12" t="n"/>
      <c r="I161" s="13" t="n"/>
      <c r="J161" s="13" t="n"/>
      <c r="K161" s="13" t="n"/>
      <c r="L161" s="13" t="n"/>
      <c r="M161" s="13" t="n"/>
    </row>
    <row r="162">
      <c r="A162" s="15" t="inlineStr">
        <is>
          <t>PK-M158</t>
        </is>
      </c>
      <c r="B162" s="13" t="n"/>
      <c r="C162" s="13" t="n"/>
      <c r="D162" s="13" t="n"/>
      <c r="E162" s="13" t="n"/>
      <c r="F162" s="13" t="n"/>
      <c r="G162" s="13" t="n"/>
      <c r="H162" s="12" t="n"/>
      <c r="I162" s="13" t="n"/>
      <c r="J162" s="13" t="n"/>
      <c r="K162" s="13" t="n"/>
      <c r="L162" s="13" t="n"/>
      <c r="M162" s="13" t="n"/>
    </row>
    <row r="163">
      <c r="A163" s="15" t="inlineStr">
        <is>
          <t>PK-M159</t>
        </is>
      </c>
      <c r="B163" s="13" t="n"/>
      <c r="C163" s="13" t="n"/>
      <c r="D163" s="13" t="n"/>
      <c r="E163" s="13" t="n"/>
      <c r="F163" s="13" t="n"/>
      <c r="G163" s="13" t="n"/>
      <c r="H163" s="12" t="n"/>
      <c r="I163" s="13" t="n"/>
      <c r="J163" s="13" t="n"/>
      <c r="K163" s="13" t="n"/>
      <c r="L163" s="13" t="n"/>
      <c r="M163" s="13" t="n"/>
    </row>
    <row r="164">
      <c r="A164" s="15" t="inlineStr">
        <is>
          <t>PK-M160</t>
        </is>
      </c>
      <c r="B164" s="13" t="n"/>
      <c r="C164" s="13" t="n"/>
      <c r="D164" s="13" t="n"/>
      <c r="E164" s="13" t="n"/>
      <c r="F164" s="13" t="n"/>
      <c r="G164" s="13" t="n"/>
      <c r="H164" s="12" t="n"/>
      <c r="I164" s="13" t="n"/>
      <c r="J164" s="13" t="n"/>
      <c r="K164" s="13" t="n"/>
      <c r="L164" s="13" t="n"/>
      <c r="M164" s="13" t="n"/>
    </row>
    <row r="165">
      <c r="A165" s="15" t="inlineStr">
        <is>
          <t>PK-M161</t>
        </is>
      </c>
      <c r="B165" s="13" t="n"/>
      <c r="C165" s="13" t="n"/>
      <c r="D165" s="13" t="n"/>
      <c r="E165" s="13" t="n"/>
      <c r="F165" s="13" t="n"/>
      <c r="G165" s="13" t="n"/>
      <c r="H165" s="12" t="n"/>
      <c r="I165" s="13" t="n"/>
      <c r="J165" s="13" t="n"/>
      <c r="K165" s="13" t="n"/>
      <c r="L165" s="13" t="n"/>
      <c r="M165" s="13" t="n"/>
    </row>
    <row r="166">
      <c r="A166" s="15" t="inlineStr">
        <is>
          <t>PK-M162</t>
        </is>
      </c>
      <c r="B166" s="13" t="n"/>
      <c r="C166" s="13" t="n"/>
      <c r="D166" s="13" t="n"/>
      <c r="E166" s="13" t="n"/>
      <c r="F166" s="13" t="n"/>
      <c r="G166" s="13" t="n"/>
      <c r="H166" s="12" t="n"/>
      <c r="I166" s="13" t="n"/>
      <c r="J166" s="13" t="n"/>
      <c r="K166" s="13" t="n"/>
      <c r="L166" s="13" t="n"/>
      <c r="M166" s="13" t="n"/>
    </row>
    <row r="167">
      <c r="A167" s="15" t="inlineStr">
        <is>
          <t>PK-M163</t>
        </is>
      </c>
      <c r="B167" s="13" t="n"/>
      <c r="C167" s="13" t="n"/>
      <c r="D167" s="13" t="n"/>
      <c r="E167" s="13" t="n"/>
      <c r="F167" s="13" t="n"/>
      <c r="G167" s="13" t="n"/>
      <c r="H167" s="12" t="n"/>
      <c r="I167" s="13" t="n"/>
      <c r="J167" s="13" t="n"/>
      <c r="K167" s="13" t="n"/>
      <c r="L167" s="13" t="n"/>
      <c r="M167" s="13" t="n"/>
    </row>
    <row r="168">
      <c r="A168" s="15" t="inlineStr">
        <is>
          <t>PK-M164</t>
        </is>
      </c>
      <c r="B168" s="13" t="n"/>
      <c r="C168" s="13" t="n"/>
      <c r="D168" s="13" t="n"/>
      <c r="E168" s="13" t="n"/>
      <c r="F168" s="13" t="n"/>
      <c r="G168" s="13" t="n"/>
      <c r="H168" s="12" t="n"/>
      <c r="I168" s="13" t="n"/>
      <c r="J168" s="13" t="n"/>
      <c r="K168" s="13" t="n"/>
      <c r="L168" s="13" t="n"/>
      <c r="M168" s="13" t="n"/>
    </row>
    <row r="169">
      <c r="A169" s="15" t="inlineStr">
        <is>
          <t>PK-M165</t>
        </is>
      </c>
      <c r="B169" s="13" t="n"/>
      <c r="C169" s="13" t="n"/>
      <c r="D169" s="13" t="n"/>
      <c r="E169" s="13" t="n"/>
      <c r="F169" s="13" t="n"/>
      <c r="G169" s="13" t="n"/>
      <c r="H169" s="12" t="n"/>
      <c r="I169" s="13" t="n"/>
      <c r="J169" s="13" t="n"/>
      <c r="K169" s="13" t="n"/>
      <c r="L169" s="13" t="n"/>
      <c r="M169" s="13" t="n"/>
    </row>
    <row r="170">
      <c r="A170" s="15" t="inlineStr">
        <is>
          <t>PK-M166</t>
        </is>
      </c>
      <c r="B170" s="13" t="n"/>
      <c r="C170" s="13" t="n"/>
      <c r="D170" s="13" t="n"/>
      <c r="E170" s="13" t="n"/>
      <c r="F170" s="13" t="n"/>
      <c r="G170" s="13" t="n"/>
      <c r="H170" s="12" t="n"/>
      <c r="I170" s="13" t="n"/>
      <c r="J170" s="13" t="n"/>
      <c r="K170" s="13" t="n"/>
      <c r="L170" s="13" t="n"/>
      <c r="M170" s="13" t="n"/>
    </row>
    <row r="171">
      <c r="A171" s="15" t="inlineStr">
        <is>
          <t>PK-M167</t>
        </is>
      </c>
      <c r="B171" s="13" t="n"/>
      <c r="C171" s="13" t="n"/>
      <c r="D171" s="13" t="n"/>
      <c r="E171" s="13" t="n"/>
      <c r="F171" s="13" t="n"/>
      <c r="G171" s="13" t="n"/>
      <c r="H171" s="12" t="n"/>
      <c r="I171" s="13" t="n"/>
      <c r="J171" s="13" t="n"/>
      <c r="K171" s="13" t="n"/>
      <c r="L171" s="13" t="n"/>
      <c r="M171" s="13" t="n"/>
    </row>
    <row r="172">
      <c r="A172" s="15" t="inlineStr">
        <is>
          <t>PK-M168</t>
        </is>
      </c>
      <c r="B172" s="13" t="n"/>
      <c r="C172" s="13" t="n"/>
      <c r="D172" s="13" t="n"/>
      <c r="E172" s="13" t="n"/>
      <c r="F172" s="13" t="n"/>
      <c r="G172" s="13" t="n"/>
      <c r="H172" s="12" t="n"/>
      <c r="I172" s="13" t="n"/>
      <c r="J172" s="13" t="n"/>
      <c r="K172" s="13" t="n"/>
      <c r="L172" s="13" t="n"/>
      <c r="M172" s="13" t="n"/>
    </row>
    <row r="173">
      <c r="A173" s="15" t="inlineStr">
        <is>
          <t>PK-M169</t>
        </is>
      </c>
      <c r="B173" s="13" t="n"/>
      <c r="C173" s="13" t="n"/>
      <c r="D173" s="13" t="n"/>
      <c r="E173" s="13" t="n"/>
      <c r="F173" s="13" t="n"/>
      <c r="G173" s="13" t="n"/>
      <c r="H173" s="12" t="n"/>
      <c r="I173" s="13" t="n"/>
      <c r="J173" s="13" t="n"/>
      <c r="K173" s="13" t="n"/>
      <c r="L173" s="13" t="n"/>
      <c r="M173" s="13" t="n"/>
    </row>
    <row r="174">
      <c r="A174" s="15" t="inlineStr">
        <is>
          <t>PK-M170</t>
        </is>
      </c>
      <c r="B174" s="13" t="n"/>
      <c r="C174" s="13" t="n"/>
      <c r="D174" s="13" t="n"/>
      <c r="E174" s="13" t="n"/>
      <c r="F174" s="13" t="n"/>
      <c r="G174" s="13" t="n"/>
      <c r="H174" s="12" t="n"/>
      <c r="I174" s="13" t="n"/>
      <c r="J174" s="13" t="n"/>
      <c r="K174" s="13" t="n"/>
      <c r="L174" s="13" t="n"/>
      <c r="M174" s="13" t="n"/>
    </row>
    <row r="175">
      <c r="A175" s="15" t="inlineStr">
        <is>
          <t>PK-M171</t>
        </is>
      </c>
      <c r="B175" s="13" t="n"/>
      <c r="C175" s="13" t="n"/>
      <c r="D175" s="13" t="n"/>
      <c r="E175" s="13" t="n"/>
      <c r="F175" s="13" t="n"/>
      <c r="G175" s="13" t="n"/>
      <c r="H175" s="12" t="n"/>
      <c r="I175" s="13" t="n"/>
      <c r="J175" s="13" t="n"/>
      <c r="K175" s="13" t="n"/>
      <c r="L175" s="13" t="n"/>
      <c r="M175" s="13" t="n"/>
    </row>
    <row r="176">
      <c r="A176" s="15" t="inlineStr">
        <is>
          <t>PK-M172</t>
        </is>
      </c>
      <c r="B176" s="13" t="n"/>
      <c r="C176" s="13" t="n"/>
      <c r="D176" s="13" t="n"/>
      <c r="E176" s="13" t="n"/>
      <c r="F176" s="13" t="n"/>
      <c r="G176" s="13" t="n"/>
      <c r="H176" s="12" t="n"/>
      <c r="I176" s="13" t="n"/>
      <c r="J176" s="13" t="n"/>
      <c r="K176" s="13" t="n"/>
      <c r="L176" s="13" t="n"/>
      <c r="M176" s="13" t="n"/>
    </row>
    <row r="177">
      <c r="A177" s="15" t="inlineStr">
        <is>
          <t>PK-M173</t>
        </is>
      </c>
      <c r="B177" s="13" t="n"/>
      <c r="C177" s="13" t="n"/>
      <c r="D177" s="13" t="n"/>
      <c r="E177" s="13" t="n"/>
      <c r="F177" s="13" t="n"/>
      <c r="G177" s="13" t="n"/>
      <c r="H177" s="12" t="n"/>
      <c r="I177" s="13" t="n"/>
      <c r="J177" s="13" t="n"/>
      <c r="K177" s="13" t="n"/>
      <c r="L177" s="13" t="n"/>
      <c r="M177" s="13" t="n"/>
    </row>
    <row r="178">
      <c r="A178" s="15" t="inlineStr">
        <is>
          <t>PK-M174</t>
        </is>
      </c>
      <c r="B178" s="13" t="n"/>
      <c r="C178" s="13" t="n"/>
      <c r="D178" s="13" t="n"/>
      <c r="E178" s="13" t="n"/>
      <c r="F178" s="13" t="n"/>
      <c r="G178" s="13" t="n"/>
      <c r="H178" s="12" t="n"/>
      <c r="I178" s="13" t="n"/>
      <c r="J178" s="13" t="n"/>
      <c r="K178" s="13" t="n"/>
      <c r="L178" s="13" t="n"/>
      <c r="M178" s="13" t="n"/>
    </row>
    <row r="179">
      <c r="A179" s="15" t="inlineStr">
        <is>
          <t>PK-M175</t>
        </is>
      </c>
      <c r="B179" s="13" t="n"/>
      <c r="C179" s="13" t="n"/>
      <c r="D179" s="13" t="n"/>
      <c r="E179" s="13" t="n"/>
      <c r="F179" s="13" t="n"/>
      <c r="G179" s="13" t="n"/>
      <c r="H179" s="12" t="n"/>
      <c r="I179" s="13" t="n"/>
      <c r="J179" s="13" t="n"/>
      <c r="K179" s="13" t="n"/>
      <c r="L179" s="13" t="n"/>
      <c r="M179" s="13" t="n"/>
    </row>
    <row r="180">
      <c r="A180" s="15" t="inlineStr">
        <is>
          <t>PK-M176</t>
        </is>
      </c>
      <c r="B180" s="13" t="n"/>
      <c r="C180" s="13" t="n"/>
      <c r="D180" s="13" t="n"/>
      <c r="E180" s="13" t="n"/>
      <c r="F180" s="13" t="n"/>
      <c r="G180" s="13" t="n"/>
      <c r="H180" s="12" t="n"/>
      <c r="I180" s="13" t="n"/>
      <c r="J180" s="13" t="n"/>
      <c r="K180" s="13" t="n"/>
      <c r="L180" s="13" t="n"/>
      <c r="M180" s="13" t="n"/>
    </row>
    <row r="181">
      <c r="A181" s="15" t="inlineStr">
        <is>
          <t>PK-M177</t>
        </is>
      </c>
      <c r="B181" s="13" t="n"/>
      <c r="C181" s="13" t="n"/>
      <c r="D181" s="13" t="n"/>
      <c r="E181" s="13" t="n"/>
      <c r="F181" s="13" t="n"/>
      <c r="G181" s="13" t="n"/>
      <c r="H181" s="12" t="n"/>
      <c r="I181" s="13" t="n"/>
      <c r="J181" s="13" t="n"/>
      <c r="K181" s="13" t="n"/>
      <c r="L181" s="13" t="n"/>
      <c r="M181" s="13" t="n"/>
    </row>
    <row r="182">
      <c r="A182" s="15" t="inlineStr">
        <is>
          <t>PK-M178</t>
        </is>
      </c>
      <c r="B182" s="13" t="n"/>
      <c r="C182" s="13" t="n"/>
      <c r="D182" s="13" t="n"/>
      <c r="E182" s="13" t="n"/>
      <c r="F182" s="13" t="n"/>
      <c r="G182" s="13" t="n"/>
      <c r="H182" s="12" t="n"/>
      <c r="I182" s="13" t="n"/>
      <c r="J182" s="13" t="n"/>
      <c r="K182" s="13" t="n"/>
      <c r="L182" s="13" t="n"/>
      <c r="M182" s="13" t="n"/>
    </row>
    <row r="183">
      <c r="A183" s="15" t="inlineStr">
        <is>
          <t>PK-M179</t>
        </is>
      </c>
      <c r="B183" s="13" t="n"/>
      <c r="C183" s="13" t="n"/>
      <c r="D183" s="13" t="n"/>
      <c r="E183" s="13" t="n"/>
      <c r="F183" s="13" t="n"/>
      <c r="G183" s="13" t="n"/>
      <c r="H183" s="12" t="n"/>
      <c r="I183" s="13" t="n"/>
      <c r="J183" s="13" t="n"/>
      <c r="K183" s="13" t="n"/>
      <c r="L183" s="13" t="n"/>
      <c r="M183" s="13" t="n"/>
    </row>
    <row r="184">
      <c r="A184" s="15" t="inlineStr">
        <is>
          <t>PK-M180</t>
        </is>
      </c>
      <c r="B184" s="13" t="n"/>
      <c r="C184" s="13" t="n"/>
      <c r="D184" s="13" t="n"/>
      <c r="E184" s="13" t="n"/>
      <c r="F184" s="13" t="n"/>
      <c r="G184" s="13" t="n"/>
      <c r="H184" s="12" t="n"/>
      <c r="I184" s="13" t="n"/>
      <c r="J184" s="13" t="n"/>
      <c r="K184" s="13" t="n"/>
      <c r="L184" s="13" t="n"/>
      <c r="M184" s="13" t="n"/>
    </row>
    <row r="185">
      <c r="A185" s="15" t="inlineStr">
        <is>
          <t>PK-M181</t>
        </is>
      </c>
      <c r="B185" s="13" t="n"/>
      <c r="C185" s="13" t="n"/>
      <c r="D185" s="13" t="n"/>
      <c r="E185" s="13" t="n"/>
      <c r="F185" s="13" t="n"/>
      <c r="G185" s="13" t="n"/>
      <c r="H185" s="12" t="n"/>
      <c r="I185" s="13" t="n"/>
      <c r="J185" s="13" t="n"/>
      <c r="K185" s="13" t="n"/>
      <c r="L185" s="13" t="n"/>
      <c r="M185" s="13" t="n"/>
    </row>
    <row r="186">
      <c r="A186" s="15" t="inlineStr">
        <is>
          <t>PK-M182</t>
        </is>
      </c>
      <c r="B186" s="13" t="n"/>
      <c r="C186" s="13" t="n"/>
      <c r="D186" s="13" t="n"/>
      <c r="E186" s="13" t="n"/>
      <c r="F186" s="13" t="n"/>
      <c r="G186" s="13" t="n"/>
      <c r="H186" s="12" t="n"/>
      <c r="I186" s="13" t="n"/>
      <c r="J186" s="13" t="n"/>
      <c r="K186" s="13" t="n"/>
      <c r="L186" s="13" t="n"/>
      <c r="M186" s="13" t="n"/>
    </row>
    <row r="187">
      <c r="A187" s="15" t="inlineStr">
        <is>
          <t>PK-M183</t>
        </is>
      </c>
      <c r="B187" s="13" t="n"/>
      <c r="C187" s="13" t="n"/>
      <c r="D187" s="13" t="n"/>
      <c r="E187" s="13" t="n"/>
      <c r="F187" s="13" t="n"/>
      <c r="G187" s="13" t="n"/>
      <c r="H187" s="12" t="n"/>
      <c r="I187" s="13" t="n"/>
      <c r="J187" s="13" t="n"/>
      <c r="K187" s="13" t="n"/>
      <c r="L187" s="13" t="n"/>
      <c r="M187" s="13" t="n"/>
    </row>
    <row r="188">
      <c r="A188" s="15" t="inlineStr">
        <is>
          <t>PK-M184</t>
        </is>
      </c>
      <c r="B188" s="13" t="n"/>
      <c r="C188" s="13" t="n"/>
      <c r="D188" s="13" t="n"/>
      <c r="E188" s="13" t="n"/>
      <c r="F188" s="13" t="n"/>
      <c r="G188" s="13" t="n"/>
      <c r="H188" s="12" t="n"/>
      <c r="I188" s="13" t="n"/>
      <c r="J188" s="13" t="n"/>
      <c r="K188" s="13" t="n"/>
      <c r="L188" s="13" t="n"/>
      <c r="M188" s="13" t="n"/>
    </row>
    <row r="189">
      <c r="A189" s="15" t="inlineStr">
        <is>
          <t>PK-M185</t>
        </is>
      </c>
      <c r="B189" s="13" t="n"/>
      <c r="C189" s="13" t="n"/>
      <c r="D189" s="13" t="n"/>
      <c r="E189" s="13" t="n"/>
      <c r="F189" s="13" t="n"/>
      <c r="G189" s="13" t="n"/>
      <c r="H189" s="12" t="n"/>
      <c r="I189" s="13" t="n"/>
      <c r="J189" s="13" t="n"/>
      <c r="K189" s="13" t="n"/>
      <c r="L189" s="13" t="n"/>
      <c r="M189" s="13" t="n"/>
    </row>
    <row r="190">
      <c r="A190" s="15" t="inlineStr">
        <is>
          <t>PK-M186</t>
        </is>
      </c>
      <c r="B190" s="13" t="n"/>
      <c r="C190" s="13" t="n"/>
      <c r="D190" s="13" t="n"/>
      <c r="E190" s="13" t="n"/>
      <c r="F190" s="13" t="n"/>
      <c r="G190" s="13" t="n"/>
      <c r="H190" s="12" t="n"/>
      <c r="I190" s="13" t="n"/>
      <c r="J190" s="13" t="n"/>
      <c r="K190" s="13" t="n"/>
      <c r="L190" s="13" t="n"/>
      <c r="M190" s="13" t="n"/>
    </row>
    <row r="191">
      <c r="A191" s="15" t="inlineStr">
        <is>
          <t>PK-M187</t>
        </is>
      </c>
      <c r="B191" s="13" t="n"/>
      <c r="C191" s="13" t="n"/>
      <c r="D191" s="13" t="n"/>
      <c r="E191" s="13" t="n"/>
      <c r="F191" s="13" t="n"/>
      <c r="G191" s="13" t="n"/>
      <c r="H191" s="12" t="n"/>
      <c r="I191" s="13" t="n"/>
      <c r="J191" s="13" t="n"/>
      <c r="K191" s="13" t="n"/>
      <c r="L191" s="13" t="n"/>
      <c r="M191" s="13" t="n"/>
    </row>
    <row r="192">
      <c r="A192" s="15" t="inlineStr">
        <is>
          <t>PK-M188</t>
        </is>
      </c>
      <c r="B192" s="13" t="n"/>
      <c r="C192" s="13" t="n"/>
      <c r="D192" s="13" t="n"/>
      <c r="E192" s="13" t="n"/>
      <c r="F192" s="13" t="n"/>
      <c r="G192" s="13" t="n"/>
      <c r="H192" s="12" t="n"/>
      <c r="I192" s="13" t="n"/>
      <c r="J192" s="13" t="n"/>
      <c r="K192" s="13" t="n"/>
      <c r="L192" s="13" t="n"/>
      <c r="M192" s="13" t="n"/>
    </row>
    <row r="193">
      <c r="A193" s="15" t="inlineStr">
        <is>
          <t>PK-M189</t>
        </is>
      </c>
      <c r="B193" s="13" t="n"/>
      <c r="C193" s="13" t="n"/>
      <c r="D193" s="13" t="n"/>
      <c r="E193" s="13" t="n"/>
      <c r="F193" s="13" t="n"/>
      <c r="G193" s="13" t="n"/>
      <c r="H193" s="12" t="n"/>
      <c r="I193" s="13" t="n"/>
      <c r="J193" s="13" t="n"/>
      <c r="K193" s="13" t="n"/>
      <c r="L193" s="13" t="n"/>
      <c r="M193" s="13" t="n"/>
    </row>
    <row r="194">
      <c r="A194" s="15" t="inlineStr">
        <is>
          <t>PK-M190</t>
        </is>
      </c>
      <c r="B194" s="13" t="n"/>
      <c r="C194" s="13" t="n"/>
      <c r="D194" s="13" t="n"/>
      <c r="E194" s="13" t="n"/>
      <c r="F194" s="13" t="n"/>
      <c r="G194" s="13" t="n"/>
      <c r="H194" s="12" t="n"/>
      <c r="I194" s="13" t="n"/>
      <c r="J194" s="13" t="n"/>
      <c r="K194" s="13" t="n"/>
      <c r="L194" s="13" t="n"/>
      <c r="M194" s="13" t="n"/>
    </row>
    <row r="195">
      <c r="A195" s="15" t="inlineStr">
        <is>
          <t>PK-M191</t>
        </is>
      </c>
      <c r="B195" s="13" t="n"/>
      <c r="C195" s="13" t="n"/>
      <c r="D195" s="13" t="n"/>
      <c r="E195" s="13" t="n"/>
      <c r="F195" s="13" t="n"/>
      <c r="G195" s="13" t="n"/>
      <c r="H195" s="12" t="n"/>
      <c r="I195" s="13" t="n"/>
      <c r="J195" s="13" t="n"/>
      <c r="K195" s="13" t="n"/>
      <c r="L195" s="13" t="n"/>
      <c r="M195" s="13" t="n"/>
    </row>
    <row r="196">
      <c r="A196" s="15" t="inlineStr">
        <is>
          <t>PK-M192</t>
        </is>
      </c>
      <c r="B196" s="13" t="n"/>
      <c r="C196" s="13" t="n"/>
      <c r="D196" s="13" t="n"/>
      <c r="E196" s="13" t="n"/>
      <c r="F196" s="13" t="n"/>
      <c r="G196" s="13" t="n"/>
      <c r="H196" s="12" t="n"/>
      <c r="I196" s="13" t="n"/>
      <c r="J196" s="13" t="n"/>
      <c r="K196" s="13" t="n"/>
      <c r="L196" s="13" t="n"/>
      <c r="M196" s="13" t="n"/>
    </row>
    <row r="197">
      <c r="A197" s="15" t="inlineStr">
        <is>
          <t>PK-M193</t>
        </is>
      </c>
      <c r="B197" s="13" t="n"/>
      <c r="C197" s="13" t="n"/>
      <c r="D197" s="13" t="n"/>
      <c r="E197" s="13" t="n"/>
      <c r="F197" s="13" t="n"/>
      <c r="G197" s="13" t="n"/>
      <c r="H197" s="12" t="n"/>
      <c r="I197" s="13" t="n"/>
      <c r="J197" s="13" t="n"/>
      <c r="K197" s="13" t="n"/>
      <c r="L197" s="13" t="n"/>
      <c r="M197" s="13" t="n"/>
    </row>
    <row r="198">
      <c r="A198" s="15" t="inlineStr">
        <is>
          <t>PK-M194</t>
        </is>
      </c>
      <c r="B198" s="13" t="n"/>
      <c r="C198" s="13" t="n"/>
      <c r="D198" s="13" t="n"/>
      <c r="E198" s="13" t="n"/>
      <c r="F198" s="13" t="n"/>
      <c r="G198" s="13" t="n"/>
      <c r="H198" s="12" t="n"/>
      <c r="I198" s="13" t="n"/>
      <c r="J198" s="13" t="n"/>
      <c r="K198" s="13" t="n"/>
      <c r="L198" s="13" t="n"/>
      <c r="M198" s="13" t="n"/>
    </row>
    <row r="199">
      <c r="A199" s="15" t="inlineStr">
        <is>
          <t>PK-M195</t>
        </is>
      </c>
      <c r="B199" s="13" t="n"/>
      <c r="C199" s="13" t="n"/>
      <c r="D199" s="13" t="n"/>
      <c r="E199" s="13" t="n"/>
      <c r="F199" s="13" t="n"/>
      <c r="G199" s="13" t="n"/>
      <c r="H199" s="12" t="n"/>
      <c r="I199" s="13" t="n"/>
      <c r="J199" s="13" t="n"/>
      <c r="K199" s="13" t="n"/>
      <c r="L199" s="13" t="n"/>
      <c r="M199" s="13" t="n"/>
    </row>
    <row r="200">
      <c r="A200" s="15" t="inlineStr">
        <is>
          <t>PK-M196</t>
        </is>
      </c>
      <c r="B200" s="13" t="n"/>
      <c r="C200" s="13" t="n"/>
      <c r="D200" s="13" t="n"/>
      <c r="E200" s="13" t="n"/>
      <c r="F200" s="13" t="n"/>
      <c r="G200" s="13" t="n"/>
      <c r="H200" s="12" t="n"/>
      <c r="I200" s="13" t="n"/>
      <c r="J200" s="13" t="n"/>
      <c r="K200" s="13" t="n"/>
      <c r="L200" s="13" t="n"/>
      <c r="M200" s="13" t="n"/>
    </row>
    <row r="201">
      <c r="A201" s="15" t="inlineStr">
        <is>
          <t>PK-M197</t>
        </is>
      </c>
      <c r="B201" s="13" t="n"/>
      <c r="C201" s="13" t="n"/>
      <c r="D201" s="13" t="n"/>
      <c r="E201" s="13" t="n"/>
      <c r="F201" s="13" t="n"/>
      <c r="G201" s="13" t="n"/>
      <c r="H201" s="12" t="n"/>
      <c r="I201" s="13" t="n"/>
      <c r="J201" s="13" t="n"/>
      <c r="K201" s="13" t="n"/>
      <c r="L201" s="13" t="n"/>
      <c r="M201" s="13" t="n"/>
    </row>
    <row r="202">
      <c r="A202" s="15" t="inlineStr">
        <is>
          <t>PK-M198</t>
        </is>
      </c>
      <c r="B202" s="13" t="n"/>
      <c r="C202" s="13" t="n"/>
      <c r="D202" s="13" t="n"/>
      <c r="E202" s="13" t="n"/>
      <c r="F202" s="13" t="n"/>
      <c r="G202" s="13" t="n"/>
      <c r="H202" s="12" t="n"/>
      <c r="I202" s="13" t="n"/>
      <c r="J202" s="13" t="n"/>
      <c r="K202" s="13" t="n"/>
      <c r="L202" s="13" t="n"/>
      <c r="M202" s="13" t="n"/>
    </row>
    <row r="203">
      <c r="A203" s="15" t="inlineStr">
        <is>
          <t>PK-M199</t>
        </is>
      </c>
      <c r="B203" s="13" t="n"/>
      <c r="C203" s="13" t="n"/>
      <c r="D203" s="13" t="n"/>
      <c r="E203" s="13" t="n"/>
      <c r="F203" s="13" t="n"/>
      <c r="G203" s="13" t="n"/>
      <c r="H203" s="12" t="n"/>
      <c r="I203" s="13" t="n"/>
      <c r="J203" s="13" t="n"/>
      <c r="K203" s="13" t="n"/>
      <c r="L203" s="13" t="n"/>
      <c r="M203" s="13" t="n"/>
    </row>
    <row r="204">
      <c r="A204" s="15" t="inlineStr">
        <is>
          <t>PK-M200</t>
        </is>
      </c>
      <c r="B204" s="13" t="n"/>
      <c r="C204" s="13" t="n"/>
      <c r="D204" s="13" t="n"/>
      <c r="E204" s="13" t="n"/>
      <c r="F204" s="13" t="n"/>
      <c r="G204" s="13" t="n"/>
      <c r="H204" s="12" t="n"/>
      <c r="I204" s="13" t="n"/>
      <c r="J204" s="13" t="n"/>
      <c r="K204" s="13" t="n"/>
      <c r="L204" s="13" t="n"/>
      <c r="M204" s="13" t="n"/>
    </row>
  </sheetData>
  <dataValidations count="5">
    <dataValidation sqref="C5:C204" showDropDown="0" showInputMessage="0" showErrorMessage="0" allowBlank="1" type="list">
      <formula1>"Nhà hàng,Quán cà phê,Quán nước"</formula1>
    </dataValidation>
    <dataValidation sqref="F5:F204" showDropDown="0" showInputMessage="0" showErrorMessage="0" allowBlank="1" type="list">
      <formula1>"Phường Pleiku,Phường Diên Hồng,Phường Thống Nhất,Phường Hội Phú,Phường An Phú,Xã Biển Hồ"</formula1>
    </dataValidation>
    <dataValidation sqref="G5:G204" showDropDown="0" showInputMessage="0" showErrorMessage="0" allowBlank="1" type="list">
      <formula1>"Diên Hồng,Đống Đa,Hoa Lư,Hội Phú,Hội Thương,Ia Kring,Phù Đổng,Tây Sơn,Thắng Lợi,Thống Nhất,Trà Bá,Yên Đỗ,Yên Thế,Chi Lăng"</formula1>
    </dataValidation>
    <dataValidation sqref="I5:I204" showDropDown="0" showInputMessage="0" showErrorMessage="0" allowBlank="1" type="list">
      <formula1>"Đã thu thập đủ,Chủ quán hẹn lại,Từ chối cung cấp,Đã đóng cửa,Không tìm thấy,Đã chuyển địa chỉ,Không phải quán ăn"</formula1>
    </dataValidation>
    <dataValidation sqref="J5:K204" showDropDown="0" showInputMessage="0" showErrorMessage="0" allowBlank="1" type="list">
      <formula1>"Có,Không"</formula1>
    </dataValidation>
  </dataValidation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2" customWidth="1" min="1" max="1"/>
    <col width="12" customWidth="1" min="2" max="2"/>
    <col width="10" customWidth="1" min="3" max="3"/>
    <col width="12" customWidth="1" min="4" max="4"/>
    <col width="10" customWidth="1" min="5" max="5"/>
    <col width="10" customWidth="1" min="6" max="6"/>
    <col width="18" customWidth="1" min="7" max="7"/>
    <col width="12" customWidth="1" min="8" max="8"/>
    <col width="12" customWidth="1" min="9" max="9"/>
  </cols>
  <sheetData>
    <row r="1">
      <c r="A1" s="14" t="inlineStr">
        <is>
          <t>TIẾN ĐỘ KHẢO SÁT THEO PHƯỜNG / XÃ</t>
        </is>
      </c>
    </row>
    <row r="3" ht="34" customHeight="1">
      <c r="A3" s="6" t="inlineStr">
        <is>
          <t>Phường / xã mới</t>
        </is>
      </c>
      <c r="B3" s="6" t="inlineStr">
        <is>
          <t>Trong danh sách</t>
        </is>
      </c>
      <c r="C3" s="6" t="inlineStr">
        <is>
          <t>Đã đến</t>
        </is>
      </c>
      <c r="D3" s="6" t="inlineStr">
        <is>
          <t>Đã thu thập đủ</t>
        </is>
      </c>
      <c r="E3" s="6" t="inlineStr">
        <is>
          <t>Hẹn lại</t>
        </is>
      </c>
      <c r="F3" s="6" t="inlineStr">
        <is>
          <t>Từ chối</t>
        </is>
      </c>
      <c r="G3" s="6" t="inlineStr">
        <is>
          <t>Đóng cửa / không thấy / không phải quán ăn</t>
        </is>
      </c>
      <c r="H3" s="6" t="inlineStr">
        <is>
          <t>Phát hiện thêm</t>
        </is>
      </c>
      <c r="I3" s="6" t="inlineStr">
        <is>
          <t>% hoàn thành</t>
        </is>
      </c>
    </row>
    <row r="4">
      <c r="A4" s="15" t="inlineStr">
        <is>
          <t>Phường Pleiku</t>
        </is>
      </c>
      <c r="B4" s="15">
        <f>COUNTIF('Danh sách khảo sát'!$G$5:$G$388,A4)</f>
        <v/>
      </c>
      <c r="C4" s="15">
        <f>COUNTIFS('Danh sách khảo sát'!$G$5:$G$388,A4,'Danh sách khảo sát'!$M$5:$M$388,"&lt;&gt;")</f>
        <v/>
      </c>
      <c r="D4" s="15">
        <f>COUNTIFS('Danh sách khảo sát'!$G$5:$G$388,A4,'Danh sách khảo sát'!$M$5:$M$388,"Đã thu thập đủ")</f>
        <v/>
      </c>
      <c r="E4" s="15">
        <f>COUNTIFS('Danh sách khảo sát'!$G$5:$G$388,A4,'Danh sách khảo sát'!$M$5:$M$388,"Chủ quán hẹn lại")</f>
        <v/>
      </c>
      <c r="F4" s="15">
        <f>COUNTIFS('Danh sách khảo sát'!$G$5:$G$388,A4,'Danh sách khảo sát'!$M$5:$M$388,"Từ chối cung cấp")</f>
        <v/>
      </c>
      <c r="G4" s="15">
        <f>COUNTIFS('Danh sách khảo sát'!$G$5:$G$388,A4,'Danh sách khảo sát'!$M$5:$M$388,"Đã đóng cửa")+COUNTIFS('Danh sách khảo sát'!$G$5:$G$388,A4,'Danh sách khảo sát'!$M$5:$M$388,"Không tìm thấy")+COUNTIFS('Danh sách khảo sát'!$G$5:$G$388,A4,'Danh sách khảo sát'!$M$5:$M$388,"Không phải quán ăn")+COUNTIFS('Danh sách khảo sát'!$G$5:$G$388,A4,'Danh sách khảo sát'!$M$5:$M$388,"Đã chuyển địa chỉ")</f>
        <v/>
      </c>
      <c r="H4" s="15">
        <f>COUNTIF('Quán phát hiện thêm'!$F$5:$F$204,A4)</f>
        <v/>
      </c>
      <c r="I4" s="16">
        <f>IF(B4=0,0,C4/B4)</f>
        <v/>
      </c>
    </row>
    <row r="5">
      <c r="A5" s="15" t="inlineStr">
        <is>
          <t>Phường Diên Hồng</t>
        </is>
      </c>
      <c r="B5" s="15">
        <f>COUNTIF('Danh sách khảo sát'!$G$5:$G$388,A5)</f>
        <v/>
      </c>
      <c r="C5" s="15">
        <f>COUNTIFS('Danh sách khảo sát'!$G$5:$G$388,A5,'Danh sách khảo sát'!$M$5:$M$388,"&lt;&gt;")</f>
        <v/>
      </c>
      <c r="D5" s="15">
        <f>COUNTIFS('Danh sách khảo sát'!$G$5:$G$388,A5,'Danh sách khảo sát'!$M$5:$M$388,"Đã thu thập đủ")</f>
        <v/>
      </c>
      <c r="E5" s="15">
        <f>COUNTIFS('Danh sách khảo sát'!$G$5:$G$388,A5,'Danh sách khảo sát'!$M$5:$M$388,"Chủ quán hẹn lại")</f>
        <v/>
      </c>
      <c r="F5" s="15">
        <f>COUNTIFS('Danh sách khảo sát'!$G$5:$G$388,A5,'Danh sách khảo sát'!$M$5:$M$388,"Từ chối cung cấp")</f>
        <v/>
      </c>
      <c r="G5" s="15">
        <f>COUNTIFS('Danh sách khảo sát'!$G$5:$G$388,A5,'Danh sách khảo sát'!$M$5:$M$388,"Đã đóng cửa")+COUNTIFS('Danh sách khảo sát'!$G$5:$G$388,A5,'Danh sách khảo sát'!$M$5:$M$388,"Không tìm thấy")+COUNTIFS('Danh sách khảo sát'!$G$5:$G$388,A5,'Danh sách khảo sát'!$M$5:$M$388,"Không phải quán ăn")+COUNTIFS('Danh sách khảo sát'!$G$5:$G$388,A5,'Danh sách khảo sát'!$M$5:$M$388,"Đã chuyển địa chỉ")</f>
        <v/>
      </c>
      <c r="H5" s="15">
        <f>COUNTIF('Quán phát hiện thêm'!$F$5:$F$204,A5)</f>
        <v/>
      </c>
      <c r="I5" s="16">
        <f>IF(B5=0,0,C5/B5)</f>
        <v/>
      </c>
    </row>
    <row r="6">
      <c r="A6" s="15" t="inlineStr">
        <is>
          <t>Phường Thống Nhất</t>
        </is>
      </c>
      <c r="B6" s="15">
        <f>COUNTIF('Danh sách khảo sát'!$G$5:$G$388,A6)</f>
        <v/>
      </c>
      <c r="C6" s="15">
        <f>COUNTIFS('Danh sách khảo sát'!$G$5:$G$388,A6,'Danh sách khảo sát'!$M$5:$M$388,"&lt;&gt;")</f>
        <v/>
      </c>
      <c r="D6" s="15">
        <f>COUNTIFS('Danh sách khảo sát'!$G$5:$G$388,A6,'Danh sách khảo sát'!$M$5:$M$388,"Đã thu thập đủ")</f>
        <v/>
      </c>
      <c r="E6" s="15">
        <f>COUNTIFS('Danh sách khảo sát'!$G$5:$G$388,A6,'Danh sách khảo sát'!$M$5:$M$388,"Chủ quán hẹn lại")</f>
        <v/>
      </c>
      <c r="F6" s="15">
        <f>COUNTIFS('Danh sách khảo sát'!$G$5:$G$388,A6,'Danh sách khảo sát'!$M$5:$M$388,"Từ chối cung cấp")</f>
        <v/>
      </c>
      <c r="G6" s="15">
        <f>COUNTIFS('Danh sách khảo sát'!$G$5:$G$388,A6,'Danh sách khảo sát'!$M$5:$M$388,"Đã đóng cửa")+COUNTIFS('Danh sách khảo sát'!$G$5:$G$388,A6,'Danh sách khảo sát'!$M$5:$M$388,"Không tìm thấy")+COUNTIFS('Danh sách khảo sát'!$G$5:$G$388,A6,'Danh sách khảo sát'!$M$5:$M$388,"Không phải quán ăn")+COUNTIFS('Danh sách khảo sát'!$G$5:$G$388,A6,'Danh sách khảo sát'!$M$5:$M$388,"Đã chuyển địa chỉ")</f>
        <v/>
      </c>
      <c r="H6" s="15">
        <f>COUNTIF('Quán phát hiện thêm'!$F$5:$F$204,A6)</f>
        <v/>
      </c>
      <c r="I6" s="16">
        <f>IF(B6=0,0,C6/B6)</f>
        <v/>
      </c>
    </row>
    <row r="7">
      <c r="A7" s="15" t="inlineStr">
        <is>
          <t>Phường Hội Phú</t>
        </is>
      </c>
      <c r="B7" s="15">
        <f>COUNTIF('Danh sách khảo sát'!$G$5:$G$388,A7)</f>
        <v/>
      </c>
      <c r="C7" s="15">
        <f>COUNTIFS('Danh sách khảo sát'!$G$5:$G$388,A7,'Danh sách khảo sát'!$M$5:$M$388,"&lt;&gt;")</f>
        <v/>
      </c>
      <c r="D7" s="15">
        <f>COUNTIFS('Danh sách khảo sát'!$G$5:$G$388,A7,'Danh sách khảo sát'!$M$5:$M$388,"Đã thu thập đủ")</f>
        <v/>
      </c>
      <c r="E7" s="15">
        <f>COUNTIFS('Danh sách khảo sát'!$G$5:$G$388,A7,'Danh sách khảo sát'!$M$5:$M$388,"Chủ quán hẹn lại")</f>
        <v/>
      </c>
      <c r="F7" s="15">
        <f>COUNTIFS('Danh sách khảo sát'!$G$5:$G$388,A7,'Danh sách khảo sát'!$M$5:$M$388,"Từ chối cung cấp")</f>
        <v/>
      </c>
      <c r="G7" s="15">
        <f>COUNTIFS('Danh sách khảo sát'!$G$5:$G$388,A7,'Danh sách khảo sát'!$M$5:$M$388,"Đã đóng cửa")+COUNTIFS('Danh sách khảo sát'!$G$5:$G$388,A7,'Danh sách khảo sát'!$M$5:$M$388,"Không tìm thấy")+COUNTIFS('Danh sách khảo sát'!$G$5:$G$388,A7,'Danh sách khảo sát'!$M$5:$M$388,"Không phải quán ăn")+COUNTIFS('Danh sách khảo sát'!$G$5:$G$388,A7,'Danh sách khảo sát'!$M$5:$M$388,"Đã chuyển địa chỉ")</f>
        <v/>
      </c>
      <c r="H7" s="15">
        <f>COUNTIF('Quán phát hiện thêm'!$F$5:$F$204,A7)</f>
        <v/>
      </c>
      <c r="I7" s="16">
        <f>IF(B7=0,0,C7/B7)</f>
        <v/>
      </c>
    </row>
    <row r="8">
      <c r="A8" s="15" t="inlineStr">
        <is>
          <t>Phường An Phú</t>
        </is>
      </c>
      <c r="B8" s="15">
        <f>COUNTIF('Danh sách khảo sát'!$G$5:$G$388,A8)</f>
        <v/>
      </c>
      <c r="C8" s="15">
        <f>COUNTIFS('Danh sách khảo sát'!$G$5:$G$388,A8,'Danh sách khảo sát'!$M$5:$M$388,"&lt;&gt;")</f>
        <v/>
      </c>
      <c r="D8" s="15">
        <f>COUNTIFS('Danh sách khảo sát'!$G$5:$G$388,A8,'Danh sách khảo sát'!$M$5:$M$388,"Đã thu thập đủ")</f>
        <v/>
      </c>
      <c r="E8" s="15">
        <f>COUNTIFS('Danh sách khảo sát'!$G$5:$G$388,A8,'Danh sách khảo sát'!$M$5:$M$388,"Chủ quán hẹn lại")</f>
        <v/>
      </c>
      <c r="F8" s="15">
        <f>COUNTIFS('Danh sách khảo sát'!$G$5:$G$388,A8,'Danh sách khảo sát'!$M$5:$M$388,"Từ chối cung cấp")</f>
        <v/>
      </c>
      <c r="G8" s="15">
        <f>COUNTIFS('Danh sách khảo sát'!$G$5:$G$388,A8,'Danh sách khảo sát'!$M$5:$M$388,"Đã đóng cửa")+COUNTIFS('Danh sách khảo sát'!$G$5:$G$388,A8,'Danh sách khảo sát'!$M$5:$M$388,"Không tìm thấy")+COUNTIFS('Danh sách khảo sát'!$G$5:$G$388,A8,'Danh sách khảo sát'!$M$5:$M$388,"Không phải quán ăn")+COUNTIFS('Danh sách khảo sát'!$G$5:$G$388,A8,'Danh sách khảo sát'!$M$5:$M$388,"Đã chuyển địa chỉ")</f>
        <v/>
      </c>
      <c r="H8" s="15">
        <f>COUNTIF('Quán phát hiện thêm'!$F$5:$F$204,A8)</f>
        <v/>
      </c>
      <c r="I8" s="16">
        <f>IF(B8=0,0,C8/B8)</f>
        <v/>
      </c>
    </row>
    <row r="9">
      <c r="A9" s="15" t="inlineStr">
        <is>
          <t>Xã Biển Hồ</t>
        </is>
      </c>
      <c r="B9" s="15">
        <f>COUNTIF('Danh sách khảo sát'!$G$5:$G$388,A9)</f>
        <v/>
      </c>
      <c r="C9" s="15">
        <f>COUNTIFS('Danh sách khảo sát'!$G$5:$G$388,A9,'Danh sách khảo sát'!$M$5:$M$388,"&lt;&gt;")</f>
        <v/>
      </c>
      <c r="D9" s="15">
        <f>COUNTIFS('Danh sách khảo sát'!$G$5:$G$388,A9,'Danh sách khảo sát'!$M$5:$M$388,"Đã thu thập đủ")</f>
        <v/>
      </c>
      <c r="E9" s="15">
        <f>COUNTIFS('Danh sách khảo sát'!$G$5:$G$388,A9,'Danh sách khảo sát'!$M$5:$M$388,"Chủ quán hẹn lại")</f>
        <v/>
      </c>
      <c r="F9" s="15">
        <f>COUNTIFS('Danh sách khảo sát'!$G$5:$G$388,A9,'Danh sách khảo sát'!$M$5:$M$388,"Từ chối cung cấp")</f>
        <v/>
      </c>
      <c r="G9" s="15">
        <f>COUNTIFS('Danh sách khảo sát'!$G$5:$G$388,A9,'Danh sách khảo sát'!$M$5:$M$388,"Đã đóng cửa")+COUNTIFS('Danh sách khảo sát'!$G$5:$G$388,A9,'Danh sách khảo sát'!$M$5:$M$388,"Không tìm thấy")+COUNTIFS('Danh sách khảo sát'!$G$5:$G$388,A9,'Danh sách khảo sát'!$M$5:$M$388,"Không phải quán ăn")+COUNTIFS('Danh sách khảo sát'!$G$5:$G$388,A9,'Danh sách khảo sát'!$M$5:$M$388,"Đã chuyển địa chỉ")</f>
        <v/>
      </c>
      <c r="H9" s="15">
        <f>COUNTIF('Quán phát hiện thêm'!$F$5:$F$204,A9)</f>
        <v/>
      </c>
      <c r="I9" s="16">
        <f>IF(B9=0,0,C9/B9)</f>
        <v/>
      </c>
    </row>
    <row r="10">
      <c r="A10" s="17" t="inlineStr">
        <is>
          <t>Tổng</t>
        </is>
      </c>
      <c r="B10" s="17">
        <f>SUM(B4:B9)</f>
        <v/>
      </c>
      <c r="C10" s="17">
        <f>SUM(C4:C9)</f>
        <v/>
      </c>
      <c r="D10" s="17">
        <f>SUM(D4:D9)</f>
        <v/>
      </c>
      <c r="E10" s="17">
        <f>SUM(E4:E9)</f>
        <v/>
      </c>
      <c r="F10" s="17">
        <f>SUM(F4:F9)</f>
        <v/>
      </c>
      <c r="G10" s="17">
        <f>SUM(G4:G9)</f>
        <v/>
      </c>
      <c r="H10" s="17">
        <f>SUM(H4:H9)</f>
        <v/>
      </c>
      <c r="I10" s="18">
        <f>IF(B10=0,0,C10/B10)</f>
        <v/>
      </c>
    </row>
    <row r="12">
      <c r="A12" s="5" t="inlineStr">
        <is>
          <t>Bảng tự cập nhật theo cột "Kết quả" của sheet Danh sách khảo sát và sheet Quán phát hiện thêm.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9"/>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4" customWidth="1" min="8" max="8"/>
  </cols>
  <sheetData>
    <row r="1" ht="22" customHeight="1">
      <c r="A1" s="19" t="inlineStr">
        <is>
          <t>PHIẾU CUNG CẤP THÔNG TIN QUÁN ĂN – BẢN ĐỒ SỐ GIA LAI</t>
        </is>
      </c>
    </row>
    <row r="2">
      <c r="A2" s="20" t="inlineStr">
        <is>
          <t>Mã KS: ____________     Ngày: ___ / ___ / 20___     Người khảo sát: ______________________</t>
        </is>
      </c>
    </row>
    <row r="4" ht="22" customHeight="1">
      <c r="A4" s="21" t="inlineStr">
        <is>
          <t>A. THÔNG TIN QUÁN</t>
        </is>
      </c>
    </row>
    <row r="5" ht="22" customHeight="1">
      <c r="A5" s="22" t="inlineStr">
        <is>
          <t>Tên trên biển hiệu</t>
        </is>
      </c>
      <c r="B5" s="23" t="n"/>
      <c r="C5" s="23" t="n"/>
      <c r="D5" s="23" t="n"/>
      <c r="E5" s="23" t="n"/>
      <c r="F5" s="23" t="n"/>
      <c r="G5" s="23" t="n"/>
      <c r="H5" s="23" t="n"/>
    </row>
    <row r="6" ht="22" customHeight="1">
      <c r="A6" s="22" t="inlineStr">
        <is>
          <t>Danh mục</t>
        </is>
      </c>
      <c r="B6" s="23" t="n"/>
      <c r="C6" s="24" t="inlineStr">
        <is>
          <t>☐ Nhà hàng     ☐ Quán cà phê     ☐ Quán nước</t>
        </is>
      </c>
      <c r="D6" s="23" t="n"/>
      <c r="E6" s="23" t="n"/>
      <c r="F6" s="23" t="n"/>
      <c r="G6" s="23" t="n"/>
      <c r="H6" s="23" t="n"/>
    </row>
    <row r="7" ht="32" customHeight="1">
      <c r="A7" s="22" t="inlineStr">
        <is>
          <t>Loại món chính / món đặc trưng</t>
        </is>
      </c>
      <c r="B7" s="23" t="n"/>
      <c r="C7" s="23" t="n"/>
      <c r="D7" s="23" t="n"/>
      <c r="E7" s="23" t="n"/>
      <c r="F7" s="23" t="n"/>
      <c r="G7" s="23" t="n"/>
      <c r="H7" s="23" t="n"/>
    </row>
    <row r="8" ht="22" customHeight="1">
      <c r="A8" s="22" t="inlineStr">
        <is>
          <t>Số nhà – Tên đường</t>
        </is>
      </c>
      <c r="B8" s="23" t="n"/>
      <c r="C8" s="23" t="n"/>
      <c r="D8" s="23" t="n"/>
      <c r="E8" s="23" t="n"/>
      <c r="F8" s="23" t="n"/>
      <c r="G8" s="23" t="n"/>
      <c r="H8" s="23" t="n"/>
    </row>
    <row r="9" ht="22" customHeight="1">
      <c r="A9" s="22" t="inlineStr">
        <is>
          <t>Phường / xã (mới)</t>
        </is>
      </c>
      <c r="B9" s="23" t="n"/>
      <c r="C9" s="23" t="n"/>
      <c r="D9" s="23" t="n"/>
      <c r="E9" s="23" t="n"/>
      <c r="F9" s="23" t="n"/>
      <c r="G9" s="23" t="n"/>
      <c r="H9" s="23" t="n"/>
    </row>
    <row r="10" ht="30" customHeight="1">
      <c r="A10" s="22" t="inlineStr">
        <is>
          <t>Vĩ độ – Kinh độ (đo GPS tại cửa)</t>
        </is>
      </c>
      <c r="B10" s="23" t="n"/>
      <c r="C10" s="23" t="n"/>
      <c r="D10" s="23" t="n"/>
      <c r="E10" s="23" t="n"/>
      <c r="F10" s="23" t="n"/>
      <c r="G10" s="23" t="n"/>
      <c r="H10" s="23" t="n"/>
    </row>
    <row r="11" ht="22" customHeight="1">
      <c r="A11" s="22" t="inlineStr">
        <is>
          <t>Số điện thoại quán</t>
        </is>
      </c>
      <c r="B11" s="23" t="n"/>
      <c r="C11" s="23" t="n"/>
      <c r="D11" s="23" t="n"/>
      <c r="E11" s="23" t="n"/>
      <c r="F11" s="23" t="n"/>
      <c r="G11" s="23" t="n"/>
      <c r="H11" s="23" t="n"/>
    </row>
    <row r="12" ht="22" customHeight="1">
      <c r="A12" s="22" t="inlineStr">
        <is>
          <t>Website / Facebook</t>
        </is>
      </c>
      <c r="B12" s="23" t="n"/>
      <c r="C12" s="23" t="n"/>
      <c r="D12" s="23" t="n"/>
      <c r="E12" s="23" t="n"/>
      <c r="F12" s="23" t="n"/>
      <c r="G12" s="23" t="n"/>
      <c r="H12" s="23" t="n"/>
    </row>
    <row r="14" ht="22" customHeight="1">
      <c r="A14" s="21" t="inlineStr">
        <is>
          <t>B. GIỜ MỞ CỬA (ghi HH:MM-HH:MM hoặc "Nghỉ")</t>
        </is>
      </c>
    </row>
    <row r="15">
      <c r="A15" s="25" t="inlineStr"/>
      <c r="B15" s="25" t="inlineStr">
        <is>
          <t>Thứ 2</t>
        </is>
      </c>
      <c r="C15" s="25" t="inlineStr">
        <is>
          <t>Thứ 3</t>
        </is>
      </c>
      <c r="D15" s="25" t="inlineStr">
        <is>
          <t>Thứ 4</t>
        </is>
      </c>
      <c r="E15" s="25" t="inlineStr">
        <is>
          <t>Thứ 5</t>
        </is>
      </c>
      <c r="F15" s="25" t="inlineStr">
        <is>
          <t>Thứ 6</t>
        </is>
      </c>
      <c r="G15" s="25" t="inlineStr">
        <is>
          <t>Thứ 7</t>
        </is>
      </c>
      <c r="H15" s="25" t="inlineStr">
        <is>
          <t>Chủ nhật</t>
        </is>
      </c>
    </row>
    <row r="16" ht="26" customHeight="1">
      <c r="A16" s="17" t="inlineStr">
        <is>
          <t>Giờ mở – đóng</t>
        </is>
      </c>
      <c r="B16" s="23" t="n"/>
      <c r="C16" s="23" t="n"/>
      <c r="D16" s="23" t="n"/>
      <c r="E16" s="23" t="n"/>
      <c r="F16" s="23" t="n"/>
      <c r="G16" s="23" t="n"/>
      <c r="H16" s="23" t="n"/>
    </row>
    <row r="18" ht="22" customHeight="1">
      <c r="A18" s="21" t="inlineStr">
        <is>
          <t>C. GIÁ &amp; TIỆN ÍCH</t>
        </is>
      </c>
    </row>
    <row r="19" ht="30" customHeight="1">
      <c r="A19" s="22" t="inlineStr">
        <is>
          <t>Giá mỗi người (đồng): từ … đến …</t>
        </is>
      </c>
      <c r="B19" s="23" t="n"/>
      <c r="C19" s="23" t="n"/>
      <c r="D19" s="23" t="n"/>
      <c r="E19" s="23" t="n"/>
      <c r="F19" s="23" t="n"/>
      <c r="G19" s="23" t="n"/>
      <c r="H19" s="23" t="n"/>
    </row>
    <row r="20" ht="22" customHeight="1">
      <c r="A20" s="22" t="inlineStr">
        <is>
          <t>Tiện ích</t>
        </is>
      </c>
      <c r="B20" s="23" t="n"/>
      <c r="C20" s="24" t="inlineStr">
        <is>
          <t>☐ Wifi     ☐ Máy lạnh     ☐ Đỗ ô tô     ☐ Thẻ / QR     ☐ Giao hàng     ☐ Có món chay</t>
        </is>
      </c>
      <c r="D20" s="23" t="n"/>
      <c r="E20" s="23" t="n"/>
      <c r="F20" s="23" t="n"/>
      <c r="G20" s="23" t="n"/>
      <c r="H20" s="23" t="n"/>
    </row>
    <row r="21" ht="22" customHeight="1">
      <c r="A21" s="22" t="inlineStr">
        <is>
          <t>Số chỗ ngồi (ước lượng)</t>
        </is>
      </c>
      <c r="B21" s="23" t="n"/>
      <c r="C21" s="23" t="n"/>
      <c r="D21" s="23" t="n"/>
      <c r="E21" s="23" t="n"/>
      <c r="F21" s="23" t="n"/>
      <c r="G21" s="23" t="n"/>
      <c r="H21" s="23" t="n"/>
    </row>
    <row r="22" ht="22" customHeight="1">
      <c r="A22" s="22" t="inlineStr">
        <is>
          <t>Giấy chứng nhận ATTP</t>
        </is>
      </c>
      <c r="B22" s="23" t="n"/>
      <c r="C22" s="24" t="inlineStr">
        <is>
          <t>☐ Có     ☐ Không     ☐ Không rõ</t>
        </is>
      </c>
      <c r="D22" s="23" t="n"/>
      <c r="E22" s="23" t="n"/>
      <c r="F22" s="23" t="n"/>
      <c r="G22" s="23" t="n"/>
      <c r="H22" s="23" t="n"/>
    </row>
    <row r="23" ht="44" customHeight="1">
      <c r="A23" s="22" t="inlineStr">
        <is>
          <t>Giới thiệu ngắn về quán (≤ 160 ký tự)</t>
        </is>
      </c>
      <c r="B23" s="23" t="n"/>
      <c r="C23" s="23" t="n"/>
      <c r="D23" s="23" t="n"/>
      <c r="E23" s="23" t="n"/>
      <c r="F23" s="23" t="n"/>
      <c r="G23" s="23" t="n"/>
      <c r="H23" s="23" t="n"/>
    </row>
    <row r="24" ht="22" customHeight="1">
      <c r="A24" s="22" t="inlineStr">
        <is>
          <t>Ảnh</t>
        </is>
      </c>
      <c r="B24" s="23" t="n"/>
      <c r="C24" s="24" t="inlineStr">
        <is>
          <t>☐ Người khảo sát chụp     ☐ Chủ quán gửi ảnh     ☐ Không có ảnh</t>
        </is>
      </c>
      <c r="D24" s="23" t="n"/>
      <c r="E24" s="23" t="n"/>
      <c r="F24" s="23" t="n"/>
      <c r="G24" s="23" t="n"/>
      <c r="H24" s="23" t="n"/>
    </row>
    <row r="26" ht="22" customHeight="1">
      <c r="A26" s="21" t="inlineStr">
        <is>
          <t>D. ĐỒNG Ý CÔNG KHAI THÔNG TIN</t>
        </is>
      </c>
    </row>
    <row r="27">
      <c r="A27" s="9" t="inlineStr">
        <is>
          <t>Tôi đồng ý để thông tin ở mục A, B, C (kể cả số điện thoại và ảnh nếu có) được hiển thị miễn phí trên Bản đồ số Gia Lai (đề tài sinh viên Đại học Duy Tân). Tôi có thể yêu cầu sửa hoặc gỡ thông tin bất kỳ lúc nào qua người khảo sát.</t>
        </is>
      </c>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ht="22" customHeight="1">
      <c r="A30" s="22" t="inlineStr">
        <is>
          <t>Chủ quán</t>
        </is>
      </c>
      <c r="B30" s="23" t="n"/>
      <c r="C30" s="24" t="inlineStr">
        <is>
          <t>☐ Đồng ý     ☐ Không đồng ý công khai SĐT/ảnh</t>
        </is>
      </c>
      <c r="D30" s="23" t="n"/>
      <c r="E30" s="23" t="n"/>
      <c r="F30" s="23" t="n"/>
      <c r="G30" s="23" t="n"/>
      <c r="H30" s="23" t="n"/>
    </row>
    <row r="31">
      <c r="A31" s="17" t="inlineStr">
        <is>
          <t>Họ tên chủ quán / người đại diện</t>
        </is>
      </c>
      <c r="B31" s="23" t="n"/>
      <c r="C31" s="23" t="n"/>
      <c r="D31" s="23" t="n"/>
      <c r="E31" s="17" t="inlineStr">
        <is>
          <t>Chữ ký</t>
        </is>
      </c>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6">
      <c r="A36" s="26" t="inlineStr">
        <is>
          <t>Ghi chú của người khảo sát:</t>
        </is>
      </c>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sheetData>
  <mergeCells count="42">
    <mergeCell ref="C10:H10"/>
    <mergeCell ref="A24:B24"/>
    <mergeCell ref="A30:B30"/>
    <mergeCell ref="C22:H22"/>
    <mergeCell ref="A11:B11"/>
    <mergeCell ref="C9:H9"/>
    <mergeCell ref="A1:H1"/>
    <mergeCell ref="C12:H12"/>
    <mergeCell ref="E32:H34"/>
    <mergeCell ref="A32:D34"/>
    <mergeCell ref="A6:B6"/>
    <mergeCell ref="C21:H21"/>
    <mergeCell ref="C11:H11"/>
    <mergeCell ref="A31:D31"/>
    <mergeCell ref="A7:B7"/>
    <mergeCell ref="C23:H23"/>
    <mergeCell ref="C8:H8"/>
    <mergeCell ref="C7:H7"/>
    <mergeCell ref="A12:B12"/>
    <mergeCell ref="A18:H18"/>
    <mergeCell ref="A21:B21"/>
    <mergeCell ref="C19:H19"/>
    <mergeCell ref="A26:H26"/>
    <mergeCell ref="A2:H2"/>
    <mergeCell ref="A5:B5"/>
    <mergeCell ref="A37:H39"/>
    <mergeCell ref="A14:H14"/>
    <mergeCell ref="A23:B23"/>
    <mergeCell ref="A27:H29"/>
    <mergeCell ref="A8:B8"/>
    <mergeCell ref="C30:H30"/>
    <mergeCell ref="A22:B22"/>
    <mergeCell ref="A4:H4"/>
    <mergeCell ref="C6:H6"/>
    <mergeCell ref="A20:B20"/>
    <mergeCell ref="C24:H24"/>
    <mergeCell ref="E31:H31"/>
    <mergeCell ref="C5:H5"/>
    <mergeCell ref="A19:B19"/>
    <mergeCell ref="A10:B10"/>
    <mergeCell ref="C20:H20"/>
    <mergeCell ref="A9:B9"/>
  </mergeCells>
  <pageMargins left="0.4" right="0.4" top="0.5" bottom="0.5" header="0.5" footer="0.5"/>
  <pageSetup orientation="portrait" paperSize="9" fitToHeight="1" fitToWidth="1"/>
  <headerFooter>
    <oddHeader/>
    <oddFooter>&amp;CTrang &amp;P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4" customWidth="1" min="1" max="1"/>
    <col width="50" customWidth="1" min="2" max="2"/>
    <col width="50" customWidth="1" min="3" max="3"/>
  </cols>
  <sheetData>
    <row r="1" ht="34" customHeight="1">
      <c r="A1" s="6" t="inlineStr">
        <is>
          <t>Tên</t>
        </is>
      </c>
      <c r="B1" s="6" t="inlineStr">
        <is>
          <t>Địa chỉ ghi trong danh sách</t>
        </is>
      </c>
      <c r="C1" s="6" t="inlineStr">
        <is>
          <t>Lý do loại</t>
        </is>
      </c>
    </row>
    <row r="2">
      <c r="A2" s="9" t="inlineStr">
        <is>
          <t>Nhà Hàng Hoa Lư 2</t>
        </is>
      </c>
      <c r="B2" s="9" t="inlineStr">
        <is>
          <t>16 Trương Văn Của, Phường Hoa Lư, TP. Pleiku</t>
        </is>
      </c>
      <c r="C2" s="9" t="inlineStr">
        <is>
          <t>Toạ độ nằm ở Phường Quy Nhơn Nam, ngoài TP Pleiku cũ</t>
        </is>
      </c>
    </row>
    <row r="3">
      <c r="A3" s="9" t="inlineStr">
        <is>
          <t>Nhà hàng Hoa Lư 1 - Quy Nhơn</t>
        </is>
      </c>
      <c r="B3" s="9" t="inlineStr">
        <is>
          <t>49 Đường Hoa Lư, Phường Hoa Lư, TP. Pleiku</t>
        </is>
      </c>
      <c r="C3" s="9" t="inlineStr">
        <is>
          <t>Toạ độ nằm ở Phường Quy Nhơn, ngoài TP Pleiku cũ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2026-10-17T02:58:56Z</dcterms:created>
  <dcterms:modified xmlns:dcterms="http://purl.org/dc/terms/" xmlns:xsi="http://www.w3.org/2001/XMLSchema-instance" xsi:type="dcterms:W3CDTF">2026-10-17T02:58:56Z</dcterms:modified>
</cp:coreProperties>
</file>