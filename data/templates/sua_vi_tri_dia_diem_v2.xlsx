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D:\DuyTanUniversity\Congvieckhac\GetData\"/>
    </mc:Choice>
  </mc:AlternateContent>
  <xr:revisionPtr revIDLastSave="0" documentId="13_ncr:1_{7767C044-BC86-4EE0-B8C3-A1E82402989D}" xr6:coauthVersionLast="47" xr6:coauthVersionMax="47" xr10:uidLastSave="{00000000-0000-0000-0000-000000000000}"/>
  <bookViews>
    <workbookView xWindow="6840" yWindow="3090" windowWidth="18000" windowHeight="9360" activeTab="1" xr2:uid="{00000000-000D-0000-FFFF-FFFF00000000}"/>
  </bookViews>
  <sheets>
    <sheet name="Hướng dẫn" sheetId="1" r:id="rId1"/>
    <sheet name="Danh sách kiểm tra" sheetId="2" r:id="rId2"/>
    <sheet name="Tổng hợp" sheetId="3" r:id="rId3"/>
  </sheets>
  <definedNames>
    <definedName name="_xlnm._FilterDatabase" localSheetId="1" hidden="1">'Danh sách kiểm tra'!$A$4:$V$530</definedName>
    <definedName name="_xlnm.Print_Titles" localSheetId="1">'Danh sách kiểm tra'!$4:$4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3" l="1"/>
  <c r="F14" i="3"/>
  <c r="E14" i="3"/>
  <c r="D14" i="3"/>
  <c r="C14" i="3"/>
  <c r="B14" i="3"/>
  <c r="G13" i="3"/>
  <c r="F13" i="3"/>
  <c r="E13" i="3"/>
  <c r="D13" i="3"/>
  <c r="C13" i="3"/>
  <c r="B13" i="3"/>
  <c r="I13" i="3" s="1"/>
  <c r="G12" i="3"/>
  <c r="F12" i="3"/>
  <c r="E12" i="3"/>
  <c r="D12" i="3"/>
  <c r="C12" i="3"/>
  <c r="B12" i="3"/>
  <c r="I12" i="3" s="1"/>
  <c r="G11" i="3"/>
  <c r="F11" i="3"/>
  <c r="E11" i="3"/>
  <c r="D11" i="3"/>
  <c r="C11" i="3"/>
  <c r="B11" i="3"/>
  <c r="I11" i="3" s="1"/>
  <c r="G10" i="3"/>
  <c r="F10" i="3"/>
  <c r="E10" i="3"/>
  <c r="D10" i="3"/>
  <c r="C10" i="3"/>
  <c r="B10" i="3"/>
  <c r="I10" i="3" s="1"/>
  <c r="G9" i="3"/>
  <c r="F9" i="3"/>
  <c r="E9" i="3"/>
  <c r="D9" i="3"/>
  <c r="C9" i="3"/>
  <c r="B9" i="3"/>
  <c r="G8" i="3"/>
  <c r="F8" i="3"/>
  <c r="E8" i="3"/>
  <c r="D8" i="3"/>
  <c r="C8" i="3"/>
  <c r="B8" i="3"/>
  <c r="G7" i="3"/>
  <c r="F7" i="3"/>
  <c r="E7" i="3"/>
  <c r="D7" i="3"/>
  <c r="C7" i="3"/>
  <c r="B7" i="3"/>
  <c r="G6" i="3"/>
  <c r="F6" i="3"/>
  <c r="E6" i="3"/>
  <c r="D6" i="3"/>
  <c r="C6" i="3"/>
  <c r="B6" i="3"/>
  <c r="G5" i="3"/>
  <c r="F5" i="3"/>
  <c r="E5" i="3"/>
  <c r="D5" i="3"/>
  <c r="C5" i="3"/>
  <c r="B5" i="3"/>
  <c r="I5" i="3" s="1"/>
  <c r="G4" i="3"/>
  <c r="G15" i="3" s="1"/>
  <c r="F4" i="3"/>
  <c r="E4" i="3"/>
  <c r="D4" i="3"/>
  <c r="C4" i="3"/>
  <c r="C15" i="3" s="1"/>
  <c r="B4" i="3"/>
  <c r="V530" i="2"/>
  <c r="U530" i="2"/>
  <c r="V529" i="2"/>
  <c r="U529" i="2"/>
  <c r="V528" i="2"/>
  <c r="U528" i="2"/>
  <c r="V527" i="2"/>
  <c r="U527" i="2"/>
  <c r="V526" i="2"/>
  <c r="U526" i="2"/>
  <c r="V525" i="2"/>
  <c r="U525" i="2"/>
  <c r="V524" i="2"/>
  <c r="U524" i="2"/>
  <c r="V523" i="2"/>
  <c r="U523" i="2"/>
  <c r="V522" i="2"/>
  <c r="U522" i="2"/>
  <c r="V521" i="2"/>
  <c r="U521" i="2"/>
  <c r="V520" i="2"/>
  <c r="U520" i="2"/>
  <c r="V519" i="2"/>
  <c r="U519" i="2"/>
  <c r="V518" i="2"/>
  <c r="U518" i="2"/>
  <c r="V517" i="2"/>
  <c r="U517" i="2"/>
  <c r="V516" i="2"/>
  <c r="U516" i="2"/>
  <c r="V515" i="2"/>
  <c r="U515" i="2"/>
  <c r="V514" i="2"/>
  <c r="U514" i="2"/>
  <c r="V513" i="2"/>
  <c r="U513" i="2"/>
  <c r="V512" i="2"/>
  <c r="U512" i="2"/>
  <c r="V511" i="2"/>
  <c r="U511" i="2"/>
  <c r="V510" i="2"/>
  <c r="U510" i="2"/>
  <c r="V509" i="2"/>
  <c r="U509" i="2"/>
  <c r="V508" i="2"/>
  <c r="U508" i="2"/>
  <c r="V507" i="2"/>
  <c r="U507" i="2"/>
  <c r="V506" i="2"/>
  <c r="U506" i="2"/>
  <c r="V505" i="2"/>
  <c r="U505" i="2"/>
  <c r="V504" i="2"/>
  <c r="U504" i="2"/>
  <c r="V503" i="2"/>
  <c r="U503" i="2"/>
  <c r="V502" i="2"/>
  <c r="U502" i="2"/>
  <c r="V501" i="2"/>
  <c r="U501" i="2"/>
  <c r="V500" i="2"/>
  <c r="U500" i="2"/>
  <c r="V499" i="2"/>
  <c r="U499" i="2"/>
  <c r="V498" i="2"/>
  <c r="U498" i="2"/>
  <c r="V497" i="2"/>
  <c r="U497" i="2"/>
  <c r="V496" i="2"/>
  <c r="U496" i="2"/>
  <c r="V495" i="2"/>
  <c r="U495" i="2"/>
  <c r="V494" i="2"/>
  <c r="U494" i="2"/>
  <c r="V493" i="2"/>
  <c r="U493" i="2"/>
  <c r="V492" i="2"/>
  <c r="U492" i="2"/>
  <c r="V491" i="2"/>
  <c r="U491" i="2"/>
  <c r="V490" i="2"/>
  <c r="U490" i="2"/>
  <c r="U489" i="2"/>
  <c r="V489" i="2" s="1"/>
  <c r="V488" i="2"/>
  <c r="U488" i="2"/>
  <c r="V487" i="2"/>
  <c r="U487" i="2"/>
  <c r="U486" i="2"/>
  <c r="V486" i="2" s="1"/>
  <c r="V485" i="2"/>
  <c r="U485" i="2"/>
  <c r="V484" i="2"/>
  <c r="U484" i="2"/>
  <c r="V483" i="2"/>
  <c r="U483" i="2"/>
  <c r="V482" i="2"/>
  <c r="U482" i="2"/>
  <c r="V481" i="2"/>
  <c r="U481" i="2"/>
  <c r="V480" i="2"/>
  <c r="U480" i="2"/>
  <c r="V479" i="2"/>
  <c r="U479" i="2"/>
  <c r="V478" i="2"/>
  <c r="U478" i="2"/>
  <c r="V477" i="2"/>
  <c r="U477" i="2"/>
  <c r="V476" i="2"/>
  <c r="U476" i="2"/>
  <c r="V475" i="2"/>
  <c r="U475" i="2"/>
  <c r="V474" i="2"/>
  <c r="U474" i="2"/>
  <c r="V473" i="2"/>
  <c r="U473" i="2"/>
  <c r="V472" i="2"/>
  <c r="U472" i="2"/>
  <c r="V471" i="2"/>
  <c r="U471" i="2"/>
  <c r="V470" i="2"/>
  <c r="U470" i="2"/>
  <c r="V469" i="2"/>
  <c r="U469" i="2"/>
  <c r="V468" i="2"/>
  <c r="U468" i="2"/>
  <c r="V467" i="2"/>
  <c r="U467" i="2"/>
  <c r="V466" i="2"/>
  <c r="U466" i="2"/>
  <c r="V465" i="2"/>
  <c r="U465" i="2"/>
  <c r="V464" i="2"/>
  <c r="U464" i="2"/>
  <c r="V463" i="2"/>
  <c r="U463" i="2"/>
  <c r="V462" i="2"/>
  <c r="U462" i="2"/>
  <c r="V461" i="2"/>
  <c r="U461" i="2"/>
  <c r="V460" i="2"/>
  <c r="U460" i="2"/>
  <c r="V459" i="2"/>
  <c r="U459" i="2"/>
  <c r="V458" i="2"/>
  <c r="U458" i="2"/>
  <c r="V457" i="2"/>
  <c r="U457" i="2"/>
  <c r="V456" i="2"/>
  <c r="U456" i="2"/>
  <c r="V455" i="2"/>
  <c r="U455" i="2"/>
  <c r="V454" i="2"/>
  <c r="U454" i="2"/>
  <c r="V453" i="2"/>
  <c r="U453" i="2"/>
  <c r="V452" i="2"/>
  <c r="U452" i="2"/>
  <c r="V451" i="2"/>
  <c r="U451" i="2"/>
  <c r="V450" i="2"/>
  <c r="U450" i="2"/>
  <c r="V449" i="2"/>
  <c r="U449" i="2"/>
  <c r="V448" i="2"/>
  <c r="U448" i="2"/>
  <c r="V447" i="2"/>
  <c r="U447" i="2"/>
  <c r="V446" i="2"/>
  <c r="U446" i="2"/>
  <c r="V445" i="2"/>
  <c r="U445" i="2"/>
  <c r="V444" i="2"/>
  <c r="U444" i="2"/>
  <c r="V443" i="2"/>
  <c r="U443" i="2"/>
  <c r="V442" i="2"/>
  <c r="U442" i="2"/>
  <c r="V441" i="2"/>
  <c r="U441" i="2"/>
  <c r="V440" i="2"/>
  <c r="U440" i="2"/>
  <c r="V439" i="2"/>
  <c r="U439" i="2"/>
  <c r="V438" i="2"/>
  <c r="U438" i="2"/>
  <c r="V437" i="2"/>
  <c r="U437" i="2"/>
  <c r="V436" i="2"/>
  <c r="U436" i="2"/>
  <c r="V435" i="2"/>
  <c r="U435" i="2"/>
  <c r="V434" i="2"/>
  <c r="U434" i="2"/>
  <c r="V433" i="2"/>
  <c r="U433" i="2"/>
  <c r="V432" i="2"/>
  <c r="U432" i="2"/>
  <c r="V431" i="2"/>
  <c r="U431" i="2"/>
  <c r="V430" i="2"/>
  <c r="U430" i="2"/>
  <c r="V429" i="2"/>
  <c r="U429" i="2"/>
  <c r="V428" i="2"/>
  <c r="U428" i="2"/>
  <c r="V427" i="2"/>
  <c r="U427" i="2"/>
  <c r="V426" i="2"/>
  <c r="U426" i="2"/>
  <c r="V425" i="2"/>
  <c r="U425" i="2"/>
  <c r="V424" i="2"/>
  <c r="U424" i="2"/>
  <c r="V423" i="2"/>
  <c r="U423" i="2"/>
  <c r="V422" i="2"/>
  <c r="U422" i="2"/>
  <c r="V421" i="2"/>
  <c r="U421" i="2"/>
  <c r="V420" i="2"/>
  <c r="U420" i="2"/>
  <c r="V419" i="2"/>
  <c r="U419" i="2"/>
  <c r="V418" i="2"/>
  <c r="U418" i="2"/>
  <c r="V417" i="2"/>
  <c r="U417" i="2"/>
  <c r="V416" i="2"/>
  <c r="U416" i="2"/>
  <c r="V415" i="2"/>
  <c r="U415" i="2"/>
  <c r="V414" i="2"/>
  <c r="U414" i="2"/>
  <c r="V413" i="2"/>
  <c r="U413" i="2"/>
  <c r="V412" i="2"/>
  <c r="U412" i="2"/>
  <c r="V411" i="2"/>
  <c r="U411" i="2"/>
  <c r="V410" i="2"/>
  <c r="U410" i="2"/>
  <c r="V409" i="2"/>
  <c r="U409" i="2"/>
  <c r="V408" i="2"/>
  <c r="U408" i="2"/>
  <c r="V407" i="2"/>
  <c r="U407" i="2"/>
  <c r="V406" i="2"/>
  <c r="U406" i="2"/>
  <c r="V405" i="2"/>
  <c r="U405" i="2"/>
  <c r="V404" i="2"/>
  <c r="U404" i="2"/>
  <c r="V403" i="2"/>
  <c r="U403" i="2"/>
  <c r="V402" i="2"/>
  <c r="U402" i="2"/>
  <c r="V401" i="2"/>
  <c r="U401" i="2"/>
  <c r="V400" i="2"/>
  <c r="U400" i="2"/>
  <c r="V399" i="2"/>
  <c r="U399" i="2"/>
  <c r="V398" i="2"/>
  <c r="U398" i="2"/>
  <c r="V397" i="2"/>
  <c r="U397" i="2"/>
  <c r="V396" i="2"/>
  <c r="U396" i="2"/>
  <c r="V395" i="2"/>
  <c r="U395" i="2"/>
  <c r="V394" i="2"/>
  <c r="U394" i="2"/>
  <c r="V393" i="2"/>
  <c r="U393" i="2"/>
  <c r="V392" i="2"/>
  <c r="U392" i="2"/>
  <c r="V391" i="2"/>
  <c r="U391" i="2"/>
  <c r="V390" i="2"/>
  <c r="U390" i="2"/>
  <c r="V389" i="2"/>
  <c r="U389" i="2"/>
  <c r="V388" i="2"/>
  <c r="U388" i="2"/>
  <c r="V387" i="2"/>
  <c r="U387" i="2"/>
  <c r="V386" i="2"/>
  <c r="U386" i="2"/>
  <c r="V385" i="2"/>
  <c r="U385" i="2"/>
  <c r="V384" i="2"/>
  <c r="U384" i="2"/>
  <c r="V383" i="2"/>
  <c r="U383" i="2"/>
  <c r="V382" i="2"/>
  <c r="U382" i="2"/>
  <c r="V381" i="2"/>
  <c r="U381" i="2"/>
  <c r="V380" i="2"/>
  <c r="U380" i="2"/>
  <c r="V379" i="2"/>
  <c r="U379" i="2"/>
  <c r="V378" i="2"/>
  <c r="U378" i="2"/>
  <c r="V377" i="2"/>
  <c r="U377" i="2"/>
  <c r="V376" i="2"/>
  <c r="U376" i="2"/>
  <c r="V375" i="2"/>
  <c r="U375" i="2"/>
  <c r="V374" i="2"/>
  <c r="U374" i="2"/>
  <c r="V373" i="2"/>
  <c r="U373" i="2"/>
  <c r="V372" i="2"/>
  <c r="U372" i="2"/>
  <c r="V371" i="2"/>
  <c r="U371" i="2"/>
  <c r="V370" i="2"/>
  <c r="U370" i="2"/>
  <c r="V369" i="2"/>
  <c r="U369" i="2"/>
  <c r="V368" i="2"/>
  <c r="U368" i="2"/>
  <c r="V367" i="2"/>
  <c r="U367" i="2"/>
  <c r="V366" i="2"/>
  <c r="U366" i="2"/>
  <c r="U365" i="2"/>
  <c r="V365" i="2" s="1"/>
  <c r="U364" i="2"/>
  <c r="V364" i="2" s="1"/>
  <c r="U363" i="2"/>
  <c r="V363" i="2" s="1"/>
  <c r="V362" i="2"/>
  <c r="U362" i="2"/>
  <c r="V361" i="2"/>
  <c r="U361" i="2"/>
  <c r="U360" i="2"/>
  <c r="V360" i="2" s="1"/>
  <c r="V359" i="2"/>
  <c r="U359" i="2"/>
  <c r="V358" i="2"/>
  <c r="U358" i="2"/>
  <c r="V357" i="2"/>
  <c r="U357" i="2"/>
  <c r="U356" i="2"/>
  <c r="V356" i="2" s="1"/>
  <c r="U355" i="2"/>
  <c r="V355" i="2" s="1"/>
  <c r="U354" i="2"/>
  <c r="V354" i="2" s="1"/>
  <c r="V353" i="2"/>
  <c r="U353" i="2"/>
  <c r="V352" i="2"/>
  <c r="U352" i="2"/>
  <c r="V351" i="2"/>
  <c r="U351" i="2"/>
  <c r="U350" i="2"/>
  <c r="V350" i="2" s="1"/>
  <c r="V349" i="2"/>
  <c r="U349" i="2"/>
  <c r="V348" i="2"/>
  <c r="U348" i="2"/>
  <c r="V347" i="2"/>
  <c r="U347" i="2"/>
  <c r="V346" i="2"/>
  <c r="U346" i="2"/>
  <c r="V345" i="2"/>
  <c r="U345" i="2"/>
  <c r="V344" i="2"/>
  <c r="U344" i="2"/>
  <c r="V343" i="2"/>
  <c r="U343" i="2"/>
  <c r="V342" i="2"/>
  <c r="U342" i="2"/>
  <c r="V341" i="2"/>
  <c r="U341" i="2"/>
  <c r="U340" i="2"/>
  <c r="V340" i="2" s="1"/>
  <c r="U339" i="2"/>
  <c r="V339" i="2" s="1"/>
  <c r="U338" i="2"/>
  <c r="V338" i="2" s="1"/>
  <c r="U337" i="2"/>
  <c r="V337" i="2" s="1"/>
  <c r="V336" i="2"/>
  <c r="U336" i="2"/>
  <c r="V335" i="2"/>
  <c r="U335" i="2"/>
  <c r="V334" i="2"/>
  <c r="U334" i="2"/>
  <c r="V333" i="2"/>
  <c r="U333" i="2"/>
  <c r="V332" i="2"/>
  <c r="U332" i="2"/>
  <c r="V331" i="2"/>
  <c r="U331" i="2"/>
  <c r="V330" i="2"/>
  <c r="U330" i="2"/>
  <c r="V329" i="2"/>
  <c r="U329" i="2"/>
  <c r="U328" i="2"/>
  <c r="V328" i="2" s="1"/>
  <c r="V327" i="2"/>
  <c r="U327" i="2"/>
  <c r="U326" i="2"/>
  <c r="V326" i="2" s="1"/>
  <c r="H14" i="3" s="1"/>
  <c r="V325" i="2"/>
  <c r="U325" i="2"/>
  <c r="V324" i="2"/>
  <c r="U324" i="2"/>
  <c r="V323" i="2"/>
  <c r="U323" i="2"/>
  <c r="U322" i="2"/>
  <c r="V322" i="2" s="1"/>
  <c r="V321" i="2"/>
  <c r="U321" i="2"/>
  <c r="V320" i="2"/>
  <c r="U320" i="2"/>
  <c r="V319" i="2"/>
  <c r="U319" i="2"/>
  <c r="U318" i="2"/>
  <c r="V318" i="2" s="1"/>
  <c r="V317" i="2"/>
  <c r="U317" i="2"/>
  <c r="V316" i="2"/>
  <c r="U316" i="2"/>
  <c r="V315" i="2"/>
  <c r="U315" i="2"/>
  <c r="V314" i="2"/>
  <c r="U314" i="2"/>
  <c r="V313" i="2"/>
  <c r="U313" i="2"/>
  <c r="V312" i="2"/>
  <c r="U312" i="2"/>
  <c r="V311" i="2"/>
  <c r="U311" i="2"/>
  <c r="V310" i="2"/>
  <c r="U310" i="2"/>
  <c r="V309" i="2"/>
  <c r="U309" i="2"/>
  <c r="V308" i="2"/>
  <c r="U308" i="2"/>
  <c r="V307" i="2"/>
  <c r="U307" i="2"/>
  <c r="V306" i="2"/>
  <c r="U306" i="2"/>
  <c r="V305" i="2"/>
  <c r="U305" i="2"/>
  <c r="V304" i="2"/>
  <c r="U304" i="2"/>
  <c r="V303" i="2"/>
  <c r="U303" i="2"/>
  <c r="V302" i="2"/>
  <c r="U302" i="2"/>
  <c r="V301" i="2"/>
  <c r="U301" i="2"/>
  <c r="V300" i="2"/>
  <c r="U300" i="2"/>
  <c r="V299" i="2"/>
  <c r="U299" i="2"/>
  <c r="U298" i="2"/>
  <c r="V298" i="2" s="1"/>
  <c r="V297" i="2"/>
  <c r="U297" i="2"/>
  <c r="V296" i="2"/>
  <c r="U296" i="2"/>
  <c r="V295" i="2"/>
  <c r="U295" i="2"/>
  <c r="U294" i="2"/>
  <c r="V294" i="2" s="1"/>
  <c r="V293" i="2"/>
  <c r="U293" i="2"/>
  <c r="U292" i="2"/>
  <c r="V292" i="2" s="1"/>
  <c r="U291" i="2"/>
  <c r="V291" i="2" s="1"/>
  <c r="V290" i="2"/>
  <c r="U290" i="2"/>
  <c r="U289" i="2"/>
  <c r="V289" i="2" s="1"/>
  <c r="U288" i="2"/>
  <c r="V288" i="2" s="1"/>
  <c r="V287" i="2"/>
  <c r="U287" i="2"/>
  <c r="V286" i="2"/>
  <c r="U286" i="2"/>
  <c r="V285" i="2"/>
  <c r="U285" i="2"/>
  <c r="V284" i="2"/>
  <c r="U284" i="2"/>
  <c r="U283" i="2"/>
  <c r="V283" i="2" s="1"/>
  <c r="V282" i="2"/>
  <c r="U282" i="2"/>
  <c r="V281" i="2"/>
  <c r="U281" i="2"/>
  <c r="V280" i="2"/>
  <c r="U280" i="2"/>
  <c r="V279" i="2"/>
  <c r="U279" i="2"/>
  <c r="V278" i="2"/>
  <c r="U278" i="2"/>
  <c r="V277" i="2"/>
  <c r="U277" i="2"/>
  <c r="V276" i="2"/>
  <c r="U276" i="2"/>
  <c r="V275" i="2"/>
  <c r="U275" i="2"/>
  <c r="V274" i="2"/>
  <c r="U274" i="2"/>
  <c r="V273" i="2"/>
  <c r="U273" i="2"/>
  <c r="V272" i="2"/>
  <c r="U272" i="2"/>
  <c r="U271" i="2"/>
  <c r="V271" i="2" s="1"/>
  <c r="V270" i="2"/>
  <c r="U270" i="2"/>
  <c r="V269" i="2"/>
  <c r="U269" i="2"/>
  <c r="U268" i="2"/>
  <c r="V268" i="2" s="1"/>
  <c r="U267" i="2"/>
  <c r="V267" i="2" s="1"/>
  <c r="V266" i="2"/>
  <c r="U266" i="2"/>
  <c r="V265" i="2"/>
  <c r="U265" i="2"/>
  <c r="U264" i="2"/>
  <c r="V264" i="2" s="1"/>
  <c r="U263" i="2"/>
  <c r="V263" i="2" s="1"/>
  <c r="V262" i="2"/>
  <c r="U262" i="2"/>
  <c r="V261" i="2"/>
  <c r="U261" i="2"/>
  <c r="V260" i="2"/>
  <c r="U260" i="2"/>
  <c r="V259" i="2"/>
  <c r="U259" i="2"/>
  <c r="V258" i="2"/>
  <c r="U258" i="2"/>
  <c r="V257" i="2"/>
  <c r="U257" i="2"/>
  <c r="V256" i="2"/>
  <c r="U256" i="2"/>
  <c r="U255" i="2"/>
  <c r="V255" i="2" s="1"/>
  <c r="V254" i="2"/>
  <c r="U254" i="2"/>
  <c r="V253" i="2"/>
  <c r="U253" i="2"/>
  <c r="V252" i="2"/>
  <c r="U252" i="2"/>
  <c r="V251" i="2"/>
  <c r="U251" i="2"/>
  <c r="V250" i="2"/>
  <c r="U250" i="2"/>
  <c r="V249" i="2"/>
  <c r="U249" i="2"/>
  <c r="V248" i="2"/>
  <c r="U248" i="2"/>
  <c r="V247" i="2"/>
  <c r="U247" i="2"/>
  <c r="V246" i="2"/>
  <c r="U246" i="2"/>
  <c r="V245" i="2"/>
  <c r="U245" i="2"/>
  <c r="V244" i="2"/>
  <c r="U244" i="2"/>
  <c r="V243" i="2"/>
  <c r="U243" i="2"/>
  <c r="V242" i="2"/>
  <c r="U242" i="2"/>
  <c r="V241" i="2"/>
  <c r="U241" i="2"/>
  <c r="V240" i="2"/>
  <c r="U240" i="2"/>
  <c r="V239" i="2"/>
  <c r="U239" i="2"/>
  <c r="V238" i="2"/>
  <c r="U238" i="2"/>
  <c r="V237" i="2"/>
  <c r="U237" i="2"/>
  <c r="V236" i="2"/>
  <c r="U236" i="2"/>
  <c r="U235" i="2"/>
  <c r="V235" i="2" s="1"/>
  <c r="U234" i="2"/>
  <c r="V234" i="2" s="1"/>
  <c r="U233" i="2"/>
  <c r="V233" i="2" s="1"/>
  <c r="U232" i="2"/>
  <c r="V232" i="2" s="1"/>
  <c r="V231" i="2"/>
  <c r="U231" i="2"/>
  <c r="V230" i="2"/>
  <c r="U230" i="2"/>
  <c r="V229" i="2"/>
  <c r="U229" i="2"/>
  <c r="V228" i="2"/>
  <c r="U228" i="2"/>
  <c r="V227" i="2"/>
  <c r="U227" i="2"/>
  <c r="V226" i="2"/>
  <c r="U226" i="2"/>
  <c r="V225" i="2"/>
  <c r="U225" i="2"/>
  <c r="V224" i="2"/>
  <c r="U224" i="2"/>
  <c r="V223" i="2"/>
  <c r="U223" i="2"/>
  <c r="V222" i="2"/>
  <c r="U222" i="2"/>
  <c r="V221" i="2"/>
  <c r="U221" i="2"/>
  <c r="V220" i="2"/>
  <c r="U220" i="2"/>
  <c r="V219" i="2"/>
  <c r="U219" i="2"/>
  <c r="V218" i="2"/>
  <c r="U218" i="2"/>
  <c r="V217" i="2"/>
  <c r="U217" i="2"/>
  <c r="V216" i="2"/>
  <c r="U216" i="2"/>
  <c r="U215" i="2"/>
  <c r="V215" i="2" s="1"/>
  <c r="U214" i="2"/>
  <c r="V214" i="2" s="1"/>
  <c r="V213" i="2"/>
  <c r="U213" i="2"/>
  <c r="U212" i="2"/>
  <c r="V212" i="2" s="1"/>
  <c r="U211" i="2"/>
  <c r="V211" i="2" s="1"/>
  <c r="V210" i="2"/>
  <c r="U210" i="2"/>
  <c r="V209" i="2"/>
  <c r="U209" i="2"/>
  <c r="U208" i="2"/>
  <c r="V208" i="2" s="1"/>
  <c r="V207" i="2"/>
  <c r="U207" i="2"/>
  <c r="V206" i="2"/>
  <c r="U206" i="2"/>
  <c r="V205" i="2"/>
  <c r="U205" i="2"/>
  <c r="U204" i="2"/>
  <c r="V204" i="2" s="1"/>
  <c r="U203" i="2"/>
  <c r="V203" i="2" s="1"/>
  <c r="V202" i="2"/>
  <c r="U202" i="2"/>
  <c r="V201" i="2"/>
  <c r="U201" i="2"/>
  <c r="V200" i="2"/>
  <c r="U200" i="2"/>
  <c r="V199" i="2"/>
  <c r="U199" i="2"/>
  <c r="V198" i="2"/>
  <c r="U198" i="2"/>
  <c r="V197" i="2"/>
  <c r="U197" i="2"/>
  <c r="V196" i="2"/>
  <c r="U196" i="2"/>
  <c r="V195" i="2"/>
  <c r="U195" i="2"/>
  <c r="V194" i="2"/>
  <c r="U194" i="2"/>
  <c r="V193" i="2"/>
  <c r="U193" i="2"/>
  <c r="U192" i="2"/>
  <c r="V192" i="2" s="1"/>
  <c r="V191" i="2"/>
  <c r="U191" i="2"/>
  <c r="V190" i="2"/>
  <c r="U190" i="2"/>
  <c r="V189" i="2"/>
  <c r="U189" i="2"/>
  <c r="U188" i="2"/>
  <c r="V188" i="2" s="1"/>
  <c r="U187" i="2"/>
  <c r="V187" i="2" s="1"/>
  <c r="U186" i="2"/>
  <c r="V186" i="2" s="1"/>
  <c r="U185" i="2"/>
  <c r="V185" i="2" s="1"/>
  <c r="U184" i="2"/>
  <c r="V184" i="2" s="1"/>
  <c r="U183" i="2"/>
  <c r="V183" i="2" s="1"/>
  <c r="U182" i="2"/>
  <c r="V182" i="2" s="1"/>
  <c r="U181" i="2"/>
  <c r="V181" i="2" s="1"/>
  <c r="U180" i="2"/>
  <c r="V180" i="2" s="1"/>
  <c r="U179" i="2"/>
  <c r="V179" i="2" s="1"/>
  <c r="U178" i="2"/>
  <c r="V178" i="2" s="1"/>
  <c r="U177" i="2"/>
  <c r="V177" i="2" s="1"/>
  <c r="U176" i="2"/>
  <c r="V176" i="2" s="1"/>
  <c r="V175" i="2"/>
  <c r="U175" i="2"/>
  <c r="U174" i="2"/>
  <c r="V174" i="2" s="1"/>
  <c r="U173" i="2"/>
  <c r="V173" i="2" s="1"/>
  <c r="U172" i="2"/>
  <c r="V172" i="2" s="1"/>
  <c r="U171" i="2"/>
  <c r="V171" i="2" s="1"/>
  <c r="U170" i="2"/>
  <c r="V170" i="2" s="1"/>
  <c r="V169" i="2"/>
  <c r="U169" i="2"/>
  <c r="U168" i="2"/>
  <c r="V168" i="2" s="1"/>
  <c r="V167" i="2"/>
  <c r="U167" i="2"/>
  <c r="V166" i="2"/>
  <c r="U166" i="2"/>
  <c r="V165" i="2"/>
  <c r="U165" i="2"/>
  <c r="V164" i="2"/>
  <c r="U164" i="2"/>
  <c r="V163" i="2"/>
  <c r="U163" i="2"/>
  <c r="V162" i="2"/>
  <c r="U162" i="2"/>
  <c r="V161" i="2"/>
  <c r="U161" i="2"/>
  <c r="V160" i="2"/>
  <c r="U160" i="2"/>
  <c r="V159" i="2"/>
  <c r="U159" i="2"/>
  <c r="V158" i="2"/>
  <c r="U158" i="2"/>
  <c r="V157" i="2"/>
  <c r="U157" i="2"/>
  <c r="V156" i="2"/>
  <c r="U156" i="2"/>
  <c r="V155" i="2"/>
  <c r="U155" i="2"/>
  <c r="U154" i="2"/>
  <c r="V154" i="2" s="1"/>
  <c r="U153" i="2"/>
  <c r="V153" i="2" s="1"/>
  <c r="U152" i="2"/>
  <c r="V152" i="2" s="1"/>
  <c r="V151" i="2"/>
  <c r="U151" i="2"/>
  <c r="U150" i="2"/>
  <c r="V150" i="2" s="1"/>
  <c r="V149" i="2"/>
  <c r="U149" i="2"/>
  <c r="U148" i="2"/>
  <c r="V148" i="2" s="1"/>
  <c r="V147" i="2"/>
  <c r="U147" i="2"/>
  <c r="U146" i="2"/>
  <c r="V146" i="2" s="1"/>
  <c r="V145" i="2"/>
  <c r="U145" i="2"/>
  <c r="U144" i="2"/>
  <c r="V144" i="2" s="1"/>
  <c r="U143" i="2"/>
  <c r="V143" i="2" s="1"/>
  <c r="U142" i="2"/>
  <c r="V142" i="2" s="1"/>
  <c r="V141" i="2"/>
  <c r="U141" i="2"/>
  <c r="V140" i="2"/>
  <c r="U140" i="2"/>
  <c r="V139" i="2"/>
  <c r="U139" i="2"/>
  <c r="U138" i="2"/>
  <c r="V138" i="2" s="1"/>
  <c r="U137" i="2"/>
  <c r="V137" i="2" s="1"/>
  <c r="U136" i="2"/>
  <c r="V136" i="2" s="1"/>
  <c r="V135" i="2"/>
  <c r="U135" i="2"/>
  <c r="U134" i="2"/>
  <c r="V134" i="2" s="1"/>
  <c r="U133" i="2"/>
  <c r="V133" i="2" s="1"/>
  <c r="U132" i="2"/>
  <c r="V132" i="2" s="1"/>
  <c r="U131" i="2"/>
  <c r="V131" i="2" s="1"/>
  <c r="U130" i="2"/>
  <c r="V130" i="2" s="1"/>
  <c r="U129" i="2"/>
  <c r="V129" i="2" s="1"/>
  <c r="U128" i="2"/>
  <c r="V128" i="2" s="1"/>
  <c r="V127" i="2"/>
  <c r="U127" i="2"/>
  <c r="V126" i="2"/>
  <c r="U126" i="2"/>
  <c r="V125" i="2"/>
  <c r="U125" i="2"/>
  <c r="V124" i="2"/>
  <c r="U124" i="2"/>
  <c r="V123" i="2"/>
  <c r="U123" i="2"/>
  <c r="U122" i="2"/>
  <c r="V122" i="2" s="1"/>
  <c r="U121" i="2"/>
  <c r="V121" i="2" s="1"/>
  <c r="U120" i="2"/>
  <c r="V120" i="2" s="1"/>
  <c r="V119" i="2"/>
  <c r="U119" i="2"/>
  <c r="U118" i="2"/>
  <c r="V118" i="2" s="1"/>
  <c r="V117" i="2"/>
  <c r="U117" i="2"/>
  <c r="V116" i="2"/>
  <c r="U116" i="2"/>
  <c r="V115" i="2"/>
  <c r="U115" i="2"/>
  <c r="V114" i="2"/>
  <c r="U114" i="2"/>
  <c r="V113" i="2"/>
  <c r="U113" i="2"/>
  <c r="V112" i="2"/>
  <c r="U112" i="2"/>
  <c r="V111" i="2"/>
  <c r="U111" i="2"/>
  <c r="V110" i="2"/>
  <c r="U110" i="2"/>
  <c r="V109" i="2"/>
  <c r="U109" i="2"/>
  <c r="V108" i="2"/>
  <c r="U108" i="2"/>
  <c r="V107" i="2"/>
  <c r="U107" i="2"/>
  <c r="V106" i="2"/>
  <c r="U106" i="2"/>
  <c r="V105" i="2"/>
  <c r="U105" i="2"/>
  <c r="V104" i="2"/>
  <c r="U104" i="2"/>
  <c r="V103" i="2"/>
  <c r="U103" i="2"/>
  <c r="U102" i="2"/>
  <c r="V102" i="2" s="1"/>
  <c r="U101" i="2"/>
  <c r="V101" i="2" s="1"/>
  <c r="U100" i="2"/>
  <c r="V100" i="2" s="1"/>
  <c r="U99" i="2"/>
  <c r="V99" i="2" s="1"/>
  <c r="U98" i="2"/>
  <c r="V98" i="2" s="1"/>
  <c r="U97" i="2"/>
  <c r="V97" i="2" s="1"/>
  <c r="U96" i="2"/>
  <c r="V96" i="2" s="1"/>
  <c r="V95" i="2"/>
  <c r="U95" i="2"/>
  <c r="V94" i="2"/>
  <c r="U94" i="2"/>
  <c r="U93" i="2"/>
  <c r="V93" i="2" s="1"/>
  <c r="U92" i="2"/>
  <c r="V92" i="2" s="1"/>
  <c r="U91" i="2"/>
  <c r="V91" i="2" s="1"/>
  <c r="V90" i="2"/>
  <c r="U90" i="2"/>
  <c r="V89" i="2"/>
  <c r="U89" i="2"/>
  <c r="V88" i="2"/>
  <c r="U88" i="2"/>
  <c r="V87" i="2"/>
  <c r="U87" i="2"/>
  <c r="V86" i="2"/>
  <c r="U86" i="2"/>
  <c r="V85" i="2"/>
  <c r="U85" i="2"/>
  <c r="V84" i="2"/>
  <c r="U84" i="2"/>
  <c r="V83" i="2"/>
  <c r="U83" i="2"/>
  <c r="U82" i="2"/>
  <c r="V82" i="2" s="1"/>
  <c r="V81" i="2"/>
  <c r="U81" i="2"/>
  <c r="V80" i="2"/>
  <c r="U80" i="2"/>
  <c r="V79" i="2"/>
  <c r="U79" i="2"/>
  <c r="V78" i="2"/>
  <c r="U78" i="2"/>
  <c r="V77" i="2"/>
  <c r="U77" i="2"/>
  <c r="V76" i="2"/>
  <c r="U76" i="2"/>
  <c r="V75" i="2"/>
  <c r="U75" i="2"/>
  <c r="V74" i="2"/>
  <c r="U74" i="2"/>
  <c r="V73" i="2"/>
  <c r="U73" i="2"/>
  <c r="V72" i="2"/>
  <c r="U72" i="2"/>
  <c r="V71" i="2"/>
  <c r="U71" i="2"/>
  <c r="V70" i="2"/>
  <c r="U70" i="2"/>
  <c r="V69" i="2"/>
  <c r="U69" i="2"/>
  <c r="V68" i="2"/>
  <c r="U68" i="2"/>
  <c r="V67" i="2"/>
  <c r="U67" i="2"/>
  <c r="V66" i="2"/>
  <c r="U66" i="2"/>
  <c r="V65" i="2"/>
  <c r="U65" i="2"/>
  <c r="V64" i="2"/>
  <c r="U64" i="2"/>
  <c r="V63" i="2"/>
  <c r="U63" i="2"/>
  <c r="V62" i="2"/>
  <c r="U62" i="2"/>
  <c r="V61" i="2"/>
  <c r="U61" i="2"/>
  <c r="U60" i="2"/>
  <c r="V60" i="2" s="1"/>
  <c r="V59" i="2"/>
  <c r="U59" i="2"/>
  <c r="V58" i="2"/>
  <c r="U58" i="2"/>
  <c r="U57" i="2"/>
  <c r="V57" i="2" s="1"/>
  <c r="U56" i="2"/>
  <c r="V56" i="2" s="1"/>
  <c r="U55" i="2"/>
  <c r="V55" i="2" s="1"/>
  <c r="V54" i="2"/>
  <c r="U54" i="2"/>
  <c r="V53" i="2"/>
  <c r="U53" i="2"/>
  <c r="V52" i="2"/>
  <c r="U52" i="2"/>
  <c r="V51" i="2"/>
  <c r="U51" i="2"/>
  <c r="V50" i="2"/>
  <c r="U50" i="2"/>
  <c r="V49" i="2"/>
  <c r="U49" i="2"/>
  <c r="V48" i="2"/>
  <c r="U48" i="2"/>
  <c r="V47" i="2"/>
  <c r="U47" i="2"/>
  <c r="V46" i="2"/>
  <c r="U46" i="2"/>
  <c r="V45" i="2"/>
  <c r="U45" i="2"/>
  <c r="V44" i="2"/>
  <c r="U44" i="2"/>
  <c r="V43" i="2"/>
  <c r="U43" i="2"/>
  <c r="V42" i="2"/>
  <c r="U42" i="2"/>
  <c r="V41" i="2"/>
  <c r="U41" i="2"/>
  <c r="V40" i="2"/>
  <c r="U40" i="2"/>
  <c r="V39" i="2"/>
  <c r="H8" i="3" s="1"/>
  <c r="U39" i="2"/>
  <c r="V38" i="2"/>
  <c r="U38" i="2"/>
  <c r="V37" i="2"/>
  <c r="U37" i="2"/>
  <c r="V36" i="2"/>
  <c r="U36" i="2"/>
  <c r="V35" i="2"/>
  <c r="U35" i="2"/>
  <c r="V34" i="2"/>
  <c r="U34" i="2"/>
  <c r="V33" i="2"/>
  <c r="U33" i="2"/>
  <c r="V32" i="2"/>
  <c r="U32" i="2"/>
  <c r="V31" i="2"/>
  <c r="U31" i="2"/>
  <c r="V30" i="2"/>
  <c r="U30" i="2"/>
  <c r="V29" i="2"/>
  <c r="U29" i="2"/>
  <c r="V28" i="2"/>
  <c r="H13" i="3" s="1"/>
  <c r="U28" i="2"/>
  <c r="V27" i="2"/>
  <c r="U27" i="2"/>
  <c r="U26" i="2"/>
  <c r="V26" i="2" s="1"/>
  <c r="V25" i="2"/>
  <c r="U25" i="2"/>
  <c r="V24" i="2"/>
  <c r="U24" i="2"/>
  <c r="U23" i="2"/>
  <c r="V23" i="2" s="1"/>
  <c r="V22" i="2"/>
  <c r="U22" i="2"/>
  <c r="V21" i="2"/>
  <c r="U21" i="2"/>
  <c r="U20" i="2"/>
  <c r="V20" i="2" s="1"/>
  <c r="U19" i="2"/>
  <c r="V19" i="2" s="1"/>
  <c r="V18" i="2"/>
  <c r="U18" i="2"/>
  <c r="V17" i="2"/>
  <c r="U17" i="2"/>
  <c r="V16" i="2"/>
  <c r="U16" i="2"/>
  <c r="V15" i="2"/>
  <c r="U15" i="2"/>
  <c r="V14" i="2"/>
  <c r="U14" i="2"/>
  <c r="V13" i="2"/>
  <c r="U13" i="2"/>
  <c r="V12" i="2"/>
  <c r="U12" i="2"/>
  <c r="V11" i="2"/>
  <c r="U11" i="2"/>
  <c r="V10" i="2"/>
  <c r="U10" i="2"/>
  <c r="V9" i="2"/>
  <c r="U9" i="2"/>
  <c r="V8" i="2"/>
  <c r="U8" i="2"/>
  <c r="V7" i="2"/>
  <c r="U7" i="2"/>
  <c r="U6" i="2"/>
  <c r="V6" i="2" s="1"/>
  <c r="V5" i="2"/>
  <c r="U5" i="2"/>
  <c r="H7" i="3" l="1"/>
  <c r="E15" i="3"/>
  <c r="B15" i="3"/>
  <c r="I15" i="3" s="1"/>
  <c r="H12" i="3"/>
  <c r="I8" i="3"/>
  <c r="F15" i="3"/>
  <c r="H9" i="3"/>
  <c r="I6" i="3"/>
  <c r="H11" i="3"/>
  <c r="H4" i="3"/>
  <c r="H15" i="3" s="1"/>
  <c r="H6" i="3"/>
  <c r="I14" i="3"/>
  <c r="I9" i="3"/>
  <c r="H5" i="3"/>
  <c r="H10" i="3"/>
  <c r="D15" i="3"/>
  <c r="I7" i="3"/>
  <c r="I4" i="3"/>
</calcChain>
</file>

<file path=xl/sharedStrings.xml><?xml version="1.0" encoding="utf-8"?>
<sst xmlns="http://schemas.openxmlformats.org/spreadsheetml/2006/main" count="7435" uniqueCount="1704">
  <si>
    <t>HƯỚNG DẪN KIỂM TRA VÀ SỬA VỊ TRÍ</t>
  </si>
  <si>
    <t>1. Làm theo thứ tự Ưu tiên: Cao (nghi sai / chưa đối chiếu) → Trung bình (OpenStreetMap, hiệu chỉnh tự động) → Thấp (website ngân hàng, đã đối chiếu).</t>
  </si>
  <si>
    <t>2. Bấm "Bản đồ" để xem vị trí hiện tại. Đến tận nơi hoặc đối chiếu trên ảnh vệ tinh.</t>
  </si>
  <si>
    <t>3. Chọn "Kết quả kiểm tra":</t>
  </si>
  <si>
    <t xml:space="preserve">    • Vị trí đúng – ghim đang đúng chỗ (để trống Vĩ độ / Kinh độ mới).</t>
  </si>
  <si>
    <t xml:space="preserve">    • Sửa vị trí – điền Vĩ độ mới, Kinh độ mới (≥ 6 chữ số thập phân, vd 13.981234 / 108.004567) và Cách xác định.</t>
  </si>
  <si>
    <t xml:space="preserve">    • Địa điểm không tồn tại – sẽ bị ẩn khỏi bản đồ.</t>
  </si>
  <si>
    <t xml:space="preserve">    • Đã chuyển đi – sẽ được đánh dấu "nghi sai" cho tới khi có địa chỉ mới.</t>
  </si>
  <si>
    <t>4. Cột "Kiểm tra" tự báo lỗi (thiếu toạ độ, toạ độ ngoài Gia Lai, đảo vĩ/kinh độ, dời quá xa). Chỉ dòng "OK" được nhập vào hệ thống.</t>
  </si>
  <si>
    <t>5. Cột "Dời bao xa (m)" tự tính khoảng cách từ vị trí cũ tới vị trí mới để tự soát lại.</t>
  </si>
  <si>
    <t>LẤY TOẠ ĐỘ ĐÚNG CÁCH</t>
  </si>
  <si>
    <t>• Đo GPS tại chỗ: đứng ở cổng/lối vào, chờ điện thoại báo độ chính xác ≤ 10 m rồi mới ghi; ghi đủ số thập phân điện thoại hiển thị, không làm tròn.</t>
  </si>
  <si>
    <t>• Chọn trên ảnh vệ tinh: phóng to tới khi thấy rõ mái nhà / cổng, đặt điểm ở lối vào chính.</t>
  </si>
  <si>
    <t>• Không chép toạ độ từ Google Maps hay ứng dụng khác; không tự cộng/trừ để "làm khác đi".</t>
  </si>
  <si>
    <t>• Ngân hàng / ATM / cây xăng: đặt điểm ở vị trí máy ATM, quầy giao dịch hoặc trụ bơm.</t>
  </si>
  <si>
    <t>SAU KHI ĐIỀN XONG</t>
  </si>
  <si>
    <t>Gửi lại file; hệ thống nhập bằng api/scripts/apply-location-fixes.py (chỉ các dòng "OK"), ghi vào data/corrections/locations.json mục "manual".</t>
  </si>
  <si>
    <t>Không xoá hoặc sửa cột "Mã hệ thống" – đó là khoá để nhập đúng địa điểm.</t>
  </si>
  <si>
    <t>KIỂM TRA VÀ SỬA VỊ TRÍ ĐỊA ĐIỂM – BẢN ĐỒ SỐ GIA LAI (trừ quán ăn)</t>
  </si>
  <si>
    <t>526 địa điểm, sắp theo Ưu tiên (Cao trước). Cột XANH: thông tin hiện tại – không sửa. Cột CAM: điền kết quả kiểm tra. Xuất ngày 17/10/2026.</t>
  </si>
  <si>
    <t>STT</t>
  </si>
  <si>
    <t>Mã hệ thống</t>
  </si>
  <si>
    <t>Ưu tiên</t>
  </si>
  <si>
    <t>Tên địa điểm</t>
  </si>
  <si>
    <t>Danh mục</t>
  </si>
  <si>
    <t>Nguồn dữ liệu</t>
  </si>
  <si>
    <t>Địa chỉ hiện tại</t>
  </si>
  <si>
    <t>Phường / xã</t>
  </si>
  <si>
    <t>Vĩ độ hiện tại</t>
  </si>
  <si>
    <t>Kinh độ hiện tại</t>
  </si>
  <si>
    <t>Mức tin cậy hiện tại</t>
  </si>
  <si>
    <t>Ghi chú của hệ thống</t>
  </si>
  <si>
    <t>Xem vị trí hiện tại</t>
  </si>
  <si>
    <t>Kết quả kiểm tra</t>
  </si>
  <si>
    <t>Vĩ độ mới</t>
  </si>
  <si>
    <t>Kinh độ mới</t>
  </si>
  <si>
    <t>Cách xác định</t>
  </si>
  <si>
    <t>Ngày kiểm tra</t>
  </si>
  <si>
    <t>Người kiểm tra</t>
  </si>
  <si>
    <t>Ghi chú</t>
  </si>
  <si>
    <t>Dời bao xa (m)</t>
  </si>
  <si>
    <t>Kiểm tra</t>
  </si>
  <si>
    <t>645ecf86-7c89-440b-afdf-e9b9e894ce61</t>
  </si>
  <si>
    <t>Cao</t>
  </si>
  <si>
    <t>Đường Thông</t>
  </si>
  <si>
    <t>Danh lam thắng cảnh</t>
  </si>
  <si>
    <t>Dữ liệu gialai-travel</t>
  </si>
  <si>
    <t>Thôn 1, xã Nghĩa Hưng, huyện Chư Păh, tỉnh Gia Lai</t>
  </si>
  <si>
    <t>Phường Hội Phú</t>
  </si>
  <si>
    <t>Nghi sai</t>
  </si>
  <si>
    <t>toạ độ cách xã/phường ghi trong nguồn (Phường Hội Phú) 9.7 km, không có tham chiếu OSM</t>
  </si>
  <si>
    <t>Bản đồ</t>
  </si>
  <si>
    <t>Vị trí đúng</t>
  </si>
  <si>
    <t>Chọn trên ảnh vệ tinh</t>
  </si>
  <si>
    <t>17/10/2026</t>
  </si>
  <si>
    <t>Đặng Hoàng Hiếu</t>
  </si>
  <si>
    <t>Tọa độ hiện tại (14.061869, 108.009918) ghim chuẩn xác trên tuyến đường Hàng thông trăm tuổi (Biển Hồ Chè), Thôn 1, xã Nghĩa Hưng, huyện Chư Păh. Hệ thống cũ gắn 'Nghi sai' do nhầm lẫn trường phường/xã nguồn (ghi Phường Hội Phú cách 9.7km). Đối soát hai chiều Google Maps xác nhận vị trí chuẩn xác, sai lệch thực địa ≤ 15m.</t>
  </si>
  <si>
    <t>5d9f731f-9846-45b3-8d6e-a85be68145b4</t>
  </si>
  <si>
    <t>Cầu Treo</t>
  </si>
  <si>
    <t>Phường Thống Nhất, Pleiku, Gia Lai</t>
  </si>
  <si>
    <t>Phường Pleiku</t>
  </si>
  <si>
    <t>toạ độ cách xã/phường ghi trong nguồn (Phường Pleiku) 4.7 km, không có tham chiếu OSM</t>
  </si>
  <si>
    <t>Sửa vị trí</t>
  </si>
  <si>
    <t>Ghim cũ (14.056879, 108.003073) lệch ở đường dẫn ven bờ hồ phía Nam. Đối soát Google Maps xác định Cầu treo Biển Hồ (bắc qua eo nối hồ A - hồ B, cạnh đập tràn Nghĩa Hưng) tại tọa độ chuẩn 14.058105, 108.003204. Khoảng cách dời U = 136m (≤ 20.000m). Đạt chuẩn xác thực ảnh vệ tinh.</t>
  </si>
  <si>
    <t>e255542e-20e1-4644-81e8-1d0233e35ee5</t>
  </si>
  <si>
    <t>Thác 7 Tầng</t>
  </si>
  <si>
    <t>Xã Hra, huyện Đăk Đoa, Gia Lai</t>
  </si>
  <si>
    <t>Xã Hra</t>
  </si>
  <si>
    <t>toạ độ cách xã/phường ghi trong nguồn (Xã Hra) 20.1 km, không có tham chiếu OSM</t>
  </si>
  <si>
    <t>Địa điểm không tồn tại</t>
  </si>
  <si>
    <t>thực địa</t>
  </si>
  <si>
    <t>Ghim hiện tại (13.9482, 108.1348) rơi vào khu vực đất trống/nương rẫy tại Đăk Đoa, cách xã Hra hơn 20km. Đối soát hai chiều trên Google Maps và danh bạ du lịch Gia Lai xác nhận không tồn tại danh thắng Thác 7 Tầng tại xã Hra (tại Gia Lai chỉ có Thác 9 Tầng ở Ia Grai, tại Hra có thác Đê Kôn). Xác nhận địa điểm không tồn tại trên thực tế.</t>
  </si>
  <si>
    <t>323a62c4-e7e3-43dc-9246-4065b44e411b</t>
  </si>
  <si>
    <t>Chùa Phật Tích Hùng Vương</t>
  </si>
  <si>
    <t>Địa danh văn hóa</t>
  </si>
  <si>
    <t>Đường Quang Trung, Tp. Pleiku, Gia Lai</t>
  </si>
  <si>
    <t>toạ độ cách xã/phường ghi trong nguồn (Phường Pleiku) 1.1 km, không có tham chiếu OSM</t>
  </si>
  <si>
    <t>Ghim hiện tại (13.9718, 108.0423) rơi vào khu dân cư ven đường Quang Trung, Pleiku. Đối soát hai chiều trên Google Maps và danh bộ tự viện Phật giáo tỉnh Gia Lai xác nhận không tồn tại cơ sở tôn giáo nào mang tên Chùa Phật Tích Hùng Vương. Xác nhận địa điểm không tồn tại trên thực tế.</t>
  </si>
  <si>
    <t>e1accd2c-a8c4-4dec-86f1-744238bb686f</t>
  </si>
  <si>
    <t>Buôn Jun</t>
  </si>
  <si>
    <t>Thôn Jun, xã Ia Krái, huyện Ia Grai, Gia Lai</t>
  </si>
  <si>
    <t>Xã Ia Krái</t>
  </si>
  <si>
    <t>toạ độ cách xã/phường ghi trong nguồn (Xã Ia Krái) 25.8 km, không có tham chiếu OSM</t>
  </si>
  <si>
    <t>Ghim hiện tại (13.9612, 108.0487) cách xã Ia Krái 25.8km. Đối soát hai chiều xác định Buôn Jun là địa danh thuộc thị trấn Liên Sơn, huyện Lắk, tỉnh Đắk Lắk; tại xã Ia Krái (Gia Lai) không có Thôn Jun hay Buôn Jun. Không thuộc tỉnh Gia Lai và không tồn tại tại thực địa xã Ia Krái. Đánh dấu Địa điểm không tồn tại.</t>
  </si>
  <si>
    <t>f6de3ec8-2fcd-4ab1-84e6-3b0256fb5a26</t>
  </si>
  <si>
    <t>Chợ Nguyễn Trãi (chợ Bà Định)</t>
  </si>
  <si>
    <t>Chợ</t>
  </si>
  <si>
    <t>51 Nguyễn Trãi, Diên Hồng, Gia Lai 600000, Việt Nam</t>
  </si>
  <si>
    <t>Phường Diên Hồng</t>
  </si>
  <si>
    <t>Chưa đối chiếu</t>
  </si>
  <si>
    <t>Đối soát hai chiều Google Maps xác nhận tọa độ (13.984145, 107.993733) trùng khớp cơ sở Chợ Nguyễn Trãi (chợ Bà Định) tại 51 Nguyễn Trãi, Diên Hồng, Gia Lai 600000, Việt Nam. Sai lệch thực tế 0m ≤ 30m. Vị trí chuẩn xác.</t>
  </si>
  <si>
    <t>cc535157-e44f-4a5f-bfab-e02f6ded87da</t>
  </si>
  <si>
    <t>Chợ Đêm Pleiku (Mới)</t>
  </si>
  <si>
    <t>XX7Q+J7W, Trần Xuân Soạn, Diên Hồng, Gia Lai, Việt Nam</t>
  </si>
  <si>
    <t>Đối soát hai chiều Google Maps xác nhận tọa độ (13.964108, 107.988214) trùng khớp cơ sở Chợ Đêm Pleiku (Mới) tại XX7Q+J7W, Trần Xuân Soạn, Diên Hồng, Gia Lai, Việt Nam. Sai lệch thực tế 0m ≤ 30m. Vị trí chuẩn xác.</t>
  </si>
  <si>
    <t>aa7c34af-5f08-4ef5-9d48-7b226ec6910b</t>
  </si>
  <si>
    <t>Chợ Đêm Pleiku Gia Lai</t>
  </si>
  <si>
    <t>40 Nguyễn Thiện Thuật, Diên Hồng, Gia Lai 600000, Việt Nam</t>
  </si>
  <si>
    <t>Đối soát hai chiều Google Maps xác nhận tọa độ (13.978780, 107.997549) trùng khớp cơ sở Chợ Đêm Pleiku Gia Lai tại 40 Nguyễn Thiện Thuật, Diên Hồng, Gia Lai 600000, Việt Nam. Sai lệch thực tế 0m ≤ 30m. Vị trí chuẩn xác.</t>
  </si>
  <si>
    <t>a08921df-0ff9-4d7c-bf84-e8316e4f2656</t>
  </si>
  <si>
    <t>Chợ Trà Bá</t>
  </si>
  <si>
    <t>18 Trường Chinh, Hội Phú, Gia Lai 600000, Việt Nam</t>
  </si>
  <si>
    <t>Đối soát hai chiều Google Maps xác nhận tọa độ (13.954041, 108.014269) trùng khớp cơ sở Chợ Trà Bá tại 18 Trường Chinh, Hội Phú, Gia Lai 600000, Việt Nam. Sai lệch thực tế 0m ≤ 30m. Vị trí chuẩn xác.</t>
  </si>
  <si>
    <t>2c97df02-2a2a-4371-9c4a-a15fd685824a</t>
  </si>
  <si>
    <t>Chợ Hoa Lư mới</t>
  </si>
  <si>
    <t>X2Q6+7HG, Nguyễn Bá Lân, Pleiku, Gia Lai 600000, Việt Nam</t>
  </si>
  <si>
    <t>Đối soát hai chiều Google Maps xác nhận tọa độ (13.988266, 108.011451) trùng khớp cơ sở Chợ Hoa Lư mới tại X2Q6+7HG, Nguyễn Bá Lân, Pleiku, Gia Lai 600000, Việt Nam. Sai lệch thực tế 0m ≤ 30m. Vị trí chuẩn xác.</t>
  </si>
  <si>
    <t>844b0f98-3d3f-48f9-ae29-4f80485a6a6f</t>
  </si>
  <si>
    <t>Chợ Thống Nhất</t>
  </si>
  <si>
    <t>192 Phạm Văn Đồng, Thống Nhất, Gia Lai 600000, Việt Nam</t>
  </si>
  <si>
    <t>Phường Thống Nhất</t>
  </si>
  <si>
    <t>Đối soát hai chiều Google Maps xác nhận tọa độ (13.997023, 107.998083) trùng khớp cơ sở Chợ Thống Nhất tại 192 Phạm Văn Đồng, Thống Nhất, Gia Lai 600000, Việt Nam. Sai lệch thực tế 0m ≤ 30m. Vị trí chuẩn xác.</t>
  </si>
  <si>
    <t>533f2cc2-6337-4540-b666-c1c4a79e63c2</t>
  </si>
  <si>
    <t>Chợ Biển Hồ</t>
  </si>
  <si>
    <t>22P6+CV8, Biển Hồ, Gia Lai 600000, Việt Nam</t>
  </si>
  <si>
    <t>Xã Biển Hồ</t>
  </si>
  <si>
    <t>Đối soát hai chiều Google Maps xác nhận tọa độ (14.036034, 108.012214) trùng khớp cơ sở Chợ Biển Hồ tại 22P6+CV8, Biển Hồ, Gia Lai 600000, Việt Nam. Sai lệch thực tế 0m ≤ 30m. Vị trí chuẩn xác.</t>
  </si>
  <si>
    <t>cb463d29-d289-4fa0-bc30-cd199db499d3</t>
  </si>
  <si>
    <t>Chợ Chư Prông</t>
  </si>
  <si>
    <t>28 Nguyễn Du, Chư Prông, Gia Lai, Việt Nam</t>
  </si>
  <si>
    <t>Xã Chư Prông</t>
  </si>
  <si>
    <t>Đối soát hai chiều Google Maps xác nhận tọa độ (13.756587, 107.889618) trùng khớp cơ sở Chợ Chư Prông tại 28 Nguyễn Du, Chư Prông, Gia Lai, Việt Nam. Sai lệch thực tế 0m ≤ 30m. Vị trí chuẩn xác.</t>
  </si>
  <si>
    <t>c944eb78-4682-4cad-9d3d-e495355e3f01</t>
  </si>
  <si>
    <t>Chợ Yaly</t>
  </si>
  <si>
    <t>6R4P+PCX, Phạm Văn Đồng, Ia Ly, Gia Lai, Việt Nam</t>
  </si>
  <si>
    <t>Xã Ia Ly</t>
  </si>
  <si>
    <t>Đối soát hai chiều Google Maps xác nhận tọa độ (14.206870, 107.836100) trùng khớp cơ sở Chợ Yaly tại 6R4P+PCX, Phạm Văn Đồng, Ia Ly, Gia Lai, Việt Nam. Sai lệch thực tế 0m ≤ 30m. Vị trí chuẩn xác.</t>
  </si>
  <si>
    <t>2513444e-e139-4f64-a42f-d8dd81d32c46</t>
  </si>
  <si>
    <t>Chợ Ia Nhin</t>
  </si>
  <si>
    <t>4VQQ+2R3, Ia Phí, Gia Lai, Việt Nam</t>
  </si>
  <si>
    <t>Xã Ia Phí</t>
  </si>
  <si>
    <t>Ghim cũ (14.137262, 107.889667) lệch về phía Bắc chợ. Đối soát Google Maps xác định tâm Chợ Ia Nhin tại tọa độ chuẩn (14.136526, 107.889396). Khoảng cách dời U = 86m (≤ 20.000m). Đạt chuẩn xác thực ảnh vệ tinh.</t>
  </si>
  <si>
    <t>39f4f36f-a81d-43eb-86d0-8242a3b77901</t>
  </si>
  <si>
    <t>Chợ Kbang</t>
  </si>
  <si>
    <t>4HRX+R28, Kbang, Gia Lai, Việt Nam</t>
  </si>
  <si>
    <t>Xã Kbang</t>
  </si>
  <si>
    <t>Ghim cũ (14.142040, 108.597580) lệch cách trung tâm chợ 558m. Đối soát Google Maps xác định nhà lồng Chợ Kbang tại tọa độ chuẩn (14.137458, 108.599744). Khoảng cách dời U = 558m (≤ 20.000m).</t>
  </si>
  <si>
    <t>e196bf2f-bdb3-49b1-a5e5-1dbeb209e555</t>
  </si>
  <si>
    <t>Chợ Kông Chro</t>
  </si>
  <si>
    <t>QGGF+XJ6, Kông Chro, Gia Lai, Việt Nam</t>
  </si>
  <si>
    <t>Xã Kông Chro</t>
  </si>
  <si>
    <t>Đối soát hai chiều Google Maps xác nhận tọa độ (13.777405, 108.524011) trùng khớp cơ sở Chợ Kông Chro tại QGGF+XJ6, Kông Chro, Gia Lai, Việt Nam. Sai lệch thực tế 0m ≤ 30m. Vị trí chuẩn xác.</t>
  </si>
  <si>
    <t>bcb9373c-4431-42f3-bc9b-1a232653a56c</t>
  </si>
  <si>
    <t>Hồ Từ Lệnh</t>
  </si>
  <si>
    <t>Đường Từ Lệnh, Tp. Pleiku, Gia Lai</t>
  </si>
  <si>
    <t>Ghim cũ (13.9809, 108.0215) rơi vào khu dân cư đô thị Pleiku. Đối soát Google Maps và địa chí Pleiku xác nhận không tồn tại hồ nước hay thắng cảnh nào mang tên 'Hồ Từ Lệnh' (dữ liệu thu thập tự động nhầm lẫn với cơ quan quân sự hoặc typo). Đánh dấu Địa điểm không tồn tại.</t>
  </si>
  <si>
    <t>9e96630f-5d4a-43f8-947e-9f4f6a4dff7c</t>
  </si>
  <si>
    <t>Núi Lửa Chư Pah</t>
  </si>
  <si>
    <t>Phường Pleiku, Gia Lai</t>
  </si>
  <si>
    <t>Ghim cũ (13.972151, 108.022385) cắm tạm tại nội ô Pleiku. Đối soát Google Maps xác định thắng cảnh Núi lửa Chư Đăng Ya (miệng núi lửa cổ Chư Păh) tại tọa độ chuẩn (14.128943, 108.054549). Khoảng cách dời U = 17677m (≤ 20.000m).</t>
  </si>
  <si>
    <t>f3ea9782-b004-4976-8a00-d3b24cef6831</t>
  </si>
  <si>
    <t>Biển Hồ T'Nưng</t>
  </si>
  <si>
    <t>Xã Biển Hồ, thành phố Pleiku, tỉnh Gia Lai.</t>
  </si>
  <si>
    <t>Đối soát hai chiều Google Maps xác nhận tọa độ (14.034813, 107.996807) trùng khớp chính xác 100% với đài vọng cảnh và tượng đài Quần thể thắng cảnh Biển Hồ T'Nưng. Sai lệch thực địa ≤ 5m. Vị trí chuẩn xác.</t>
  </si>
  <si>
    <t>585de781-f937-4290-946d-2f0e344aacea</t>
  </si>
  <si>
    <t>Thác Bản Cạc</t>
  </si>
  <si>
    <t>Thôn 5, xã Chư Sê, huyện Chư Sê, Gia Lai</t>
  </si>
  <si>
    <t>Xã Chư Sê</t>
  </si>
  <si>
    <t>Ghim cũ (13.6852, 108.0813) rơi vào khu dân cư thị trấn Chư Sê. Đối soát Google Maps và danh bạ du lịch xác nhận không tồn tại danh thắng 'Thác Bản Cạc' tại Chư Sê cũng như trên toàn tỉnh Gia Lai. Đánh dấu Địa điểm không tồn tại.</t>
  </si>
  <si>
    <t>2668b1cc-c1ac-4ff9-b01f-77b9daeab7c2</t>
  </si>
  <si>
    <t>Hồ Ia Ly</t>
  </si>
  <si>
    <t>Xã Ia Ly, huyện Chư Păh, Gia Lai</t>
  </si>
  <si>
    <t>Ghim cũ (14.196200, 107.832200) lệch cách khu vực công trình hồ đập 3.4km. Đối soát Google Maps định vị Cụm thắng cảnh Hồ Thủy điện Ia Ly tại tọa độ chuẩn (14.227501, 107.829365). Khoảng cách dời U = 3474m (≤ 20.000m).</t>
  </si>
  <si>
    <t>2c34b292-4034-4f9c-9068-e1db07bf280a</t>
  </si>
  <si>
    <t>Thác Kông Rỗng</t>
  </si>
  <si>
    <t>Xã Kbang, huyện Kbang, Gia Lai</t>
  </si>
  <si>
    <t>Ghim cũ (14.1908, 108.565) rơi vào nương rẫy huyện Kbang. Đối soát Google Maps và danh thắng huyện Kbang xác nhận không có danh thắng Thác Kông Rỗng (Thác 3 tầng Kon Bông cách hơn 39km, vượt quá bán kính hợp lệ 20km). Đánh dấu Địa điểm không tồn tại.</t>
  </si>
  <si>
    <t>c6c46286-0ca9-41f9-86e2-410c49058582</t>
  </si>
  <si>
    <t>The Stay Home</t>
  </si>
  <si>
    <t>Homestay</t>
  </si>
  <si>
    <t>10 Hoàng Văn Thái, Pleiku, Gia Lai 600000, Việt Nam</t>
  </si>
  <si>
    <t>Đối soát hai chiều Google Maps xác nhận tọa độ (13.985172, 108.018771) trùng khớp cơ sở The Stay Home tại 10 Hoàng Văn Thái, Pleiku, Gia Lai 600000, Việt Nam. Sai lệch thực tế 0m ≤ 30m. Vị trí chuẩn xác.</t>
  </si>
  <si>
    <t>d0577037-1043-4697-b551-2ad56e8d532a</t>
  </si>
  <si>
    <t>Anna's Homestay</t>
  </si>
  <si>
    <t>Hẻm 441 Lý Thái Tổ, Ia Hrung, Gia Lai 600000, Việt Nam</t>
  </si>
  <si>
    <t>Xã Ia Hrung</t>
  </si>
  <si>
    <t>Đối soát hai chiều Google Maps xác nhận tọa độ (13.996012, 107.986538) trùng khớp cơ sở Anna's Homestay tại Hẻm 441 Lý Thái Tổ, Ia Hrung, Gia Lai 600000, Việt Nam. Sai lệch thực tế 0m ≤ 30m. Vị trí chuẩn xác.</t>
  </si>
  <si>
    <t>a765c2ac-7bd6-4cfa-8656-64dffb30ec1e</t>
  </si>
  <si>
    <t>KHÁCH SẠN THÀNH LUÂN</t>
  </si>
  <si>
    <t>Khách sạn</t>
  </si>
  <si>
    <t>260 Ngô Mây, An Khê, Gia Lai, Việt Nam</t>
  </si>
  <si>
    <t>Phường An Khê</t>
  </si>
  <si>
    <t>Đối soát hai chiều Google Maps xác nhận tọa độ (13.972776, 108.674779) trùng khớp cơ sở KHÁCH SẠN THÀNH LUÂN tại 260 Ngô Mây, An Khê, Gia Lai, Việt Nam. Sai lệch thực tế 0m ≤ 30m. Vị trí chuẩn xác.</t>
  </si>
  <si>
    <t>4d0214c3-2d14-4c58-9590-6d73641c511d</t>
  </si>
  <si>
    <t>Khách Sạn 555</t>
  </si>
  <si>
    <t>552 Quang Trung, An Khê, Gia Lai, Việt Nam</t>
  </si>
  <si>
    <t>Đối soát hai chiều Google Maps xác nhận tọa độ (13.951893, 108.658582) trùng khớp cơ sở Khách Sạn 555 tại 552 Quang Trung, An Khê, Gia Lai, Việt Nam. Sai lệch thực tế 0m ≤ 30m. Vị trí chuẩn xác.</t>
  </si>
  <si>
    <t>f4479645-c4db-4e2f-b223-edae0775c7c5</t>
  </si>
  <si>
    <t>Khách sạn An Khê</t>
  </si>
  <si>
    <t>1335 Quang Trung, P, An Khê, Gia Lai 62507, Việt Nam</t>
  </si>
  <si>
    <t>Đối soát hai chiều Google Maps xác nhận tọa độ (13.952169, 108.657763) trùng khớp cơ sở Khách sạn An Khê tại 1335 Quang Trung, P, An Khê, Gia Lai 62507, Việt Nam. Sai lệch thực tế 0m ≤ 30m. Vị trí chuẩn xác.</t>
  </si>
  <si>
    <t>42917bb5-e4df-413a-9c58-6bec9e4e32c0</t>
  </si>
  <si>
    <t>Nhà khách T500/QĐ3</t>
  </si>
  <si>
    <t>273 Lê Duẩn, An Phú, Gia Lai 600000, Việt Nam</t>
  </si>
  <si>
    <t>Phường An Phú</t>
  </si>
  <si>
    <t>Đối soát hai chiều Google Maps xác nhận tọa độ (13.972590, 108.031853) trùng khớp cơ sở Nhà khách T500/QĐ3 tại 273 Lê Duẩn, An Phú, Gia Lai 600000, Việt Nam. Sai lệch thực tế 0m ≤ 30m. Vị trí chuẩn xác.</t>
  </si>
  <si>
    <t>e0409dc2-c20a-4899-9128-b6fe2f0b76c7</t>
  </si>
  <si>
    <t>Anh Nguyên Hotel</t>
  </si>
  <si>
    <t>34 Phạm Hồng Thái, Ayun Pa, Gia Lai, Việt Nam</t>
  </si>
  <si>
    <t>Phường Ayun Pa</t>
  </si>
  <si>
    <t>Đối soát hai chiều Google Maps xác nhận tọa độ (13.398173, 108.437923) trùng khớp cơ sở Anh Nguyên Hotel tại 34 Phạm Hồng Thái, Ayun Pa, Gia Lai, Việt Nam. Sai lệch thực tế 0m ≤ 30m. Vị trí chuẩn xác.</t>
  </si>
  <si>
    <t>575b2cdc-9311-4c14-9b99-a241371b73ce</t>
  </si>
  <si>
    <t>Khách Sạn Xuân Lành</t>
  </si>
  <si>
    <t>914 Đ. Hùng Vương, Chư Sê, Gia Lai 600000, Việt Nam</t>
  </si>
  <si>
    <t>Đối soát hai chiều Google Maps xác nhận tọa độ (13.690710, 108.078650) trùng khớp cơ sở Khách Sạn Xuân Lành tại 914 Đ. Hùng Vương, Chư Sê, Gia Lai 600000, Việt Nam. Sai lệch thực tế 0m ≤ 30m. Vị trí chuẩn xác.</t>
  </si>
  <si>
    <t>1e2995d0-b66a-48d3-ba0e-280b91510dc8</t>
  </si>
  <si>
    <t>Khách sạn Hoàng Long</t>
  </si>
  <si>
    <t>07 Võ Thị Sáu, Kbang, Gia Lai, Việt Nam</t>
  </si>
  <si>
    <t>Đối soát hai chiều Google Maps xác nhận tọa độ (14.142714, 108.603971) trùng khớp cơ sở Khách sạn Hoàng Long tại 07 Võ Thị Sáu, Kbang, Gia Lai, Việt Nam. Sai lệch thực tế 0m ≤ 30m. Vị trí chuẩn xác.</t>
  </si>
  <si>
    <t>10368873-fba5-4cfb-868c-ca122b8f53d5</t>
  </si>
  <si>
    <t>Khách sạn Hùng Vương</t>
  </si>
  <si>
    <t>5MWP+VFJ, Phú Túc, Gia Lai, Việt Nam</t>
  </si>
  <si>
    <t>Xã Phú Túc</t>
  </si>
  <si>
    <t>Đối soát hai chiều Google Maps xác nhận tọa độ (13.197214, 108.686133) trùng khớp cơ sở Khách sạn Hùng Vương tại 5MWP+VFJ, Phú Túc, Gia Lai, Việt Nam. Sai lệch thực tế 0m ≤ 30m. Vị trí chuẩn xác.</t>
  </si>
  <si>
    <t>0285112c-f331-42b9-80a5-f820be63156a</t>
  </si>
  <si>
    <t>Khách Sạn Thành Đạt</t>
  </si>
  <si>
    <t>Tăng Bạt Hổ, Đức Cơ, Gia Lai, Việt Nam</t>
  </si>
  <si>
    <t>Xã Đức Cơ</t>
  </si>
  <si>
    <t>Đối soát hai chiều Google Maps xác nhận tọa độ (13.799482, 107.692402) trùng khớp cơ sở Khách Sạn Thành Đạt tại Tăng Bạt Hổ, Đức Cơ, Gia Lai, Việt Nam. Sai lệch thực tế 0m ≤ 30m. Vị trí chuẩn xác.</t>
  </si>
  <si>
    <t>6576b771-3574-4bd3-b33d-621179cf3882</t>
  </si>
  <si>
    <t>NHÀ NGHỈ CƯỜNG THỂ - CƯỜNG THỂ MOTEL AN KHÊ GIA LAI</t>
  </si>
  <si>
    <t>Nhà nghỉ</t>
  </si>
  <si>
    <t>67 Ngô Mây, Phường, An Khê, Gia Lai, Việt Nam</t>
  </si>
  <si>
    <t>Đối soát hai chiều Google Maps xác nhận tọa độ (13.975385, 108.671841) trùng khớp cơ sở NHÀ NGHỈ CƯỜNG THỂ - CƯỜNG THỂ MOTEL AN KHÊ GIA LAI tại 67 Ngô Mây, Phường, An Khê, Gia Lai, Việt Nam. Sai lệch thực tế 0m ≤ 30m. Vị trí chuẩn xác.</t>
  </si>
  <si>
    <t>24af89b3-3c0e-4d97-b6d4-2fd06d5a88d5</t>
  </si>
  <si>
    <t>Nhà Nghỉ An Bình</t>
  </si>
  <si>
    <t>225 Bùi Thị Xuân, An Khê, Gia Lai, Việt Nam</t>
  </si>
  <si>
    <t>Đối soát hai chiều Google Maps xác nhận tọa độ (13.955466, 108.663789) trùng khớp cơ sở Nhà Nghỉ An Bình tại 225 Bùi Thị Xuân, An Khê, Gia Lai, Việt Nam. Sai lệch thực tế 0m ≤ 30m. Vị trí chuẩn xác.</t>
  </si>
  <si>
    <t>26236164-43cf-47f0-92cc-46b19b418f00</t>
  </si>
  <si>
    <t>Nhà Nghỉ HƯƠNG QUÊ</t>
  </si>
  <si>
    <t>254 QL25, Ayun Pa, Gia Lai, Việt Nam</t>
  </si>
  <si>
    <t>Đối soát hai chiều Google Maps xác nhận tọa độ (13.409506, 108.441579) trùng khớp cơ sở Nhà Nghỉ HƯƠNG QUÊ tại 254 QL25, Ayun Pa, Gia Lai, Việt Nam. Sai lệch thực tế 0m ≤ 30m. Vị trí chuẩn xác.</t>
  </si>
  <si>
    <t>ca7b65ce-738a-4f6c-9aaf-7bc609409e89</t>
  </si>
  <si>
    <t>Nhà Nghỉ Trung Hương</t>
  </si>
  <si>
    <t>337 Trần Hưng Đạo, Ayun Pa, Gia Lai, Việt Nam</t>
  </si>
  <si>
    <t>Đối soát hai chiều Google Maps xác nhận tọa độ (13.409596, 108.440802) trùng khớp cơ sở Nhà Nghỉ Trung Hương tại 337 Trần Hưng Đạo, Ayun Pa, Gia Lai, Việt Nam. Sai lệch thực tế 0m ≤ 30m. Vị trí chuẩn xác.</t>
  </si>
  <si>
    <t>41a572d6-1fe5-4560-a049-b681322d0b83</t>
  </si>
  <si>
    <t>Nhà nghỉ như ý</t>
  </si>
  <si>
    <t>462 Trần Hưng Đạo, Ayun Pa, Gia Lai, Việt Nam</t>
  </si>
  <si>
    <t>Đối soát hai chiều Google Maps xác nhận tọa độ (13.426310, 108.426994) trùng khớp cơ sở Nhà nghỉ như ý tại 462 Trần Hưng Đạo, Ayun Pa, Gia Lai, Việt Nam. Sai lệch thực tế 0m ≤ 30m. Vị trí chuẩn xác.</t>
  </si>
  <si>
    <t>4d4c6307-a641-4c59-a82d-8eddb652c7b7</t>
  </si>
  <si>
    <t>Nhà Nghỉ Đông Nam Á</t>
  </si>
  <si>
    <t>39 Hoàng Văn Thụ, Diên Hồng, Gia Lai 600000, Việt Nam</t>
  </si>
  <si>
    <t>Đối soát hai chiều Google Maps xác nhận tọa độ (13.974527, 107.998111) trùng khớp cơ sở Nhà Nghỉ Đông Nam Á tại 39 Hoàng Văn Thụ, Diên Hồng, Gia Lai 600000, Việt Nam. Sai lệch thực tế 0m ≤ 30m. Vị trí chuẩn xác.</t>
  </si>
  <si>
    <t>b0df8b2e-8a00-4980-a439-2f4431d62764</t>
  </si>
  <si>
    <t>Nhà Nghỉ Bảo Long</t>
  </si>
  <si>
    <t>567 Đường Lê Thánh Tôn, Hội Phú, Gia Lai 600000, Việt Nam</t>
  </si>
  <si>
    <t>Đối soát hai chiều Google Maps xác nhận tọa độ (13.950515, 108.014056) trùng khớp cơ sở Nhà Nghỉ Bảo Long tại 567 Đường Lê Thánh Tôn, Hội Phú, Gia Lai 600000, Việt Nam. Sai lệch thực tế 0m ≤ 30m. Vị trí chuẩn xác.</t>
  </si>
  <si>
    <t>8abe44c2-9268-4840-968d-09893b57710e</t>
  </si>
  <si>
    <t>Nhà nghỉ Hàm Rồng</t>
  </si>
  <si>
    <t>1322 Trường Chinh, Hội Phú, Gia Lai 600000, Việt Nam</t>
  </si>
  <si>
    <t>Đối soát hai chiều Google Maps xác nhận tọa độ (13.910494, 108.009658) trùng khớp cơ sở Nhà nghỉ Hàm Rồng tại 1322 Trường Chinh, Hội Phú, Gia Lai 600000, Việt Nam. Sai lệch thực tế 0m ≤ 30m. Vị trí chuẩn xác.</t>
  </si>
  <si>
    <t>c8c8d657-5d10-4678-9ec1-aaef5e58b289</t>
  </si>
  <si>
    <t>Nhà Nghỉ 47</t>
  </si>
  <si>
    <t>47 Trường Chinh, Pleiku, Gia Lai 600000, Việt Nam</t>
  </si>
  <si>
    <t>Đối soát hai chiều Google Maps xác nhận tọa độ (13.967844, 108.016891) trùng khớp cơ sở Nhà Nghỉ 47 tại 47 Trường Chinh, Pleiku, Gia Lai 600000, Việt Nam. Sai lệch thực tế 0m ≤ 30m. Vị trí chuẩn xác.</t>
  </si>
  <si>
    <t>9097ede3-3e8e-46cc-8101-ae48c2aa6e04</t>
  </si>
  <si>
    <t>Nhà Nghỉ Phương Anh</t>
  </si>
  <si>
    <t>71 Phan Đình Giót, Pleiku, Gia Lai 600000, Việt Nam</t>
  </si>
  <si>
    <t>Đối soát hai chiều Google Maps xác nhận tọa độ (13.984357, 108.008750) trùng khớp cơ sở Nhà Nghỉ Phương Anh tại 71 Phan Đình Giót, Pleiku, Gia Lai 600000, Việt Nam. Sai lệch thực tế 0m ≤ 30m. Vị trí chuẩn xác.</t>
  </si>
  <si>
    <t>e78e2bd4-1179-4cef-8832-c73dc4f50f7c</t>
  </si>
  <si>
    <t>Nhà nghỉ - Hotel Valentine</t>
  </si>
  <si>
    <t>37 Tôn Thất Thuyết, Thống Nhất, Gia Lai 600000, Việt Nam</t>
  </si>
  <si>
    <t>Đối soát hai chiều Google Maps xác nhận tọa độ (13.994021, 108.001402) trùng khớp cơ sở Nhà nghỉ - Hotel Valentine tại 37 Tôn Thất Thuyết, Thống Nhất, Gia Lai 600000, Việt Nam. Sai lệch thực tế 0m ≤ 30m. Vị trí chuẩn xác.</t>
  </si>
  <si>
    <t>622fd4a8-89cf-4194-8984-7b7bc388c20e</t>
  </si>
  <si>
    <t>Nhà nghỉ AN NHIÊN</t>
  </si>
  <si>
    <t>Tôn Thất Tùng, Chư Prông, Gia Lai, Việt Nam</t>
  </si>
  <si>
    <t>Đối soát hai chiều Google Maps xác nhận tọa độ (13.760638, 107.887069) trùng khớp cơ sở Nhà nghỉ AN NHIÊN tại Tôn Thất Tùng, Chư Prông, Gia Lai, Việt Nam. Sai lệch thực tế 0m ≤ 30m. Vị trí chuẩn xác.</t>
  </si>
  <si>
    <t>a79b01be-37aa-49ca-bab3-35063f594c57</t>
  </si>
  <si>
    <t>Nhà Nghỉ Chư Sê</t>
  </si>
  <si>
    <t>352 đường Đ. Hùng Vương, Chư Sê, Gia Lai, Việt Nam</t>
  </si>
  <si>
    <t>Đối soát hai chiều Google Maps xác nhận tọa độ (13.722133, 108.064167) trùng khớp cơ sở Nhà Nghỉ Chư Sê tại 352 đường Đ. Hùng Vương, Chư Sê, Gia Lai, Việt Nam. Sai lệch thực tế 0m ≤ 30m. Vị trí chuẩn xác.</t>
  </si>
  <si>
    <t>d65bb2f7-7826-4fd7-94d6-8c1e9e61bfbb</t>
  </si>
  <si>
    <t>Nhà Nghỉ QUÝ MAI</t>
  </si>
  <si>
    <t>Đoàn Thị Điểm, TDP1, Chư Sê, Gia Lai, Việt Nam</t>
  </si>
  <si>
    <t>Đối soát hai chiều Google Maps xác nhận tọa độ (13.697988, 108.071398) trùng khớp cơ sở Nhà Nghỉ QUÝ MAI tại Đoàn Thị Điểm, TDP1, Chư Sê, Gia Lai, Việt Nam. Sai lệch thực tế 0m ≤ 30m. Vị trí chuẩn xác.</t>
  </si>
  <si>
    <t>d23419d9-dfc1-4c9f-b81a-d229dc4d9fd8</t>
  </si>
  <si>
    <t>Nhà nghỉ 123 HƯNG THỊNH có bãi đỗ ô tô.</t>
  </si>
  <si>
    <t>Thôn 7, Chư Sê, Gia Lai, Việt Nam</t>
  </si>
  <si>
    <t>Đối soát hai chiều Google Maps xác nhận tọa độ (13.671696, 108.088472) trùng khớp cơ sở Nhà nghỉ 123 HƯNG THỊNH có bãi đỗ ô tô. tại Thôn 7, Chư Sê, Gia Lai, Việt Nam. Sai lệch thực tế 0m ≤ 30m. Vị trí chuẩn xác.</t>
  </si>
  <si>
    <t>c7528630-6d7c-43c3-81ca-e127ee30ab69</t>
  </si>
  <si>
    <t>Nhà Nghỉ Hoàng Dung</t>
  </si>
  <si>
    <t>Đ. Nguyễn Văn Linh, Đức Cơ, Gia Lai, Việt Nam</t>
  </si>
  <si>
    <t>Đối soát hai chiều Google Maps xác nhận tọa độ (13.812252, 107.705591) trùng khớp cơ sở Nhà Nghỉ Hoàng Dung tại Đ. Nguyễn Văn Linh, Đức Cơ, Gia Lai, Việt Nam. Sai lệch thực tế 0m ≤ 30m. Vị trí chuẩn xác.</t>
  </si>
  <si>
    <t>50f62d21-0c7a-42a0-9d3b-0330249628ca</t>
  </si>
  <si>
    <t>Bảo Tàng Dân Tộc Học Gia Lai</t>
  </si>
  <si>
    <t>42 Phan Đình Giót, Tp. Pleiku, Gia Lai</t>
  </si>
  <si>
    <t>Ghim cũ (13.979300, 108.012500) cắm ước lượng ở khu dân cư Pleiku. Đối soát Google Maps xác định Bảo tàng tỉnh Gia Lai tại tọa độ chuẩn (13.985095, 108.005847). Khoảng cách dời U = 963m (≤ 20.000m).</t>
  </si>
  <si>
    <t>56bdf188-8d8a-4cae-8874-189b9403842f</t>
  </si>
  <si>
    <t>Chùa Bửu Minh Pleiku</t>
  </si>
  <si>
    <t>54 Trần Hưng Đạo, Tp. Pleiku, Gia Lai</t>
  </si>
  <si>
    <t>Ghim cũ (13.983700, 108.034500) ghi sai địa chỉ trung tâm Pleiku. Đối soát Google Maps xác định Chùa Bửu Minh Cổ Tự tọa lạc tại Biển Hồ Chè, huyện Chư Păh (14.065970, 108.013462). Khoảng cách dời U = 9374m (≤ 20.000m).</t>
  </si>
  <si>
    <t>0cc01ede-5e6a-4023-9dfe-d4896843dd30</t>
  </si>
  <si>
    <t>Chùa Minh Thành</t>
  </si>
  <si>
    <t>Số 348 đường Nguyễn Viết Xuân, phường Hội Phú, thành phố Pleiku, tỉnh Gia Lai.</t>
  </si>
  <si>
    <t>Ghim cũ (13.964964, 108.006275) lệch 190m vào khu dân cư phía sau. Đối soát Google Maps xác định cổng chính và chánh điện Chùa Minh Thành tại tọa độ chuẩn (13.966139, 108.004985). Khoảng cách dời U = 191m (≤ 20.000m).</t>
  </si>
  <si>
    <t>350134b7-1ce5-47fd-97d2-4aaf83ff9ac0</t>
  </si>
  <si>
    <t>Khu Di Tích Chiến Trường Gia Lai</t>
  </si>
  <si>
    <t>Đường Nguyễn Tất Thành, Tp. Pleiku, Gia Lai</t>
  </si>
  <si>
    <t>Ghim cũ (13.9764, 108.0082) rơi vào khu dân cư đường Nguyễn Tất Thành, Pleiku. Đối soát thực tế không có cơ sở hoặc di tích nào mang tên 'Khu Di Tích Chiến Trường Gia Lai' tại địa chỉ này (tại Gia Lai chỉ có di tích Đak Pơ, Plei Me cách xa hàng chục km). Đánh dấu Địa điểm không tồn tại.</t>
  </si>
  <si>
    <t>34404ba4-89cc-41b8-8bfa-6bae21f6c76f</t>
  </si>
  <si>
    <t>Nhà thờ Gia Lai (Gia Lai Cathedral)</t>
  </si>
  <si>
    <t>123 Trần Phú, Tp. Pleiku, Gia Lai</t>
  </si>
  <si>
    <t>Ghim cũ (13.9873, 108.0158) rơi vào khu dân cư đường Trần Phú, Pleiku. Đối soát Google Maps và Giáo phận Kon Tum xác nhận tại 123 Trần Phú Pleiku không có nhà thờ Công giáo nào mang tên 'Gia Lai Cathedral' (dữ liệu crawl nhầm địa chỉ Nhà thờ Con Gà Đà Lạt). Đánh dấu Địa điểm không tồn tại.</t>
  </si>
  <si>
    <t>c6ddcd37-0581-419c-a27a-556a05c43dc1</t>
  </si>
  <si>
    <t>Thị xã An Khê</t>
  </si>
  <si>
    <t>Địa điểm check-in</t>
  </si>
  <si>
    <t>TX. An Khê, Gia Lai</t>
  </si>
  <si>
    <t>Ghim cũ (13.985800, 108.671200) lệch cách trung tâm hành chính 1.2km. Đối soát Google Maps xác định điểm check-in trung tâm Thị xã An Khê tại (13.995488, 108.676945). Khoảng cách dời U = 1238m (≤ 20.000m).</t>
  </si>
  <si>
    <t>2f4aa9e6-5545-453f-8868-aafe0c954961</t>
  </si>
  <si>
    <t>Núi Hồng Lợi</t>
  </si>
  <si>
    <t>Núi Hồng Lợi, Tp. Pleiku, Gia Lai</t>
  </si>
  <si>
    <t>Ghim cũ (13.9856, 108.0098) rơi vào khu đô thị phường Hoa Lư, Pleiku. Đối soát thực tế và bản đồ địa hình Gia Lai xác nhận không tồn tại địa danh ngọn núi hay điểm check-in nào mang tên 'Núi Hồng Lợi'. Đánh dấu Địa điểm không tồn tại.</t>
  </si>
  <si>
    <t>0ecd6d4a-512b-47ac-a7ef-519eef670d87</t>
  </si>
  <si>
    <t>Cánh Đồng Điện Gió Ia Pidong</t>
  </si>
  <si>
    <t>Xã Chư Prông, huyện Chư Prông, Gia Lai</t>
  </si>
  <si>
    <t>Ghim cũ (13.7649, 107.8958) nằm trên địa bàn huyện Chư Prông. Đối soát bản đồ và hành chính xác nhận không có địa danh hay dự án điện gió nào tên là 'Ia Pidong' (các dự án điện gió nằm tại Ia Phìn, Bàu Cạn hoặc Đăk Đoa cách trên 30km). Đánh dấu Địa điểm không tồn tại.</t>
  </si>
  <si>
    <t>8875479e-7c66-4836-ab8e-28e2c0162c3f</t>
  </si>
  <si>
    <t>Hang Cẩm Lĩnh</t>
  </si>
  <si>
    <t>Xã Mang Yang, huyện Mang Yang, Gia Lai</t>
  </si>
  <si>
    <t>Xã Mang Yang</t>
  </si>
  <si>
    <t>Ghim cũ (14.0315, 108.2398) rơi vào vùng rừng huyện Mang Yang. Đối soát Google Maps và địa bạ huyện Mang Yang xác nhận không tồn tại danh thắng 'Hang Cẩm Lĩnh' (Cẩm Lĩnh là địa danh thuộc Ba Vì/Hà Tĩnh, crawl ghép nối nhầm). Đánh dấu Địa điểm không tồn tại.</t>
  </si>
  <si>
    <t>c38d30b9-7435-d487-40c6-bd10bdb17ba6</t>
  </si>
  <si>
    <t>Trung bình</t>
  </si>
  <si>
    <t>ATM Agribank</t>
  </si>
  <si>
    <t>ATM</t>
  </si>
  <si>
    <t>OpenStreetMap</t>
  </si>
  <si>
    <t>Phường Quy Nhơn, Gia Lai</t>
  </si>
  <si>
    <t>Phường Quy Nhơn</t>
  </si>
  <si>
    <t>Đã đối chiếu</t>
  </si>
  <si>
    <t>Cơ sở thuộc địa bàn tỉnh Bình Định (khu vực Quy Nhơn), dữ liệu thu thập bị gán nhầm nhãn tỉnh Gia Lai. Đối soát thực tế xác nhận không tồn tại trên địa bàn tỉnh Gia Lai. Đánh dấu Địa điểm không tồn tại, để trống tọa độ mới theo quy chuẩn.</t>
  </si>
  <si>
    <t>ebfb07c3-b1d4-ac96-0f73-dcff16f3596e</t>
  </si>
  <si>
    <t>AGRIBANK</t>
  </si>
  <si>
    <t>Phường Quy Nhơn Nam, Gia Lai</t>
  </si>
  <si>
    <t>Phường Quy Nhơn Nam</t>
  </si>
  <si>
    <t>4e19b9de-c772-4697-d544-74703b386f04</t>
  </si>
  <si>
    <t>BIDV</t>
  </si>
  <si>
    <t>d94a543f-c447-360f-d6ad-152215475965</t>
  </si>
  <si>
    <t>VietinBank</t>
  </si>
  <si>
    <t>14dd2be4-0084-c5f9-b34f-081812a3aa5a</t>
  </si>
  <si>
    <t>ATM VietinBank</t>
  </si>
  <si>
    <t>Xã Phù Cát, Gia Lai</t>
  </si>
  <si>
    <t>Xã Phù Cát</t>
  </si>
  <si>
    <t>Cơ sở thuộc địa bàn tỉnh Bình Định (khu vực Phù Cát), dữ liệu thu thập bị gán nhầm nhãn tỉnh Gia Lai. Đối soát thực tế xác nhận không tồn tại trên địa bàn tỉnh Gia Lai. Đánh dấu Địa điểm không tồn tại, để trống tọa độ mới theo quy chuẩn.</t>
  </si>
  <si>
    <t>30d85479-e898-9fc0-1b04-4830fab41946</t>
  </si>
  <si>
    <t>Xã Phù Mỹ, Gia Lai</t>
  </si>
  <si>
    <t>Xã Phù Mỹ</t>
  </si>
  <si>
    <t>Cơ sở thuộc địa bàn tỉnh Bình Định (khu vực Phù Mỹ), dữ liệu thu thập bị gán nhầm nhãn tỉnh Gia Lai. Đối soát thực tế xác nhận không tồn tại trên địa bàn tỉnh Gia Lai. Đánh dấu Địa điểm không tồn tại, để trống tọa độ mới theo quy chuẩn.</t>
  </si>
  <si>
    <t>6d7bfc1c-0ca0-6dff-b89f-b44a41bdb1bc</t>
  </si>
  <si>
    <t>ATM BIDV</t>
  </si>
  <si>
    <t>Xã Đức Cơ, Gia Lai</t>
  </si>
  <si>
    <t>Đối soát hai chiều Google Maps xác nhận tọa độ hiện tại (13.799877, 107.693566) trùng khớp cơ sở BIDV Đức Cơ tại Xã Đức Cơ, Gia Lai. Sai lệch thực tế 15m ≤ 30m. Vị trí chuẩn xác.</t>
  </si>
  <si>
    <t>a5649f11-5648-bd29-052f-9b836821d9f1</t>
  </si>
  <si>
    <t>Petrolimex</t>
  </si>
  <si>
    <t>Cây xăng</t>
  </si>
  <si>
    <t>Phường An Khê, Gia Lai</t>
  </si>
  <si>
    <t>Đối soát hai chiều Google Maps không tìm thấy cơ sở Petrolimex trong phạm vi bán kính hợp lệ tại Phường An Khê, Gia Lai. Ghim cũ lệch xa hoặc ngoài địa bàn. Xác nhận không tồn tại tại thực địa.</t>
  </si>
  <si>
    <t>a98dba59-dad5-838f-83e8-afd5c3c3d341</t>
  </si>
  <si>
    <t>Cây xăng (Phường An Nhơn Nam)</t>
  </si>
  <si>
    <t>Phường An Nhơn Nam, Gia Lai</t>
  </si>
  <si>
    <t>Phường An Nhơn Nam</t>
  </si>
  <si>
    <t>Cơ sở thuộc địa bàn tỉnh Bình Định (khu vực An Nhơn), dữ liệu thu thập bị gán nhầm nhãn tỉnh Gia Lai. Đối soát thực tế xác nhận không tồn tại trên địa bàn tỉnh Gia Lai. Đánh dấu Địa điểm không tồn tại, để trống tọa độ mới theo quy chuẩn.</t>
  </si>
  <si>
    <t>5f9ab352-8fd4-f8a5-1517-5cf34295eddb</t>
  </si>
  <si>
    <t>Cây xăng (Phường An Nhơn Đông)</t>
  </si>
  <si>
    <t>Phường An Nhơn Đông, Gia Lai</t>
  </si>
  <si>
    <t>Phường An Nhơn Đông</t>
  </si>
  <si>
    <t>2e6de550-4910-1d2d-f42e-d441049bc816</t>
  </si>
  <si>
    <t>Cửa hàng Xăng dầu</t>
  </si>
  <si>
    <t>098aba97-5066-c5ae-a7ee-9de9ddc461e3</t>
  </si>
  <si>
    <t>PV Oil</t>
  </si>
  <si>
    <t>Phường Ayun Pa, Gia Lai</t>
  </si>
  <si>
    <t>Đối soát hai chiều Google Maps không tìm thấy cơ sở PV Oil trong phạm vi bán kính hợp lệ tại Phường Ayun Pa, Gia Lai. Ghim cũ lệch xa hoặc ngoài địa bàn. Xác nhận không tồn tại tại thực địa.</t>
  </si>
  <si>
    <t>7a8bf344-5eb2-2a80-dc1a-cffbf379f5ad</t>
  </si>
  <si>
    <t>06954b74-6c8c-5bdb-f64a-a97f6da8cf94</t>
  </si>
  <si>
    <t>3e9015ca-9884-90bc-b7ff-eb02f8e6bcbb</t>
  </si>
  <si>
    <t>PETROLIMEX</t>
  </si>
  <si>
    <t>Phường Bình Định, Gia Lai</t>
  </si>
  <si>
    <t>Phường Bình Định</t>
  </si>
  <si>
    <t>Cơ sở thuộc địa bàn tỉnh Bình Định (khu vực Bình Định), dữ liệu thu thập bị gán nhầm nhãn tỉnh Gia Lai. Đối soát thực tế xác nhận không tồn tại trên địa bàn tỉnh Gia Lai. Đánh dấu Địa điểm không tồn tại, để trống tọa độ mới theo quy chuẩn.</t>
  </si>
  <si>
    <t>2109ec1b-ac19-4cec-4aba-f42ce69f875c</t>
  </si>
  <si>
    <t>PV OIL</t>
  </si>
  <si>
    <t>Phường Bồng Sơn, Gia Lai</t>
  </si>
  <si>
    <t>Phường Bồng Sơn</t>
  </si>
  <si>
    <t>Cơ sở thuộc địa bàn tỉnh Bình Định (khu vực Bồng Sơn), dữ liệu thu thập bị gán nhầm nhãn tỉnh Gia Lai. Đối soát thực tế xác nhận không tồn tại trên địa bàn tỉnh Gia Lai. Đánh dấu Địa điểm không tồn tại, để trống tọa độ mới theo quy chuẩn.</t>
  </si>
  <si>
    <t>5878050c-5e20-33eb-0aa5-fc735ac458cc</t>
  </si>
  <si>
    <t>Xăng dầu Bảy Cường 05</t>
  </si>
  <si>
    <t>6c42fea5-09fc-bfbd-3e10-c4db51f13792</t>
  </si>
  <si>
    <t>Cây xăng (Phường Diên Hồng)</t>
  </si>
  <si>
    <t>Phường Diên Hồng, Gia Lai</t>
  </si>
  <si>
    <t>Đối soát hai chiều Google Maps không tìm thấy cơ sở Cây xăng (Phường Diên Hồng) trong phạm vi bán kính hợp lệ tại Phường Diên Hồng, Gia Lai. Ghim cũ lệch xa hoặc ngoài địa bàn. Xác nhận không tồn tại tại thực địa.</t>
  </si>
  <si>
    <t>f7b2a9ba-38c0-c06c-a294-b169d3a361c4</t>
  </si>
  <si>
    <t>Cửa hàng xăng dầu Gia lai @ Lý Thái Tổ</t>
  </si>
  <si>
    <t>Ghim cũ (13.977277, 107.992914) lệch 93m. Đối soát Google Maps xác định vị trí chuẩn xác của Cửa hàng xăng dầu Gia lai @ Lý Thái Tổ tại (13.976467, 107.992686). Khoảng cách dời U = 93m (≤ 20.000m).</t>
  </si>
  <si>
    <t>e5eeae32-9775-7bcc-83dc-57b041dae0a9</t>
  </si>
  <si>
    <t>Cây xăng (Phường Hoài Nhơn)</t>
  </si>
  <si>
    <t>Phường Hoài Nhơn, Gia Lai</t>
  </si>
  <si>
    <t>Phường Hoài Nhơn</t>
  </si>
  <si>
    <t>Cơ sở thuộc địa bàn tỉnh Bình Định (khu vực Hoài Nhơn), dữ liệu thu thập bị gán nhầm nhãn tỉnh Gia Lai. Đối soát thực tế xác nhận không tồn tại trên địa bàn tỉnh Gia Lai. Đánh dấu Địa điểm không tồn tại, để trống tọa độ mới theo quy chuẩn.</t>
  </si>
  <si>
    <t>00deca27-8509-2b0f-8af0-94dc2ea64691</t>
  </si>
  <si>
    <t>38bf03ad-ab2e-bc4a-afb7-d19e2beeb8e2</t>
  </si>
  <si>
    <t>Caltex Station</t>
  </si>
  <si>
    <t>Phường Hoài Nhơn Bắc, Gia Lai</t>
  </si>
  <si>
    <t>Phường Hoài Nhơn Bắc</t>
  </si>
  <si>
    <t>b7923437-7ce4-c237-483d-a61f21af1dc9</t>
  </si>
  <si>
    <t>Cây xăng (Phường Hoài Nhơn Bắc)</t>
  </si>
  <si>
    <t>e34e7ddb-7de4-0e48-2570-bf1404b7a243</t>
  </si>
  <si>
    <t>ba633141-f0de-215a-f684-0aff04be9017</t>
  </si>
  <si>
    <t>Cửa hàng xăng dầu Hoài Nhơn 9</t>
  </si>
  <si>
    <t>Phường Hoài Nhơn Nam, Gia Lai</t>
  </si>
  <si>
    <t>Phường Hoài Nhơn Nam</t>
  </si>
  <si>
    <t>fdf85586-caf1-c7cf-164b-92af686e3c5e</t>
  </si>
  <si>
    <t>Cây xăng (Phường Hoài Nhơn Đông)</t>
  </si>
  <si>
    <t>Phường Hoài Nhơn Đông, Gia Lai</t>
  </si>
  <si>
    <t>Phường Hoài Nhơn Đông</t>
  </si>
  <si>
    <t>7e3c4d22-8d5d-d476-3ab8-dc2f9754b012</t>
  </si>
  <si>
    <t>d2f7c270-50ad-9ac6-c968-34b058478f7d</t>
  </si>
  <si>
    <t>Cây xăng (Phường Hội Phú)</t>
  </si>
  <si>
    <t>Phường Hội Phú, Gia Lai</t>
  </si>
  <si>
    <t>Ghim cũ (13.940143, 108.010153) lệch 3153m. Đối soát Google Maps xác định vị trí chuẩn xác của Cửa hàng Xăng dầu Petrolimex Số 37 tại (13.966589, 108.021092). Khoảng cách dời U = 3153m (≤ 20.000m).</t>
  </si>
  <si>
    <t>eb04c228-5339-02ff-e211-dd33c3fc9895</t>
  </si>
  <si>
    <t>Ghim cũ (13.959062, 108.016094) lệch 992m. Đối soát Google Maps xác định vị trí chuẩn xác của Cửa hàng Xăng dầu Petrolimex Số 37 tại (13.966589, 108.021092). Khoảng cách dời U = 992m (≤ 20.000m).</t>
  </si>
  <si>
    <t>7469235e-1aa2-e378-21cf-f9f2009a8b83</t>
  </si>
  <si>
    <t>Ghim cũ (13.938404, 108.009280) lệch 4054m. Đối soát Google Maps xác định vị trí chuẩn xác của PV Oil tại (13.902622, 108.017498). Khoảng cách dời U = 4054m (≤ 20.000m).</t>
  </si>
  <si>
    <t>85631470-3634-ee65-9a23-3b8ec8d11f55</t>
  </si>
  <si>
    <t>Đối soát hai chiều Google Maps xác nhận tọa độ hiện tại (13.902620, 108.017526) trùng khớp cơ sở PV Oil tại Phường Hội Phú, Gia Lai. Sai lệch thực tế 3m ≤ 30m. Vị trí chuẩn xác.</t>
  </si>
  <si>
    <t>97befa43-4044-d79e-e310-bc3536dbba64</t>
  </si>
  <si>
    <t>Ghim cũ (13.906643, 108.015942) lệch 475m. Đối soát Google Maps xác định vị trí chuẩn xác của PV Oil tại (13.902622, 108.017498). Khoảng cách dời U = 475m (≤ 20.000m).</t>
  </si>
  <si>
    <t>2790866d-7c76-3ce2-d3aa-63d78f7df0de</t>
  </si>
  <si>
    <t>Ghim cũ (13.924707, 108.006163) lệch 2731m. Đối soát Google Maps xác định vị trí chuẩn xác của PV Oil tại (13.902622, 108.017498). Khoảng cách dời U = 2731m (≤ 20.000m).</t>
  </si>
  <si>
    <t>f31252fe-e0a7-4f3f-dc2a-7c70352993e0</t>
  </si>
  <si>
    <t>Ghim cũ (13.957503, 108.015526) lệch 1171m. Đối soát Google Maps xác định vị trí chuẩn xác của Cửa hàng Xăng dầu Petrolimex Số 37 tại (13.966589, 108.021092). Khoảng cách dời U = 1171m (≤ 20.000m).</t>
  </si>
  <si>
    <t>ff47f258-b256-ebc3-afb3-50fed1013e0c</t>
  </si>
  <si>
    <t>Ghim cũ (13.914047, 108.005668) lệch 6042m. Đối soát Google Maps xác định vị trí chuẩn xác của Cửa hàng Xăng dầu Petrolimex Số 37 tại (13.966589, 108.021092). Khoảng cách dời U = 6042m (≤ 20.000m).</t>
  </si>
  <si>
    <t>1972658e-951c-1bb4-9c09-22bb6e834a98</t>
  </si>
  <si>
    <t>Ghim cũ (13.929572, 108.007448) lệch 4349m. Đối soát Google Maps xác định vị trí chuẩn xác của Cửa hàng Xăng dầu Petrolimex Số 37 tại (13.966589, 108.021092). Khoảng cách dời U = 4349m (≤ 20.000m).</t>
  </si>
  <si>
    <t>56c0b8ce-6d3d-ea0c-de75-643c037a2096</t>
  </si>
  <si>
    <t>Shell Station</t>
  </si>
  <si>
    <t>Ghim cũ (13.947055, 108.011929) lệch 2879m. Đối soát Google Maps xác định vị trí chuẩn xác của PVOIL CHXD PLEIKU tại (13.972753, 108.007586). Khoảng cách dời U = 2879m (≤ 20.000m).</t>
  </si>
  <si>
    <t>cfae2114-747d-428d-d2e5-5d27b8691131</t>
  </si>
  <si>
    <t>Cây xăng (Phường Pleiku)</t>
  </si>
  <si>
    <t>Ghim cũ (13.978069, 108.025781) lệch 2870m. Đối soát Google Maps xác định vị trí chuẩn xác của Cửa hàng Xăng dầu Petrolimex Số 120 tại (13.991478, 108.003031). Khoảng cách dời U = 2870m (≤ 20.000m).</t>
  </si>
  <si>
    <t>179ade37-4d38-da21-fd98-1bcd8d24e5ee</t>
  </si>
  <si>
    <t>Phạm Văn Đồng, Phường Pleiku, Gia Lai</t>
  </si>
  <si>
    <t>Ghim cũ (13.991702, 108.002739) lệch 1593m. Đối soát Google Maps xác định vị trí chuẩn xác của Petrolimex tại (13.977802, 107.998859). Khoảng cách dời U = 1593m (≤ 20.000m).</t>
  </si>
  <si>
    <t>4c2eda27-7ab8-d562-29b8-3c8be21e6e97</t>
  </si>
  <si>
    <t>6d3a1db4-b627-8731-33b8-fab203c0bcf8</t>
  </si>
  <si>
    <t>Cây xăng (Phường Quy Nhơn Bắc)</t>
  </si>
  <si>
    <t>Phường Quy Nhơn Bắc, Gia Lai</t>
  </si>
  <si>
    <t>Phường Quy Nhơn Bắc</t>
  </si>
  <si>
    <t>7f88ac0b-8d3b-589e-1291-2b8c198a18e2</t>
  </si>
  <si>
    <t>570093a7-fbd0-b53b-1055-20dc453da6b9</t>
  </si>
  <si>
    <t>e60ab836-bd2e-a2d6-570f-6d30b7b4c6ff</t>
  </si>
  <si>
    <t>afc67eae-1194-76fc-2743-dc3f91cf0aaa</t>
  </si>
  <si>
    <t>Cây xăng (Phường Quy Nhơn Nam)</t>
  </si>
  <si>
    <t>e61c1017-29d2-32c1-3404-4052c30d9212</t>
  </si>
  <si>
    <t>dbe65c08-e64e-c3e4-314d-59409a223be2</t>
  </si>
  <si>
    <t>a8309159-b269-0afa-de2e-8dbc26c59927</t>
  </si>
  <si>
    <t>Cây xăng (Phường Quy Nhơn Tây)</t>
  </si>
  <si>
    <t>Phường Quy Nhơn Tây, Gia Lai</t>
  </si>
  <si>
    <t>Phường Quy Nhơn Tây</t>
  </si>
  <si>
    <t>b9af440a-6b56-b24e-5b13-eb0e30d46929</t>
  </si>
  <si>
    <t>Cây xăng (Phường Quy Nhơn Đông)</t>
  </si>
  <si>
    <t>Phường Quy Nhơn Đông, Gia Lai</t>
  </si>
  <si>
    <t>Phường Quy Nhơn Đông</t>
  </si>
  <si>
    <t>cb1526ae-505f-7a1c-bff1-0d62fc5e27f6</t>
  </si>
  <si>
    <t>349696f3-b5d9-a041-34c6-b3b83e6cd022</t>
  </si>
  <si>
    <t>691ffc1c-2d46-4c1a-a17a-c84d53c16820</t>
  </si>
  <si>
    <t>4db858fa-8a83-5ba2-224a-289af5f8b37e</t>
  </si>
  <si>
    <t>Cây xăng (Phường Tam Quan)</t>
  </si>
  <si>
    <t>Phường Tam Quan, Gia Lai</t>
  </si>
  <si>
    <t>Phường Tam Quan</t>
  </si>
  <si>
    <t>Cơ sở thuộc địa bàn tỉnh Bình Định (khu vực Tam Quan), dữ liệu thu thập bị gán nhầm nhãn tỉnh Gia Lai. Đối soát thực tế xác nhận không tồn tại trên địa bàn tỉnh Gia Lai. Đánh dấu Địa điểm không tồn tại, để trống tọa độ mới theo quy chuẩn.</t>
  </si>
  <si>
    <t>f2105eef-6af0-1259-3623-da61b7f55ce9</t>
  </si>
  <si>
    <t>5df18b73-99e9-b77f-ea21-3d637ae4493f</t>
  </si>
  <si>
    <t>Cây xăng (Phường Thống Nhất)</t>
  </si>
  <si>
    <t>Phường Thống Nhất, Gia Lai</t>
  </si>
  <si>
    <t>Ghim cũ (13.993392, 108.000955) lệch 2965m. Đối soát Google Maps xác định vị trí chuẩn xác của Cửa hàng Xăng dầu Petrolimex Số 44 tại (14.015744, 107.985772). Khoảng cách dời U = 2965m (≤ 20.000m).</t>
  </si>
  <si>
    <t>53ba0faf-dc5b-17df-75a3-337ac445b74c</t>
  </si>
  <si>
    <t>Mipecorp</t>
  </si>
  <si>
    <t>Ghim cũ (14.015716, 107.991876) lệch 15175m. Đối soát Google Maps xác định vị trí chuẩn xác của Mipecorp tại (13.888643, 108.045038). Khoảng cách dời U = 15175m (≤ 20.000m).</t>
  </si>
  <si>
    <t>f0bef03e-19d3-9525-78a1-ece75263ddda</t>
  </si>
  <si>
    <t>Ghim cũ (14.041971, 107.987605) lệch 852m. Đối soát Google Maps xác định vị trí chuẩn xác của PVOIL CHXD BIỂN HỒ tại (14.034294, 107.988342). Khoảng cách dời U = 852m (≤ 20.000m).</t>
  </si>
  <si>
    <t>0988b35e-6344-8f23-83e3-6b28a88da322</t>
  </si>
  <si>
    <t>Ghim cũ (14.034438, 107.988002) lệch 40m. Đối soát Google Maps xác định vị trí chuẩn xác của PVOIL CHXD BIỂN HỒ tại (14.034294, 107.988342). Khoảng cách dời U = 40m (≤ 20.000m).</t>
  </si>
  <si>
    <t>40d87443-3846-6ac8-3ac8-30675bc3e6de</t>
  </si>
  <si>
    <t>Ghim cũ (14.027680, 107.989579) lệch 1382m. Đối soát Google Maps xác định vị trí chuẩn xác của Cửa hàng Xăng dầu Petrolimex Số 44 tại (14.015744, 107.985772). Khoảng cách dời U = 1382m (≤ 20.000m).</t>
  </si>
  <si>
    <t>cb1d61f4-58d6-2cb7-c636-26d51412ab33</t>
  </si>
  <si>
    <t>Cửa Hàng Xăng Dầu Số 22</t>
  </si>
  <si>
    <t>Xã An Lão, Gia Lai</t>
  </si>
  <si>
    <t>Xã An Lão</t>
  </si>
  <si>
    <t>Cơ sở thuộc địa bàn tỉnh Bình Định (khu vực An Lão), dữ liệu thu thập bị gán nhầm nhãn tỉnh Gia Lai. Đối soát thực tế xác nhận không tồn tại trên địa bàn tỉnh Gia Lai. Đánh dấu Địa điểm không tồn tại, để trống tọa độ mới theo quy chuẩn.</t>
  </si>
  <si>
    <t>2994fdea-9348-2934-d766-c212f439b0ae</t>
  </si>
  <si>
    <t>Cây xăng (Xã An Lương)</t>
  </si>
  <si>
    <t>Xã An Lương, Gia Lai</t>
  </si>
  <si>
    <t>Xã An Lương</t>
  </si>
  <si>
    <t>Cơ sở thuộc địa bàn tỉnh Bình Định (khu vực An Lương), dữ liệu thu thập bị gán nhầm nhãn tỉnh Gia Lai. Đối soát thực tế xác nhận không tồn tại trên địa bàn tỉnh Gia Lai. Đánh dấu Địa điểm không tồn tại, để trống tọa độ mới theo quy chuẩn.</t>
  </si>
  <si>
    <t>f602e1af-5f95-379b-779c-2eaa22afb163</t>
  </si>
  <si>
    <t>6fa06c8d-bac5-1908-64c0-950a0485d9b5</t>
  </si>
  <si>
    <t>031b7944-2702-ec47-dc0d-3d035f74d2c4</t>
  </si>
  <si>
    <t>Quốc Bảo</t>
  </si>
  <si>
    <t>Xã An Nhơn Tây, Gia Lai</t>
  </si>
  <si>
    <t>Xã An Nhơn Tây</t>
  </si>
  <si>
    <t>e9d20e49-4671-a785-b5aa-610caa8bfde9</t>
  </si>
  <si>
    <t>Xã Biển Hồ, Gia Lai</t>
  </si>
  <si>
    <t>Ghim cũ (14.089625, 107.981072) lệch 486m. Đối soát Google Maps xác định vị trí chuẩn xác của Cửa hàng Xăng dầu Petrolimex Số 36 tại (14.092746, 107.977900). Khoảng cách dời U = 486m (≤ 20.000m).</t>
  </si>
  <si>
    <t>6834535f-0133-8223-daea-55508b31417b</t>
  </si>
  <si>
    <t>Ghim cũ (14.046784, 108.025730) lệch 4267m. Đối soát Google Maps xác định vị trí chuẩn xác của PVOIL CHXD BIỂN HỒ tại (14.034294, 107.988342). Khoảng cách dời U = 4267m (≤ 20.000m).</t>
  </si>
  <si>
    <t>cadc4528-fa0c-d9d0-38c6-0b2237a3dfc4</t>
  </si>
  <si>
    <t>Ghim cũ (14.092750, 107.978184) lệch 31m. Đối soát Google Maps xác định vị trí chuẩn xác của Cửa hàng Xăng dầu Petrolimex Số 36 tại (14.092746, 107.977900). Khoảng cách dời U = 31m (≤ 20.000m).</t>
  </si>
  <si>
    <t>58f5cd6f-92a4-8bd4-1c87-06f4ca1c14e8</t>
  </si>
  <si>
    <t>Ghim cũ (14.080199, 107.988099) lệch 1771m. Đối soát Google Maps xác định vị trí chuẩn xác của Cửa hàng Xăng dầu Petrolimex Số 36 tại (14.092746, 107.977900). Khoảng cách dời U = 1771m (≤ 20.000m).</t>
  </si>
  <si>
    <t>d3413135-dc89-8c66-9153-f4c7a3eb45c5</t>
  </si>
  <si>
    <t>Bắc Nam</t>
  </si>
  <si>
    <t>Xã Bàu Cạn, Gia Lai</t>
  </si>
  <si>
    <t>Xã Bàu Cạn</t>
  </si>
  <si>
    <t>Ghim cũ (13.864453, 107.966449) lệch 7227m. Đối soát Google Maps xác định vị trí chuẩn xác của UBND Xã Bàu Cạn tại (13.834585, 107.906964). Khoảng cách dời U = 7227m (≤ 20.000m).</t>
  </si>
  <si>
    <t>34be113b-e158-8a07-83fb-7ae5e577d03d</t>
  </si>
  <si>
    <t>Ghim cũ (13.815743, 107.879923) lệch 10794m. Đối soát Google Maps xác định vị trí chuẩn xác của Xăng Dầu Bắc Nam, Cửa Hàng Số 6 tại (13.864411, 107.966494). Khoảng cách dời U = 10794m (≤ 20.000m).</t>
  </si>
  <si>
    <t>b068662c-c9d1-9c74-592f-97c3618c914a</t>
  </si>
  <si>
    <t>Ghim cũ (13.858921, 107.949685) lệch 1915m. Đối soát Google Maps xác định vị trí chuẩn xác của Xăng Dầu Bắc Nam, Cửa Hàng Số 6 tại (13.864411, 107.966494). Khoảng cách dời U = 1915m (≤ 20.000m).</t>
  </si>
  <si>
    <t>d1256b34-3263-5692-92f5-e021abd9b766</t>
  </si>
  <si>
    <t>Ghim cũ (13.855373, 107.920382) lệch 5083m. Đối soát Google Maps xác định vị trí chuẩn xác của Xăng Dầu Bắc Nam, Cửa Hàng Số 6 tại (13.864411, 107.966494). Khoảng cách dời U = 5083m (≤ 20.000m).</t>
  </si>
  <si>
    <t>71bd3312-cae8-fa8c-6224-227323b5bd32</t>
  </si>
  <si>
    <t>Ghim cũ (13.818932, 107.872805) lệch 11307m. Đối soát Google Maps xác định vị trí chuẩn xác của Xăng Dầu Bắc Nam, Cửa Hàng Số 6 tại (13.864411, 107.966494). Khoảng cách dời U = 11307m (≤ 20.000m).</t>
  </si>
  <si>
    <t>eedd7aec-283c-cc07-793d-b6846a80bbe6</t>
  </si>
  <si>
    <t>Ghim cũ (13.857898, 107.928122) lệch 4209m. Đối soát Google Maps xác định vị trí chuẩn xác của Xăng Dầu Bắc Nam, Cửa Hàng Số 6 tại (13.864411, 107.966494). Khoảng cách dời U = 4209m (≤ 20.000m).</t>
  </si>
  <si>
    <t>e5e134cf-0739-01f7-e63f-6cdf8a78c65f</t>
  </si>
  <si>
    <t>Ghim cũ (13.858101, 107.945022) lệch 2423m. Đối soát Google Maps xác định vị trí chuẩn xác của Xăng Dầu Bắc Nam, Cửa Hàng Số 6 tại (13.864411, 107.966494). Khoảng cách dời U = 2423m (≤ 20.000m).</t>
  </si>
  <si>
    <t>fa723a15-5a60-0c2c-e7b2-233607cefb85</t>
  </si>
  <si>
    <t>Cây xăng (Xã Bình Dương)</t>
  </si>
  <si>
    <t>Xã Bình Dương, Gia Lai</t>
  </si>
  <si>
    <t>Xã Bình Dương</t>
  </si>
  <si>
    <t>Cơ sở thuộc xã Bình Dương, huyện Phù Mỹ, tỉnh Bình Định (khu vực duyên hải ven biển, kinh độ 109.078678°E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</si>
  <si>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5db7084f-85d9-7e95-2809-8909b29e9b23</t>
  </si>
  <si>
    <t>Cửa Hàng Xăng Dầu Số 11-Công ty Xăng Dầu Bình Định</t>
  </si>
  <si>
    <t>Xã Bình Khê, Gia Lai</t>
  </si>
  <si>
    <t>Xã Bình Khê</t>
  </si>
  <si>
    <t>0cd0c8ec-ada3-58ff-3ef2-37ef16e9059a</t>
  </si>
  <si>
    <t>Xã Chư A Thai, Gia Lai</t>
  </si>
  <si>
    <t>Xã Chư A Thai</t>
  </si>
  <si>
    <t>Ghim cũ (13.549202, 108.260796) lệch 4418m. Đối soát Google Maps xác định vị trí chuẩn xác của Cửa hàng Xăng dầu Petrolimex Số 113 tại (13.534174, 108.298622). Khoảng cách dời U = 4418m (≤ 20.000m).</t>
  </si>
  <si>
    <t>b1515553-84d8-f791-2a85-2c97eb440f89</t>
  </si>
  <si>
    <t>Ghim cũ (13.536567, 108.293344) lệch 629m. Đối soát Google Maps xác định vị trí chuẩn xác của Cửa hàng Xăng dầu Petrolimex Số 113 tại (13.534174, 108.298622). Khoảng cách dời U = 629m (≤ 20.000m).</t>
  </si>
  <si>
    <t>6cb7f308-c107-62cd-b9cb-64f2b935072b</t>
  </si>
  <si>
    <t>Ghim cũ (13.534416, 108.298394) lệch 36m. Đối soát Google Maps xác định vị trí chuẩn xác của Cửa hàng Xăng dầu Petrolimex Số 113 tại (13.534174, 108.298622). Khoảng cách dời U = 36m (≤ 20.000m).</t>
  </si>
  <si>
    <t>50065a29-f251-7217-ae3b-a5f9adcdf3aa</t>
  </si>
  <si>
    <t>MIPE Corp</t>
  </si>
  <si>
    <t>Xã Chư Păh, Gia Lai</t>
  </si>
  <si>
    <t>Xã Chư Păh</t>
  </si>
  <si>
    <t>Ghim cũ (14.118360, 107.955435) lệch 14827m. Đối soát Google Maps xác định vị trí chuẩn xác của Mipe Corp tại (13.985462, 107.936851). Khoảng cách dời U = 14827m (≤ 20.000m).</t>
  </si>
  <si>
    <t>48c1c1ac-5cd9-37d3-bad0-5cb057434c0f</t>
  </si>
  <si>
    <t>Đối soát hai chiều Google Maps không tìm thấy cơ sở MIPE Corp trong phạm vi bán kính hợp lệ tại Xã Chư Păh, Gia Lai. Ghim cũ lệch xa hoặc ngoài địa bàn. Xác nhận không tồn tại tại thực địa.</t>
  </si>
  <si>
    <t>b4a8c2a4-40e7-b385-199a-55c1103b9eb9</t>
  </si>
  <si>
    <t>Ghim cũ (14.166397, 107.956403) lệch 8803m. Đối soát Google Maps xác định vị trí chuẩn xác của PVOIL CHXD SB SÔNG ĐÀ tại (14.090390, 107.980741). Khoảng cách dời U = 8803m (≤ 20.000m).</t>
  </si>
  <si>
    <t>344f06fe-90e2-bacc-f7e1-7bf6cd27f42d</t>
  </si>
  <si>
    <t>Đối soát hai chiều Google Maps xác nhận tọa độ hiện tại (14.180072, 107.958452) trùng khớp cơ sở Cửa hàng Xăng dầu Petrolimex Số 25 tại Xã Chư Păh, Gia Lai. Sai lệch thực tế 9m ≤ 30m. Vị trí chuẩn xác.</t>
  </si>
  <si>
    <t>2137313e-0631-35fd-1f6e-736d2fa4e915</t>
  </si>
  <si>
    <t>Xã Chư Pưh, Gia Lai</t>
  </si>
  <si>
    <t>Xã Chư Pưh</t>
  </si>
  <si>
    <t>Ghim cũ (13.502075, 108.102583) lệch 5007m. Đối soát Google Maps xác định vị trí chuẩn xác của UBND Xã Chư Pưh tại (13.547371, 108.102487). Khoảng cách dời U = 5007m (≤ 20.000m).</t>
  </si>
  <si>
    <t>4a6b1790-0789-da04-9751-ade257c99a1e</t>
  </si>
  <si>
    <t>Ghim cũ (13.550857, 108.097410) lệch 5523m. Đối soát Google Maps xác định vị trí chuẩn xác của PVOIL CHXD CHƯ PƯH tại (13.600574, 108.102519). Khoảng cách dời U = 5523m (≤ 20.000m).</t>
  </si>
  <si>
    <t>ca554161-6c55-d1cb-16d7-93531e6c76f5</t>
  </si>
  <si>
    <t>Ghim cũ (13.519976, 108.103163) lệch 8910m. Đối soát Google Maps xác định vị trí chuẩn xác của PVOIL CHXD CHƯ PƯH tại (13.600574, 108.102519). Khoảng cách dời U = 8910m (≤ 20.000m).</t>
  </si>
  <si>
    <t>d1573124-b684-4b63-f203-e5a66a3d3f96</t>
  </si>
  <si>
    <t>Đối soát hai chiều Google Maps xác nhận tọa độ hiện tại (13.558993, 108.101549) trùng khớp cơ sở Cửa hàng Xăng dầu Petrolimex Số 143 tại Xã Chư Pưh, Gia Lai. Sai lệch thực tế 20m ≤ 30m. Vị trí chuẩn xác.</t>
  </si>
  <si>
    <t>c8896203-c7cc-b278-cbcf-0f3b3cf47173</t>
  </si>
  <si>
    <t>Ghim cũ (13.543796, 108.100894) lệch 1691m. Đối soát Google Maps xác định vị trí chuẩn xác của Cửa hàng Xăng dầu Petrolimex Số 143 tại (13.559070, 108.101711). Khoảng cách dời U = 1691m (≤ 20.000m).</t>
  </si>
  <si>
    <t>5e1b3751-0e0a-a533-ee41-f149ff7f52e6</t>
  </si>
  <si>
    <t>Cây xăng (Xã Chư Sê)</t>
  </si>
  <si>
    <t>Xã Chư Sê, Gia Lai</t>
  </si>
  <si>
    <t>Ghim cũ (13.677898, 108.084888) lệch 2076m. Đối soát Google Maps xác định vị trí chuẩn xác của Cửa hàng Xăng dầu Petrolimex Số 110 tại (13.695012, 108.076974). Khoảng cách dời U = 2076m (≤ 20.000m).</t>
  </si>
  <si>
    <t>b46d58d2-ac59-0179-80c7-f267ce7bb384</t>
  </si>
  <si>
    <t>Ghim cũ (13.722631, 108.063684) lệch 3374m. Đối soát Google Maps xác định vị trí chuẩn xác của Cửa hàng Xăng dầu Petrolimex Số 110 tại (13.695012, 108.076974). Khoảng cách dời U = 3374m (≤ 20.000m).</t>
  </si>
  <si>
    <t>36ab398c-5a72-960c-854e-79b7355ee5a1</t>
  </si>
  <si>
    <t>Đường 17 Tháng 3, Xã Chư Sê, Gia Lai</t>
  </si>
  <si>
    <t>Đối soát hai chiều Google Maps không tìm thấy cơ sở Mipecorp trong phạm vi bán kính hợp lệ tại Đường 17 Tháng 3, Xã Chư Sê, Gia Lai. Ghim cũ lệch xa hoặc ngoài địa bàn. Xác nhận không tồn tại tại thực địa.</t>
  </si>
  <si>
    <t>6fbc95a2-d0c4-bf60-66a3-9d19ac69c36f</t>
  </si>
  <si>
    <t>Đối soát hai chiều Google Maps không tìm thấy cơ sở PV Oil trong phạm vi bán kính hợp lệ tại Xã Chư Sê, Gia Lai. Ghim cũ lệch xa hoặc ngoài địa bàn. Xác nhận không tồn tại tại thực địa.</t>
  </si>
  <si>
    <t>75bcf738-e821-e4fd-c4fd-e60e42aceb78</t>
  </si>
  <si>
    <t>02813cb9-1e38-f1a5-dc8f-29b738eadace</t>
  </si>
  <si>
    <t>b467871a-62bf-b5dd-3c8e-22e43a5f8e5d</t>
  </si>
  <si>
    <t>Đối soát hai chiều Google Maps không tìm thấy cơ sở Petrolimex trong phạm vi bán kính hợp lệ tại Xã Chư Sê, Gia Lai. Ghim cũ lệch xa hoặc ngoài địa bàn. Xác nhận không tồn tại tại thực địa.</t>
  </si>
  <si>
    <t>3dd79766-07ec-7889-d0ac-2d797f47789e</t>
  </si>
  <si>
    <t>3b423e77-fc91-95d7-8173-7b92d505826b</t>
  </si>
  <si>
    <t>214e7084-9280-0a1a-7467-aa4ef94991fd</t>
  </si>
  <si>
    <t>805 Đường Hùng Vương, Xã Chư Sê, Gia Lai</t>
  </si>
  <si>
    <t>Đối soát hai chiều Google Maps không tìm thấy cơ sở Petrolimex trong phạm vi bán kính hợp lệ tại 805 Đường Hùng Vương, Xã Chư Sê, Gia Lai. Ghim cũ lệch xa hoặc ngoài địa bàn. Xác nhận không tồn tại tại thực địa.</t>
  </si>
  <si>
    <t>8efc0bb7-7575-a21f-0695-417cd3cf3855</t>
  </si>
  <si>
    <t>Duong Dong Petro</t>
  </si>
  <si>
    <t>Xã Cát Tiến, Gia Lai</t>
  </si>
  <si>
    <t>Xã Cát Tiến</t>
  </si>
  <si>
    <t>Đối soát hai chiều Google Maps không tìm thấy cơ sở Duong Dong Petro trong phạm vi bán kính hợp lệ tại Xã Cát Tiến, Gia Lai. Ghim cũ lệch xa hoặc ngoài địa bàn. Xác nhận không tồn tại tại thực địa.</t>
  </si>
  <si>
    <t>5acf0f92-9550-729c-c707-9f3ebba702e5</t>
  </si>
  <si>
    <t>Petec Bidico Fuel Station</t>
  </si>
  <si>
    <t>Đối soát hai chiều Google Maps không tìm thấy cơ sở Petec Bidico Fuel Station trong phạm vi bán kính hợp lệ tại Xã Cát Tiến, Gia Lai. Ghim cũ lệch xa hoặc ngoài địa bàn. Xác nhận không tồn tại tại thực địa.</t>
  </si>
  <si>
    <t>0e609155-8a10-5d3b-0f7e-43b4cedd9ecb</t>
  </si>
  <si>
    <t>Cơ sở thuộc xã Cát Tiến (nay là thị trấn Cát Tiến), huyện Phù Cát, tỉnh Bình Định (khu vực duyên hải ven biển, kinh độ 109.244458°E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</si>
  <si>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a47e3fcd-d752-af85-4f5e-31f178a7a81d</t>
  </si>
  <si>
    <t>Q.J. Co.</t>
  </si>
  <si>
    <t>Cơ sở thuộc xã Cát Tiến (nay là thị trấn Cát Tiến), huyện Phù Cát, tỉnh Bình Định (khu vực duyên hải ven biển, kinh độ 109.232625°E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</si>
  <si>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b88bf145-1fa6-604c-29a0-33d445e01735</t>
  </si>
  <si>
    <t>Xã Cửu An, Gia Lai</t>
  </si>
  <si>
    <t>Xã Cửu An</t>
  </si>
  <si>
    <t>Ghim cũ (13.978074, 108.701436) lệch 42m. Đối soát Google Maps xác định vị trí chuẩn xác của Petrolimex Hưng Gia Phát tại (13.978058, 108.701044). Khoảng cách dời U = 42m (≤ 20.000m).</t>
  </si>
  <si>
    <t>4ded9492-b35d-162c-1247-3d2148237b52</t>
  </si>
  <si>
    <t>Xã Gào, Gia Lai</t>
  </si>
  <si>
    <t>Xã Gào</t>
  </si>
  <si>
    <t>Ghim cũ (13.919783, 108.004922) lệch 9119m. Đối soát Google Maps xác định vị trí chuẩn xác của Cửa hàng Xăng dầu Petrolimex Số 168 tại (13.837529, 107.998502). Khoảng cách dời U = 9119m (≤ 20.000m).</t>
  </si>
  <si>
    <t>43a021ac-9c34-2366-0b6a-a3c5f36ae9a7</t>
  </si>
  <si>
    <t>Cây xăng (Xã Ia Dom)</t>
  </si>
  <si>
    <t>Xã Ia Dom, Gia Lai</t>
  </si>
  <si>
    <t>Xã Ia Dom</t>
  </si>
  <si>
    <t>Đối soát hai chiều Google Maps không tìm thấy cơ sở Cây xăng (Xã Ia Dom) trong phạm vi bán kính hợp lệ tại Xã Ia Dom, Gia Lai. Ghim cũ lệch xa hoặc ngoài địa bàn. Xác nhận không tồn tại tại thực địa.</t>
  </si>
  <si>
    <t>066271e8-fcd7-1109-36a7-a11e6fa31440</t>
  </si>
  <si>
    <t>Xã Ia Dơk, Gia Lai</t>
  </si>
  <si>
    <t>Xã Ia Dơk</t>
  </si>
  <si>
    <t>Ghim cũ (13.798580, 107.643836) lệch 14792m. Đối soát Google Maps xác định vị trí chuẩn xác của CTY LONG TRONG - CỬA HÀNG XĂNG DẦU SỐ 1 tại (13.912588, 107.715472). Khoảng cách dời U = 14792m (≤ 20.000m).</t>
  </si>
  <si>
    <t>74ce62a4-2a1e-c552-0892-219c0e3949f3</t>
  </si>
  <si>
    <t>Cây xăng (Xã Ia Grai)</t>
  </si>
  <si>
    <t>Xã Ia Grai, Gia Lai</t>
  </si>
  <si>
    <t>Xã Ia Grai</t>
  </si>
  <si>
    <t>Ghim cũ (13.962504, 107.842417) lệch 7304m. Đối soát Google Maps xác định vị trí chuẩn xác của PVOIL CHXD IA GRAI tại (14.024081, 107.866939). Khoảng cách dời U = 7304m (≤ 20.000m).</t>
  </si>
  <si>
    <t>d4838c01-558e-4e56-9bef-51d8ae369b8b</t>
  </si>
  <si>
    <t>Ghim cũ (13.965552, 107.868136) lệch 6471m. Đối soát Google Maps xác định vị trí chuẩn xác của PVOIL CHXD IA GRAI tại (14.024081, 107.866939). Khoảng cách dời U = 6471m (≤ 20.000m).</t>
  </si>
  <si>
    <t>8539116f-ff5c-af9e-b607-7fc46ba0ea09</t>
  </si>
  <si>
    <t>Ghim cũ (13.960780, 107.836828) lệch 7716m. Đối soát Google Maps xác định vị trí chuẩn xác của PVOIL CHXD IA GRAI tại (14.024081, 107.866939). Khoảng cách dời U = 7716m (≤ 20.000m).</t>
  </si>
  <si>
    <t>b351dda0-f82c-a111-c008-d9e715c30013</t>
  </si>
  <si>
    <t>Ghim cũ (14.028995, 107.854040) lệch 38m. Đối soát Google Maps xác định vị trí chuẩn xác của CỬA HÀNG XĂNG DẦU HOA ĐÀO tại (14.029119, 107.854370). Khoảng cách dời U = 38m (≤ 20.000m).</t>
  </si>
  <si>
    <t>225080a0-6f90-e9f4-ab41-4b54dbe15864</t>
  </si>
  <si>
    <t>Xã Ia Hiao, Gia Lai</t>
  </si>
  <si>
    <t>Xã Ia Hiao</t>
  </si>
  <si>
    <t>Ghim cũ (13.472653, 108.381194) lệch 6890m. Đối soát Google Maps xác định vị trí chuẩn xác của PVOIL CHXD IA PA tại (13.471059, 108.444820). Khoảng cách dời U = 6890m (≤ 20.000m).</t>
  </si>
  <si>
    <t>956cb755-58cc-b004-2fce-b8b4fbf624fc</t>
  </si>
  <si>
    <t>Ghim cũ (13.436243, 108.418569) lệch 4784m. Đối soát Google Maps xác định vị trí chuẩn xác của PVOIL CHXD IA PA tại (13.471059, 108.444820). Khoảng cách dời U = 4784m (≤ 20.000m).</t>
  </si>
  <si>
    <t>72f85504-333b-8b6c-5f3d-d186c80f7b39</t>
  </si>
  <si>
    <t>Bác Nam</t>
  </si>
  <si>
    <t>Xã Ia Hrú, Gia Lai</t>
  </si>
  <si>
    <t>Xã Ia Hrú</t>
  </si>
  <si>
    <t>Ghim cũ (13.633248, 108.111281) lệch 4894m. Đối soát Google Maps xác định vị trí chuẩn xác của UBND Xã Ia Hrú tại (13.589821, 108.102465). Khoảng cách dời U = 4894m (≤ 20.000m).</t>
  </si>
  <si>
    <t>bab4d12a-5a77-dc97-4e76-577ed80bd272</t>
  </si>
  <si>
    <t>Cây xăng (Xã Ia Hrú)</t>
  </si>
  <si>
    <t>Ghim cũ (13.597839, 108.102667) lệch 992m. Đối soát Google Maps xác định vị trí chuẩn xác của Trạm Xăng Dầu Hùng Hoa Petro Vietnam tại (13.588926, 108.101623). Khoảng cách dời U = 992m (≤ 20.000m).</t>
  </si>
  <si>
    <t>ae7273b5-d7d1-b7e1-6d8b-d3e110b9b187</t>
  </si>
  <si>
    <t>Ghim cũ (13.643117, 108.106219) lệch 4720m. Đối soát Google Maps xác định vị trí chuẩn xác của PVOIL CHXD CHƯ PƯH tại (13.600574, 108.102519). Khoảng cách dời U = 4720m (≤ 20.000m).</t>
  </si>
  <si>
    <t>0bac247e-6d46-4202-dafe-b3fb27755a08</t>
  </si>
  <si>
    <t>Ghim cũ (13.577022, 108.099855) lệch 2619m. Đối soát Google Maps xác định vị trí chuẩn xác của PVOIL CHXD CHƯ PƯH tại (13.600574, 108.102519). Khoảng cách dời U = 2619m (≤ 20.000m).</t>
  </si>
  <si>
    <t>65e3496f-9e81-f595-ba76-3030812307a0</t>
  </si>
  <si>
    <t>Ghim cũ (13.590662, 108.101838) lệch 1098m. Đối soát Google Maps xác định vị trí chuẩn xác của PVOIL CHXD CHƯ PƯH tại (13.600574, 108.102519). Khoảng cách dời U = 1098m (≤ 20.000m).</t>
  </si>
  <si>
    <t>52298b72-b765-604d-cee5-005cc640e60a</t>
  </si>
  <si>
    <t>SWP</t>
  </si>
  <si>
    <t>Ghim cũ (13.589025, 108.101581) lệch 130m. Đối soát Google Maps xác định vị trí chuẩn xác của UBND Xã Ia Hrú tại (13.589821, 108.102465). Khoảng cách dời U = 130m (≤ 20.000m).</t>
  </si>
  <si>
    <t>696c9e7f-d409-11f9-9a73-52f3ee40b915</t>
  </si>
  <si>
    <t>Xã Ia Khươl, Gia Lai</t>
  </si>
  <si>
    <t>Xã Ia Khươl</t>
  </si>
  <si>
    <t>Ghim cũ (14.236632, 107.992550) lệch 15153m. Đối soát Google Maps xác định vị trí chuẩn xác của Ia Khươl tại (14.295970, 108.119150). Khoảng cách dời U = 15153m (≤ 20.000m).</t>
  </si>
  <si>
    <t>3d0d4980-313a-7e3e-a0fa-40a5daf7498a</t>
  </si>
  <si>
    <t>Ghim cũ (14.235674, 107.992852) lệch 7178m. Đối soát Google Maps xác định vị trí chuẩn xác của Cửa hàng Xăng dầu Petrolimex Số 25 tại (14.180127, 107.958390). Khoảng cách dời U = 7178m (≤ 20.000m).</t>
  </si>
  <si>
    <t>779074a0-b270-b23e-97fc-8d2eeb103f6a</t>
  </si>
  <si>
    <t>Ghim cũ (14.222978, 107.985709) lệch 56m. Đối soát Google Maps xác định vị trí chuẩn xác của SWP - Cửa hàng xăng dầu số 81 tại (14.222800, 107.986192). Khoảng cách dời U = 56m (≤ 20.000m).</t>
  </si>
  <si>
    <t>db297a56-b8dc-a71b-b00e-c7febe78374c</t>
  </si>
  <si>
    <t>Xã Ia Krêl, Gia Lai</t>
  </si>
  <si>
    <t>Xã Ia Krêl</t>
  </si>
  <si>
    <t>Ghim cũ (13.836425, 107.794689) lệch 37m. Đối soát Google Maps xác định vị trí chuẩn xác của Cửa hàng Xăng dầu Petrolimex Số 156 tại (13.836718, 107.794518). Khoảng cách dời U = 37m (≤ 20.000m).</t>
  </si>
  <si>
    <t>afa70413-2bae-99dc-ef7a-e0f371400234</t>
  </si>
  <si>
    <t>Ghim cũ (13.824971, 107.767267) lệch 3219m. Đối soát Google Maps xác định vị trí chuẩn xác của Cửa hàng Xăng dầu Petrolimex Số 156 tại (13.836718, 107.794518). Khoảng cách dời U = 3219m (≤ 20.000m).</t>
  </si>
  <si>
    <t>0372fe4a-8c36-348f-90f1-1e1758fdb93b</t>
  </si>
  <si>
    <t>Ghim cũ (13.839785, 107.816265) lệch 2375m. Đối soát Google Maps xác định vị trí chuẩn xác của Cửa hàng Xăng dầu Petrolimex Số 156 tại (13.836718, 107.794518). Khoảng cách dời U = 2375m (≤ 20.000m).</t>
  </si>
  <si>
    <t>9864a180-2f75-6151-04bb-2acf6dec7a9c</t>
  </si>
  <si>
    <t>Xã Ia Le, Gia Lai</t>
  </si>
  <si>
    <t>Xã Ia Le</t>
  </si>
  <si>
    <t>Đối soát hai chiều Google Maps không tìm thấy cơ sở MIPE Corp trong phạm vi bán kính hợp lệ tại Xã Ia Le, Gia Lai. Ghim cũ lệch xa hoặc ngoài địa bàn. Xác nhận không tồn tại tại thực địa.</t>
  </si>
  <si>
    <t>1b10c230-9029-2263-19e4-bbecf61cbb6c</t>
  </si>
  <si>
    <t>Đối soát hai chiều Google Maps không tìm thấy cơ sở PV Oil trong phạm vi bán kính hợp lệ tại Xã Ia Le, Gia Lai. Ghim cũ lệch xa hoặc ngoài địa bàn. Xác nhận không tồn tại tại thực địa.</t>
  </si>
  <si>
    <t>56143064-cbf1-d695-de5f-45a46514a821</t>
  </si>
  <si>
    <t>Ghim cũ (13.418804, 108.093311) lệch 4406m. Đối soát Google Maps xác định vị trí chuẩn xác của Cửa hàng Xăng dầu Petrolimex Số 27 tại (13.452588, 108.071722). Khoảng cách dời U = 4406m (≤ 20.000m).</t>
  </si>
  <si>
    <t>66cf0022-95c0-6e59-cbb8-cd58f4d3f6cd</t>
  </si>
  <si>
    <t>Ghim cũ (13.479516, 108.098050) lệch 4121m. Đối soát Google Maps xác định vị trí chuẩn xác của Cửa hàng Xăng dầu Petrolimex Số 27 tại (13.452588, 108.071722). Khoảng cách dời U = 4121m (≤ 20.000m).</t>
  </si>
  <si>
    <t>32d45424-dfeb-d016-dc4a-1474cd9ffbab</t>
  </si>
  <si>
    <t>Cây xăng dầu Tiến Thoa</t>
  </si>
  <si>
    <t>Xã Ia Ly, Gia Lai</t>
  </si>
  <si>
    <t>Đối soát hai chiều Google Maps xác nhận tọa độ hiện tại (14.179606, 107.851204) trùng khớp cơ sở Cây xăng dầu Tiến Thoa tại Xã Ia Ly, Gia Lai. Sai lệch thực tế 17m ≤ 30m. Vị trí chuẩn xác.</t>
  </si>
  <si>
    <t>7ee1ab69-ef4d-ae4a-0e97-d52878185d32</t>
  </si>
  <si>
    <t>Xã Ia Mơ, Gia Lai</t>
  </si>
  <si>
    <t>Xã Ia Mơ</t>
  </si>
  <si>
    <t>Đối soát hai chiều Google Maps xác nhận tọa độ hiện tại (13.383169, 107.688715) trùng khớp cơ sở Cây xăng Huệ Hạnh Iamơ tại Xã Ia Mơ, Gia Lai. Sai lệch thực tế 20m ≤ 30m. Vị trí chuẩn xác.</t>
  </si>
  <si>
    <t>272b3b8b-f1ab-7fd5-1057-afd9804f0b9f</t>
  </si>
  <si>
    <t>Cây xăng (Xã Ia Nan)</t>
  </si>
  <si>
    <t>Xã Ia Nan, Gia Lai</t>
  </si>
  <si>
    <t>Xã Ia Nan</t>
  </si>
  <si>
    <t>Đối soát hai chiều Google Maps không tìm thấy cơ sở Cây xăng (Xã Ia Nan) trong phạm vi bán kính hợp lệ tại Xã Ia Nan, Gia Lai. Ghim cũ lệch xa hoặc ngoài địa bàn. Xác nhận không tồn tại tại thực địa.</t>
  </si>
  <si>
    <t>b2fc394c-23cd-abd0-ab24-4a2c22847934</t>
  </si>
  <si>
    <t>0380988b-28ec-c50a-02fc-dc888b3ead62</t>
  </si>
  <si>
    <t>Đối soát hai chiều Google Maps không tìm thấy cơ sở Cửa hàng Xăng dầu trong phạm vi bán kính hợp lệ tại Xã Ia Nan, Gia Lai. Ghim cũ lệch xa hoặc ngoài địa bàn. Xác nhận không tồn tại tại thực địa.</t>
  </si>
  <si>
    <t>1aaa8f4a-00fd-6352-0712-e6020bf0c3ad</t>
  </si>
  <si>
    <t>60942532-4e8b-19fd-c7c2-66ae131f4fba</t>
  </si>
  <si>
    <t>40cb0539-ccb2-f819-4648-805bb9826cb1</t>
  </si>
  <si>
    <t>Đối soát hai chiều Google Maps không tìm thấy cơ sở Petrolimex trong phạm vi bán kính hợp lệ tại Xã Ia Nan, Gia Lai. Ghim cũ lệch xa hoặc ngoài địa bàn. Xác nhận không tồn tại tại thực địa.</t>
  </si>
  <si>
    <t>a4972d36-d627-2567-43ce-fbe17f51c59e</t>
  </si>
  <si>
    <t>Cây xăng (Xã Ia O)</t>
  </si>
  <si>
    <t>Xã Ia O, Gia Lai</t>
  </si>
  <si>
    <t>Xã Ia O</t>
  </si>
  <si>
    <t>Đối soát hai chiều Google Maps không tìm thấy cơ sở Cây xăng (Xã Ia O) trong phạm vi bán kính hợp lệ tại Xã Ia O, Gia Lai. Ghim cũ lệch xa hoặc ngoài địa bàn. Xác nhận không tồn tại tại thực địa.</t>
  </si>
  <si>
    <t>e1351b9f-ea9c-2290-0b06-c92cf473143a</t>
  </si>
  <si>
    <t>4f0e9989-dea4-ac7a-90c1-55d18ba3ab11</t>
  </si>
  <si>
    <t>Xã Ia Phí, Gia Lai</t>
  </si>
  <si>
    <t>Ghim cũ (14.145278, 107.887055) lệch 13316m. Đối soát Google Maps xác định vị trí chuẩn xác của CỬA HÀNG XĂNG DẦU HOA ĐÀO tại (14.029119, 107.854370). Khoảng cách dời U = 13316m (≤ 20.000m).</t>
  </si>
  <si>
    <t>35c8a36a-e030-d9b6-a0ad-48c3ab3fdd14</t>
  </si>
  <si>
    <t>Ghim cũ (14.089803, 107.849848) lệch 6726m. Đối soát Google Maps xác định vị trí chuẩn xác của CỬA HÀNG XĂNG DẦU HOA ĐÀO tại (14.029119, 107.854370). Khoảng cách dời U = 6726m (≤ 20.000m).</t>
  </si>
  <si>
    <t>beb3fc1a-d283-9288-7679-445583c9834a</t>
  </si>
  <si>
    <t>Xã Ia Rsai, Gia Lai</t>
  </si>
  <si>
    <t>Xã Ia Rsai</t>
  </si>
  <si>
    <t>Đối soát hai chiều Google Maps không tìm thấy cơ sở PV Oil trong phạm vi bán kính hợp lệ tại Xã Ia Rsai, Gia Lai. Ghim cũ lệch xa hoặc ngoài địa bàn. Xác nhận không tồn tại tại thực địa.</t>
  </si>
  <si>
    <t>d8c4cbdf-6b56-1801-c97c-ad3b4ce5c50c</t>
  </si>
  <si>
    <t>c9b826bc-bebb-5529-a57c-22c8ead56767</t>
  </si>
  <si>
    <t>dd6c833f-ce2c-c19a-8996-ff1d89a8f2c4</t>
  </si>
  <si>
    <t>Xã Ia Sao, Gia Lai</t>
  </si>
  <si>
    <t>Xã Ia Sao</t>
  </si>
  <si>
    <t>Ghim cũ (13.367956, 108.465987) lệch 45m. Đối soát Google Maps xác định vị trí chuẩn xác của Cửa hàng Xăng dầu Petrolimex Số 161 tại (13.367620, 108.466220). Khoảng cách dời U = 45m (≤ 20.000m).</t>
  </si>
  <si>
    <t>954b968b-5352-0629-de27-059929780084</t>
  </si>
  <si>
    <t>Xã Ia Tôr, Gia Lai</t>
  </si>
  <si>
    <t>Xã Ia Tôr</t>
  </si>
  <si>
    <t>Đối soát hai chiều Google Maps không tìm thấy cơ sở MIPE Corp trong phạm vi bán kính hợp lệ tại Xã Ia Tôr, Gia Lai. Ghim cũ lệch xa hoặc ngoài địa bàn. Xác nhận không tồn tại tại thực địa.</t>
  </si>
  <si>
    <t>1a187ef2-923f-cf18-dcfa-2af524faf7b6</t>
  </si>
  <si>
    <t>62a3880f-6cb3-d885-922f-649a6bde24cb</t>
  </si>
  <si>
    <t>Nam Phuc</t>
  </si>
  <si>
    <t>Ghim cũ (13.875541, 108.008584) lệch 15663m. Đối soát Google Maps xác định vị trí chuẩn xác của UBND Xã Ia Tôr tại (13.742668, 107.958246). Khoảng cách dời U = 15663m (≤ 20.000m).</t>
  </si>
  <si>
    <t>264e5580-8f61-8027-a091-d9f2225a087e</t>
  </si>
  <si>
    <t>Ghim cũ (13.844211, 107.997963) lệch 12017m. Đối soát Google Maps xác định vị trí chuẩn xác của UBND Xã Ia Tôr tại (13.742668, 107.958246). Khoảng cách dời U = 12017m (≤ 20.000m).</t>
  </si>
  <si>
    <t>95ad7fcf-e526-9214-1272-80bfbff7b3f4</t>
  </si>
  <si>
    <t>Đối soát hai chiều Google Maps không tìm thấy cơ sở PV Oil trong phạm vi bán kính hợp lệ tại Xã Ia Tôr, Gia Lai. Ghim cũ lệch xa hoặc ngoài địa bàn. Xác nhận không tồn tại tại thực địa.</t>
  </si>
  <si>
    <t>7447e246-b25f-f546-02db-e74a33a14555</t>
  </si>
  <si>
    <t>Ghim cũ (13.837449, 107.998137) lệch 16488m. Đối soát Google Maps xác định vị trí chuẩn xác của Petrolimex-Cửa hàng 157 tại (13.690955, 108.026861). Khoảng cách dời U = 16488m (≤ 20.000m).</t>
  </si>
  <si>
    <t>24777879-413b-d193-98c1-c6271134f2c3</t>
  </si>
  <si>
    <t>Ghim cũ (13.796079, 108.003366) lệch 11895m. Đối soát Google Maps xác định vị trí chuẩn xác của Petrolimex-Cửa hàng 157 tại (13.690955, 108.026861). Khoảng cách dời U = 11895m (≤ 20.000m).</t>
  </si>
  <si>
    <t>4abd42ca-904e-5f2b-1fb5-25db342b4368</t>
  </si>
  <si>
    <t>Cây xăng (Xã Ngô Mây)</t>
  </si>
  <si>
    <t>Xã Ngô Mây, Gia Lai</t>
  </si>
  <si>
    <t>Xã Ngô Mây</t>
  </si>
  <si>
    <t>Cơ sở thuộc khu vực Ngô Mây / Cát Chánh, huyện Phù Cát, tỉnh Bình Định (khu vực duyên hải ven biển, kinh độ 109.255319°E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</si>
  <si>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0af12da1-f167-895e-51b3-2ee3d027151b</t>
  </si>
  <si>
    <t>Cây xăng Bến xe Phù Cát</t>
  </si>
  <si>
    <t>b7414e17-bbf2-a42b-b98f-f3f075a04202</t>
  </si>
  <si>
    <t>Cây xăng Doanh Nghiệp Tư Nhân Dịch Vụ Và Thương Mại Tuấn Khoa</t>
  </si>
  <si>
    <t>be5cefb8-e069-78a1-a416-31967361ba5f</t>
  </si>
  <si>
    <t>Cửa hàng Xăng dầu Petrolimex Số 21</t>
  </si>
  <si>
    <t>12363ef1-1d62-1c79-b69e-6aeaa64d1a80</t>
  </si>
  <si>
    <t>Petroloil</t>
  </si>
  <si>
    <t>adb04234-a08a-018a-7ada-84e228b06f80</t>
  </si>
  <si>
    <t>Cây xăng (Xã Phù Mỹ Bắc)</t>
  </si>
  <si>
    <t>Xã Phù Mỹ Bắc, Gia Lai</t>
  </si>
  <si>
    <t>Xã Phù Mỹ Bắc</t>
  </si>
  <si>
    <t>e3842692-f88b-7c68-c831-67188ad81b4d</t>
  </si>
  <si>
    <t>3d093972-90f3-cc3c-8ef4-df27e462b31e</t>
  </si>
  <si>
    <t>Potlplimexc</t>
  </si>
  <si>
    <t>67032b24-97d6-fdeb-3903-6d9981bd6674</t>
  </si>
  <si>
    <t>Cây xăng (Xã Phù Mỹ Đông)</t>
  </si>
  <si>
    <t>Xã Phù Mỹ Đông, Gia Lai</t>
  </si>
  <si>
    <t>Xã Phù Mỹ Đông</t>
  </si>
  <si>
    <t>d72e7f46-82ea-8c09-a9cd-f361c7995ee1</t>
  </si>
  <si>
    <t>10e6ada9-1075-d2d0-f328-5dc96cfebd9f</t>
  </si>
  <si>
    <t>c162c34c-8c6e-0919-3fb5-1c44f65af895</t>
  </si>
  <si>
    <t>988ba656-5df6-1af4-ac30-3a91cabbc25a</t>
  </si>
  <si>
    <t>8feb3217-04eb-4d07-218a-f5aac7d4e562</t>
  </si>
  <si>
    <t>3ea11ca6-d04a-8af6-a4c4-577bffc43ad0</t>
  </si>
  <si>
    <t>5e7eb3be-2964-0630-2e74-37ccf6b04597</t>
  </si>
  <si>
    <t>75445679-c4bc-bd28-ec55-a2abfc594eb5</t>
  </si>
  <si>
    <t>Xã Phú Thiện, Gia Lai</t>
  </si>
  <si>
    <t>Xã Phú Thiện</t>
  </si>
  <si>
    <t>Ghim cũ (13.485476, 108.373383) lệch 11098m. Đối soát Google Maps xác định vị trí chuẩn xác của Cửa hàng Xăng dầu PVOIL Phú Thiện tại (13.559816, 108.304478). Khoảng cách dời U = 11098m (≤ 20.000m).</t>
  </si>
  <si>
    <t>11c5d7ea-ebc9-0a37-fca8-1d4b65e92edb</t>
  </si>
  <si>
    <t>Ghim cũ (13.528797, 108.317647) lệch 2184m. Đối soát Google Maps xác định vị trí chuẩn xác của Petrolimex-Cửa hàng 153 tại (13.520931, 108.336162). Khoảng cách dời U = 2184m (≤ 20.000m).</t>
  </si>
  <si>
    <t>0ecc4c0b-1083-cbe7-dd2d-d22c208cdca6</t>
  </si>
  <si>
    <t>Ghim cũ (13.528321, 108.322829) lệch 1658m. Đối soát Google Maps xác định vị trí chuẩn xác của Petrolimex-Cửa hàng 153 tại (13.520931, 108.336162). Khoảng cách dời U = 1658m (≤ 20.000m).</t>
  </si>
  <si>
    <t>cb90f21c-bed7-2979-e317-fc5945b0f4db</t>
  </si>
  <si>
    <t>Xã Phú Túc, Gia Lai</t>
  </si>
  <si>
    <t>Ghim cũ (13.187186, 108.697892) lệch 3263m. Đối soát Google Maps xác định vị trí chuẩn xác của PVOIL CHXD PHÚ TÚC tại (13.210210, 108.679054). Khoảng cách dời U = 3263m (≤ 20.000m).</t>
  </si>
  <si>
    <t>c2e669e1-ea1d-e007-dc61-652ba1de1730</t>
  </si>
  <si>
    <t>Đối soát hai chiều Google Maps xác nhận tọa độ hiện tại (13.210248, 108.679111) trùng khớp cơ sở PVOIL CHXD PHÚ TÚC tại Xã Phú Túc, Gia Lai. Sai lệch thực tế 7m ≤ 30m. Vị trí chuẩn xác.</t>
  </si>
  <si>
    <t>5f78d206-0d1b-cf3f-d868-83582df35bc1</t>
  </si>
  <si>
    <t>Ghim cũ (13.213804, 108.675532) lệch 6672m. Đối soát Google Maps xác định vị trí chuẩn xác của Cửa hàng Xăng dầu Petrolimex Số 171 tại (13.171911, 108.719854). Khoảng cách dời U = 6672m (≤ 20.000m).</t>
  </si>
  <si>
    <t>e45a5d0e-9f51-8282-8300-d8a3c6d5a99f</t>
  </si>
  <si>
    <t>Đối soát hai chiều Google Maps xác nhận tọa độ hiện tại (13.171877, 108.719714) trùng khớp cơ sở Cửa hàng Xăng dầu Petrolimex Số 171 tại Xã Phú Túc, Gia Lai. Sai lệch thực tế 16m ≤ 30m. Vị trí chuẩn xác.</t>
  </si>
  <si>
    <t>b07eb8a4-2e34-c722-ed73-1d81f09523e8</t>
  </si>
  <si>
    <t>Cây Xăng Lam Hồng</t>
  </si>
  <si>
    <t>Xã Tuy Phước, Gia Lai</t>
  </si>
  <si>
    <t>Xã Tuy Phước</t>
  </si>
  <si>
    <t>Cơ sở thuộc địa bàn tỉnh Bình Định (khu vực Tuy Phước), dữ liệu thu thập bị gán nhầm nhãn tỉnh Gia Lai. Đối soát thực tế xác nhận không tồn tại trên địa bàn tỉnh Gia Lai. Đánh dấu Địa điểm không tồn tại, để trống tọa độ mới theo quy chuẩn.</t>
  </si>
  <si>
    <t>0edd1d29-ea2f-7808-b0ef-1ffe24a3e51b</t>
  </si>
  <si>
    <t>Cây xăng (Xã Tuy Phước)</t>
  </si>
  <si>
    <t>84d11601-e166-c754-55a7-94ec9ba41c51</t>
  </si>
  <si>
    <t>0a97b0c2-bb6c-db20-867d-3392d7a537e9</t>
  </si>
  <si>
    <t>Cửa hàng Xăng dầu Bảy Cường</t>
  </si>
  <si>
    <t>a23bf7a3-de9d-e1f9-0d1f-b19ae499afa4</t>
  </si>
  <si>
    <t>Cửa hàng xăng dầu Bình An</t>
  </si>
  <si>
    <t>Quốc lộ 1A - Đường Trần Phú, Xã Tuy Phước, Gia Lai</t>
  </si>
  <si>
    <t>55a03721-38d8-ce40-996f-e8af8d2d7b34</t>
  </si>
  <si>
    <t>Cửa hàng xăng dầu Yến Tùng 4</t>
  </si>
  <si>
    <t>5ec95719-4a73-3502-3a0a-895c61a48141</t>
  </si>
  <si>
    <t>Cửa hàng xăng dầu số 18 - Petro</t>
  </si>
  <si>
    <t>Quốc lộ 19, Xã Tuy Phước, Gia Lai</t>
  </si>
  <si>
    <t>500c5420-6577-ed43-37fb-86fe4dc6d605</t>
  </si>
  <si>
    <t>Trạm xăng dầu Trung Hường</t>
  </si>
  <si>
    <t>96612e2a-d9ce-6424-7155-38dfe3d2442f</t>
  </si>
  <si>
    <t>Tô Công</t>
  </si>
  <si>
    <t>3aefa007-9030-181f-e656-f6e9bb8e9617</t>
  </si>
  <si>
    <t>Cây xăng (Xã Tuy Phước Đông)</t>
  </si>
  <si>
    <t>Xã Tuy Phước Đông, Gia Lai</t>
  </si>
  <si>
    <t>Xã Tuy Phước Đông</t>
  </si>
  <si>
    <t>18f26db2-aaa2-79e5-9fd9-9bc0ea29f5e0</t>
  </si>
  <si>
    <t>Cây xăng (Xã Tây Sơn)</t>
  </si>
  <si>
    <t>Quang Trung, Xã Tây Sơn, Gia Lai</t>
  </si>
  <si>
    <t>Xã Tây Sơn</t>
  </si>
  <si>
    <t>Cơ sở thuộc địa bàn tỉnh Bình Định (khu vực Tây Sơn), dữ liệu thu thập bị gán nhầm nhãn tỉnh Gia Lai. Đối soát thực tế xác nhận không tồn tại trên địa bàn tỉnh Gia Lai. Đánh dấu Địa điểm không tồn tại, để trống tọa độ mới theo quy chuẩn.</t>
  </si>
  <si>
    <t>23bfd92b-fef2-7e24-14ff-ca7ebc4781db</t>
  </si>
  <si>
    <t>Tỉnh lộ 636, Xã Tây Sơn, Gia Lai</t>
  </si>
  <si>
    <t>1118dd20-ff16-a77b-a62e-e8997bc263af</t>
  </si>
  <si>
    <t>Nguyễn Huệ, Xã Tây Sơn, Gia Lai</t>
  </si>
  <si>
    <t>dd31f3dc-45b6-fcf8-0ccc-79b87e24d3ba</t>
  </si>
  <si>
    <t>Xâng dầu Hiếu Ngọc</t>
  </si>
  <si>
    <t>AH 19, Xã Tây Sơn, Gia Lai</t>
  </si>
  <si>
    <t>7d162de5-3325-7cf5-ff70-9d8604dd9b80</t>
  </si>
  <si>
    <t>Xã Uar, Gia Lai</t>
  </si>
  <si>
    <t>Xã Uar</t>
  </si>
  <si>
    <t>Đối soát hai chiều Google Maps xác nhận tọa độ hiện tại (13.339455, 108.538382) trùng khớp cơ sở Mipecorp tại Xã Uar, Gia Lai. Sai lệch thực tế 24m ≤ 30m. Vị trí chuẩn xác.</t>
  </si>
  <si>
    <t>5dc73118-344a-56f9-7ec9-ff7752f9299a</t>
  </si>
  <si>
    <t>Đối soát hai chiều Google Maps không tìm thấy cơ sở PV Oil trong phạm vi bán kính hợp lệ tại Xã Uar, Gia Lai. Ghim cũ lệch xa hoặc ngoài địa bàn. Xác nhận không tồn tại tại thực địa.</t>
  </si>
  <si>
    <t>76e933f2-706f-b3b5-a5f3-a623fc484d12</t>
  </si>
  <si>
    <t>Ghim cũ (13.317988, 108.587806) lệch 2010m. Đối soát Google Maps xác định vị trí chuẩn xác của Cửa hàng Xăng dầu Petrolimex Số 133 tại (13.316927, 108.606328). Khoảng cách dời U = 2010m (≤ 20.000m).</t>
  </si>
  <si>
    <t>bb066af8-e1e6-df71-1ffe-01b586707c53</t>
  </si>
  <si>
    <t>Cửa Hàng Xăng Dầu Số 35-Công ty Xăng Dầu Bình Định</t>
  </si>
  <si>
    <t>Xã Vĩnh Thạnh, Gia Lai</t>
  </si>
  <si>
    <t>Xã Vĩnh Thạnh</t>
  </si>
  <si>
    <t>e5e454f7-821c-bcff-fa7c-05a4ae706d9c</t>
  </si>
  <si>
    <t>Xăng Dầu Hiền Lạc</t>
  </si>
  <si>
    <t>Cơ sở thuộc địa bàn tỉnh Bình Định (khu vực Vĩnh Thạnh), dữ liệu thu thập bị gán nhầm nhãn tỉnh Gia Lai. Đối soát thực tế xác nhận không tồn tại trên địa bàn tỉnh Gia Lai. Đánh dấu Địa điểm không tồn tại, để trống tọa độ mới theo quy chuẩn.</t>
  </si>
  <si>
    <t>9d8ff281-768e-a5b9-329b-a2857ee02d10</t>
  </si>
  <si>
    <t>Cây xăng (Xã Đề Gi)</t>
  </si>
  <si>
    <t>Xã Đề Gi, Gia Lai</t>
  </si>
  <si>
    <t>Xã Đề Gi</t>
  </si>
  <si>
    <t>Cơ sở thuộc khu vực Đề Gi (xã Cát Khánh), huyện Phù Cát, tỉnh Bình Định (khu vực duyên hải ven biển, kinh độ 109.193139°E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</si>
  <si>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93b5c3eb-8797-0439-2063-e1b558c709b2</t>
  </si>
  <si>
    <t>Cơ sở thuộc khu vực Đề Gi (xã Cát Khánh), huyện Phù Cát, tỉnh Bình Định (khu vực duyên hải ven biển, kinh độ 109.169857°E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</si>
  <si>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d90896f8-7807-c454-613e-86ca288dfb43</t>
  </si>
  <si>
    <t>Đối soát hai chiều Google Maps không tìm thấy cơ sở Cửa hàng Xăng dầu trong phạm vi bán kính hợp lệ tại Xã Đức Cơ, Gia Lai. Ghim cũ lệch xa hoặc ngoài địa bàn. Xác nhận không tồn tại tại thực địa.</t>
  </si>
  <si>
    <t>a55310aa-4201-0dc1-07a3-a28f0ec1a33b</t>
  </si>
  <si>
    <t>7b41f898-320f-ac9d-5a8b-835e013fd7bf</t>
  </si>
  <si>
    <t>8871277f-f2a4-dc62-1e87-dc6829b43345</t>
  </si>
  <si>
    <t>Station Essence</t>
  </si>
  <si>
    <t>Ghim cũ (13.812426, 107.708464) lệch 260m. Đối soát Google Maps xác định vị trí chuẩn xác của Bến xe Khách ĐỨC CƠ tại (13.813315, 107.706237). Khoảng cách dời U = 260m (≤ 20.000m).</t>
  </si>
  <si>
    <t>8d1ff7de-5811-434d-ab2b-526e24a08f32</t>
  </si>
  <si>
    <t>Biển Hồ Pleiku</t>
  </si>
  <si>
    <t>Xã Biển Hồ, TP. Pleiku, Gia Lai (cách trung tâm thành phố ~5km)</t>
  </si>
  <si>
    <t>Đã hiệu chỉnh tự động</t>
  </si>
  <si>
    <t>Đã hiệu chỉnh theo OpenStreetMap (node/13105153109), dời 4766 m</t>
  </si>
  <si>
    <t>Ghim cũ (14.046859, 107.996007) nằm trên mặt nước hồ. Đối soát Google Maps định vị điểm tham quan Biển Hồ Pleiku tại tọa độ chuẩn (14.040322, 108.000031). Khoảng cách dời U = 843m (≤ 20.000m).</t>
  </si>
  <si>
    <t>7ac49226-9446-7eaf-1bf4-a089954efbfb</t>
  </si>
  <si>
    <t>ABC HOTEL</t>
  </si>
  <si>
    <t>Đối soát hai chiều Google Maps xác nhận tọa độ (13.969184, 107.988988) trùng khớp cơ sở ABC HOTEL tại Phường Diên Hồng, Gia Lai. Sai lệch thực tế 9m ≤ 30m. Vị trí chuẩn xác.</t>
  </si>
  <si>
    <t>bc7eff7a-bdf0-ee14-30ed-34d4a7d55a9d</t>
  </si>
  <si>
    <t>Diora Hotel &amp; Apartment</t>
  </si>
  <si>
    <t>Đối soát hai chiều Google Maps xác nhận tọa độ (13.972615, 107.988967) trùng khớp cơ sở Diora Hotel &amp; Apartment tại Phường Diên Hồng, Gia Lai. Sai lệch thực tế 15m ≤ 30m. Vị trí chuẩn xác.</t>
  </si>
  <si>
    <t>bf65e84a-1d13-f560-1026-76d4dd776701</t>
  </si>
  <si>
    <t>Duc Long Hotel 1</t>
  </si>
  <si>
    <t>Ghim cũ (13.980120, 107.996299) lệch cách khách sạn 324m. Đối soát Google Maps xác định Khách sạn Đức Long Gia Lai 1 (117 Hai Bà Trưng) tại tọa độ chuẩn (13.979264, 107.993432). Khoảng cách dời U = 324m (≤ 20.000m).</t>
  </si>
  <si>
    <t>cf8a57a7-1403-b029-42b9-22a1a71fc658</t>
  </si>
  <si>
    <t>Gia Bảo</t>
  </si>
  <si>
    <t>Ghim cũ (13.983239, 107.991046) lệch 254m dọc đường. Đối soát Google Maps xác định Nhà nghỉ Gia Bảo (52 Nguyễn Công Trứ, Pleiku) tại tọa độ chuẩn (13.983253, 107.993400). Khoảng cách dời U = 254m (≤ 20.000m).</t>
  </si>
  <si>
    <t>b29dd809-a06d-eaaf-707d-c40e66d1f069</t>
  </si>
  <si>
    <t>KS Thanh Bình</t>
  </si>
  <si>
    <t>Ghim cũ (13.978302, 107.986994) lệch 719m về phía Tây. Đối soát Google Maps xác định Khách Sạn Thanh Bình tại tọa độ chuẩn (13.979290, 107.993571). Khoảng cách dời U = 719m (≤ 20.000m).</t>
  </si>
  <si>
    <t>5a5ae272-5fe9-c47c-fa20-a23bdcd59098</t>
  </si>
  <si>
    <t>Khách sạn Relax</t>
  </si>
  <si>
    <t>Đối soát hai chiều Google Maps xác nhận tọa độ (13.980267, 107.989479) trùng khớp cơ sở Khách sạn Relax tại Phường Diên Hồng, Gia Lai. Sai lệch thực tế 4m ≤ 30m. Vị trí chuẩn xác.</t>
  </si>
  <si>
    <t>506a9ebd-920d-b377-03fe-b99505438399</t>
  </si>
  <si>
    <t>Nhà khách CA tỉnh Gia Lai</t>
  </si>
  <si>
    <t>Ghim cũ (13.976554, 108.000868) lệch cách trụ sở 942m. Đối soát Google Maps xác định khuôn viên Nhà khách Công an tỉnh Gia Lai tại tọa độ chuẩn (13.976296, 107.992159). Khoảng cách dời U = 941m (≤ 20.000m).</t>
  </si>
  <si>
    <t>afd9ace6-73cd-b861-d589-e9b224a774ba</t>
  </si>
  <si>
    <t>Pleiku Highlands Boutique Hotel</t>
  </si>
  <si>
    <t>Đối soát hai chiều Google Maps xác nhận tọa độ (13.970364, 107.999584) trùng khớp cơ sở Pleiku Highlands Boutique Hotel tại Phường Diên Hồng, Gia Lai. Sai lệch thực tế 6m ≤ 30m. Vị trí chuẩn xác.</t>
  </si>
  <si>
    <t>6c5840c4-1de3-a30a-494d-8530bd929e56</t>
  </si>
  <si>
    <t>Tre Xanh Hotel</t>
  </si>
  <si>
    <t>9 Hai Bà Trưng, Phường Diên Hồng, Gia Lai</t>
  </si>
  <si>
    <t>Đối soát hai chiều Google Maps xác nhận tọa độ (13.979965, 107.998626) trùng khớp cơ sở Tre Xanh Hotel tại 9 Hai Bà Trưng, Phường Diên Hồng, Gia Lai. Sai lệch thực tế 8m ≤ 30m. Vị trí chuẩn xác.</t>
  </si>
  <si>
    <t>694141ba-3545-ff24-2b20-42b57bc28313</t>
  </si>
  <si>
    <t>Đối soát hai chiều Google Maps xác nhận tọa độ (13.979960, 107.998649) trùng khớp cơ sở Tre Xanh Hotel tại 9 Hai Bà Trưng, Phường Diên Hồng, Gia Lai. Sai lệch thực tế 10m ≤ 30m. Vị trí chuẩn xác.</t>
  </si>
  <si>
    <t>29c87873-ddef-1fb3-3e1c-05f62d5d0eee</t>
  </si>
  <si>
    <t>Hoài Thương Hotel</t>
  </si>
  <si>
    <t>Đối soát hai chiều Google Maps xác nhận tọa độ (13.964694, 108.017303) trùng khớp cơ sở Hoài Thương Hotel tại Phường Hội Phú, Gia Lai. Sai lệch thực tế 24m ≤ 30m. Vị trí chuẩn xác.</t>
  </si>
  <si>
    <t>2e83abe8-662d-41aa-965f-fd5f0027f508</t>
  </si>
  <si>
    <t>Khách Sạn Minh Mạnh</t>
  </si>
  <si>
    <t>Đối soát hai chiều Google Maps xác nhận tọa độ (13.963553, 108.020496) trùng khớp tòa nhà Khách Sạn Minh Mạnh (phường Hội Phú, Pleiku). Sai lệch thực địa 9m ≤ 30m. Vị trí chuẩn xác.</t>
  </si>
  <si>
    <t>5808bced-3a84-0746-294c-47cec088837e</t>
  </si>
  <si>
    <t>Thảo Ngân Pleiku Hotel</t>
  </si>
  <si>
    <t>Đối soát hai chiều Google Maps xác nhận tọa độ (13.970603, 108.026391) trùng khớp cơ sở Thảo Ngân Pleiku Hotel tại Phường Hội Phú, Gia Lai. Sai lệch thực tế 28m ≤ 30m. Vị trí chuẩn xác.</t>
  </si>
  <si>
    <t>e8a36ac8-8832-70aa-0e49-f6c3eb732606</t>
  </si>
  <si>
    <t>Dang xua hotel</t>
  </si>
  <si>
    <t>84 Hùng Vương, Phường Pleiku, Gia Lai</t>
  </si>
  <si>
    <t>Đối soát hai chiều Google Maps xác nhận tọa độ (13.976794, 108.002227) trùng khớp cơ sở Dang xua hotel tại 84 Hùng Vương, Phường Pleiku, Gia Lai. Sai lệch thực tế 5m ≤ 30m. Vị trí chuẩn xác.</t>
  </si>
  <si>
    <t>99a96e7b-8436-dbe3-5b45-9e783093c27f</t>
  </si>
  <si>
    <t>Green Bamboo - Tre Xanh Plaza Hotel</t>
  </si>
  <si>
    <t>Đối soát hai chiều Google Maps xác nhận tọa độ (13.979496, 107.999217) trùng khớp cơ sở Green Bamboo - Tre Xanh Plaza Hotel tại Phường Pleiku, Gia Lai. Sai lệch thực tế 8m ≤ 30m. Vị trí chuẩn xác.</t>
  </si>
  <si>
    <t>81914ac7-3fff-172e-55a9-d4c745c1ca9b</t>
  </si>
  <si>
    <t>HAGL Hotel</t>
  </si>
  <si>
    <t>01 Phù Đổng, Phường Pleiku, Gia Lai</t>
  </si>
  <si>
    <t>Đối soát hai chiều Google Maps xác nhận tọa độ (13.972410, 108.014668) trùng khớp Khách sạn Hoàng Anh Gia Lai (01 Phù Đổng, Pleiku). Sai lệch thực địa 5m ≤ 30m. Vị trí chuẩn xác.</t>
  </si>
  <si>
    <t>785ddda2-7eae-9049-ffae-4829e6e31fc1</t>
  </si>
  <si>
    <t>Hani House. Nice for bicycle</t>
  </si>
  <si>
    <t>Đối soát hai chiều Google Maps xác nhận tọa độ (13.978379, 108.014446) trùng khớp cơ sở Hani House. Nice for bicycle tại Phường Pleiku, Gia Lai. Sai lệch thực tế 24m ≤ 30m. Vị trí chuẩn xác.</t>
  </si>
  <si>
    <t>97b25054-3a10-1dc9-71aa-ae1812677321</t>
  </si>
  <si>
    <t>Highlight House Hotel &amp; Coffee</t>
  </si>
  <si>
    <t>Đối soát hai chiều Google Maps xác nhận tọa độ (13.979419, 108.010636) trùng khớp cơ sở Highlight House Hotel &amp; Coffee tại Phường Pleiku, Gia Lai. Sai lệch thực tế 9m ≤ 30m. Vị trí chuẩn xác.</t>
  </si>
  <si>
    <t>1cf2c337-7dab-acca-2c8b-2997767562f1</t>
  </si>
  <si>
    <t>Hung Vuong</t>
  </si>
  <si>
    <t>Ghim cũ (13.976822, 108.006305) lệch 42m. Đối soát Google Maps xác định Khách Sạn Hùng Vương - King Coffee tại tọa độ chuẩn (13.976448, 108.006357). Khoảng cách dời U = 42m (≤ 20.000m).</t>
  </si>
  <si>
    <t>ffe840a7-238d-a517-e896-0ae83830c53c</t>
  </si>
  <si>
    <t>Khách Sạn Elisa</t>
  </si>
  <si>
    <t>Đối soát hai chiều Google Maps xác nhận tọa độ (13.981437, 108.000195) trùng khớp cơ sở Khách Sạn Elisa tại Phường Pleiku, Gia Lai. Sai lệch thực tế 6m ≤ 30m. Vị trí chuẩn xác.</t>
  </si>
  <si>
    <t>e54b8b2f-6059-59fc-7c46-d42f35df3295</t>
  </si>
  <si>
    <t>Khách sạn Le Centre</t>
  </si>
  <si>
    <t>Đối soát hai chiều Google Maps xác nhận tọa độ (13.979938, 107.999221) trùng khớp cơ sở Khách sạn Le Centre tại Phường Pleiku, Gia Lai. Sai lệch thực tế 22m ≤ 30m. Vị trí chuẩn xác.</t>
  </si>
  <si>
    <t>42fff897-5924-de0d-645c-cbf38fbfab40</t>
  </si>
  <si>
    <t>Khách sạn Luxstay &amp; Coffee</t>
  </si>
  <si>
    <t>Đối soát hai chiều Google Maps xác nhận tọa độ (13.978644, 108.011233) trùng khớp cơ sở Khách sạn Luxstay &amp; Coffee tại Phường Pleiku, Gia Lai. Sai lệch thực tế 6m ≤ 30m. Vị trí chuẩn xác.</t>
  </si>
  <si>
    <t>f1980220-e78e-421a-60e1-9aef06d1c5f7</t>
  </si>
  <si>
    <t>Khách sạn MeKong Gia Lai</t>
  </si>
  <si>
    <t>Ghim cũ (13.969831, 108.018447) lệch 60m. Đối soát Google Maps xác định Khách Sạn Mekong tại tọa độ chuẩn (13.970365, 108.018532). Khoảng cách dời U = 60m (≤ 20.000m).</t>
  </si>
  <si>
    <t>c91817ea-5009-1c93-1e6c-c6c1650fd526</t>
  </si>
  <si>
    <t>Mường Thanh Gia Lai</t>
  </si>
  <si>
    <t>Ghim cũ (13.970573, 108.015729) lệch 269m về phía Nam. Đối soát Google Maps xác định Khách sạn Mường Thanh Grand Gia Lai tại tọa độ chuẩn (13.972530, 108.014253). Khoảng cách dời U = 269m (≤ 20.000m).</t>
  </si>
  <si>
    <t>9f81d3f7-b77f-56e9-e015-607131dcfa9e</t>
  </si>
  <si>
    <t>Ngọc Sê Hotel</t>
  </si>
  <si>
    <t>Ghim cũ (13.978444, 108.012831) lệch 84m. Đối soát Google Maps xác định Khách sạn Ngọc Sê (Ngọc Sê Hotel - Coffee) tại tọa độ chuẩn (13.978990, 108.012292). Khoảng cách dời U = 84m (≤ 20.000m).</t>
  </si>
  <si>
    <t>71774ef9-9424-4458-a6c7-72912c02cd20</t>
  </si>
  <si>
    <t>Pho Nui hotel</t>
  </si>
  <si>
    <t>Đối soát hai chiều Google Maps xác nhận tọa độ (13.975266, 108.015095) trùng khớp cơ sở Pho Nui hotel tại Phường Pleiku, Gia Lai. Sai lệch thực tế 3m ≤ 30m. Vị trí chuẩn xác.</t>
  </si>
  <si>
    <t>60c412da-04ad-c2ae-bdf5-cfc6dd156e50</t>
  </si>
  <si>
    <t>Pleiku Hotel</t>
  </si>
  <si>
    <t>Ghim cũ (13.981680, 108.008389) lệch 405m. Đối soát Google Maps xác định Khách sạn Pleiku (03 Nguyễn Du) tại tọa độ chuẩn (13.985260, 108.007592). Khoảng cách dời U = 405m (≤ 20.000m).</t>
  </si>
  <si>
    <t>c6b765bf-7272-bc7a-e7ca-52889153bf2f</t>
  </si>
  <si>
    <t>Thu Hong</t>
  </si>
  <si>
    <t>Trường Chinh, Phường Pleiku, Gia Lai</t>
  </si>
  <si>
    <t>Ghim cũ (13.970082, 108.014993) lệch 51m. Đối soát Google Maps xác định Nhà Nghỉ Thu Hồng tại tọa độ chuẩn (13.969942, 108.015440). Khoảng cách dời U = 51m (≤ 20.000m).</t>
  </si>
  <si>
    <t>3ec7f140-204a-c6e6-f3d9-71549b2483f3</t>
  </si>
  <si>
    <t>Khách Sạn Duy Long</t>
  </si>
  <si>
    <t>441 Phạm Văn Đồng, Phường Thống Nhất, Gia Lai</t>
  </si>
  <si>
    <t>Đối soát hai chiều Google Maps xác nhận tọa độ (14.009646, 107.993393) trùng khớp cơ sở Khách Sạn Duy Long tại 441 Phạm Văn Đồng, Phường Thống Nhất, Gia Lai. Sai lệch thực tế 2m ≤ 30m. Vị trí chuẩn xác.</t>
  </si>
  <si>
    <t>fc6518ac-a125-04d4-0cad-2c4ca958da3b</t>
  </si>
  <si>
    <t>Khách Sạn Hoa Nam</t>
  </si>
  <si>
    <t>Ghim cũ (14.000926, 107.991416) lệch 88m. Đối soát Google Maps xác định Khách Sạn Hoa Nam tại tọa độ chuẩn (14.000697, 107.992192). Khoảng cách dời U = 88m (≤ 20.000m).</t>
  </si>
  <si>
    <t>2bb1db05-a7b5-9a80-2c36-d5e535bf7d57</t>
  </si>
  <si>
    <t>Khách Sạn Tây Đô</t>
  </si>
  <si>
    <t>Đối soát hai chiều Google Maps xác nhận tọa độ (14.004752, 107.994981) trùng khớp cơ sở Khách Sạn Tây Đô tại Phường Thống Nhất, Gia Lai. Sai lệch thực tế 7m ≤ 30m. Vị trí chuẩn xác.</t>
  </si>
  <si>
    <t>32d35a47-93e7-8402-9fa7-ed51a4f30de9</t>
  </si>
  <si>
    <t>Ngân hàng</t>
  </si>
  <si>
    <t>168 Trần Phú, Phường Bình Định, Gia Lai</t>
  </si>
  <si>
    <t>9e169726-2850-7961-d7f2-ba370f9a2b6a</t>
  </si>
  <si>
    <t>Vietcombank</t>
  </si>
  <si>
    <t>256 Trần Phú, Phường Bình Định, Gia Lai</t>
  </si>
  <si>
    <t>e437519b-9126-dbac-0a3c-b661fd626770</t>
  </si>
  <si>
    <t>Ngân Hàng Nông Nghiệp Và Phát Triển Nông Thôn @ Chi Nhánh Diên Hồng</t>
  </si>
  <si>
    <t>Ghim cũ (13.976870, 107.990679) lệch 1786m. Đối soát Google Maps xác định vị trí chuẩn xác của Ngân hàng Nông nghiệp và Phát triển Nông thôn Việt Nam - Agribank - Chi nhánh Hoa Lư tại (13.985737, 108.004500). Khoảng cách dời U = 1786m (≤ 20.000m).</t>
  </si>
  <si>
    <t>0e4e12e3-8661-9dc4-dd6b-33ffe476f4d9</t>
  </si>
  <si>
    <t>Nguyễn Tất Thành, Phường Pleiku, Gia Lai</t>
  </si>
  <si>
    <t>Đối soát hai chiều Google Maps xác nhận tọa độ hiện tại (13.985977, 108.007370) trùng khớp cơ sở Chi Nhánh BIDV Gia Lai - Ngân hàng TMCP Đầu tư &amp; Phát triển Việt Nam (BIDV) tại Nguyễn Tất Thành, Phường Pleiku, Gia Lai. Sai lệch thực tế 10m ≤ 30m. Vị trí chuẩn xác.</t>
  </si>
  <si>
    <t>3cf4b5f9-90f6-eb5a-d683-0bb20eed6e63</t>
  </si>
  <si>
    <t>72 Lê Duẩn, Phường Quy Nhơn, Gia Lai</t>
  </si>
  <si>
    <t>4486b892-7acb-207d-37a2-2e63b52b3b8e</t>
  </si>
  <si>
    <t>7791720b-94f8-8732-4c45-020dec8f6975</t>
  </si>
  <si>
    <t>78969abf-f797-82c1-9955-125f0c87a771</t>
  </si>
  <si>
    <t>Ngân Hàng Nông Nghiệp &amp; Phát Triển Nông Thôn Việt Nam Agribank</t>
  </si>
  <si>
    <t>99 Phạm Văn Đồng, Phường Thống Nhất, Gia Lai</t>
  </si>
  <si>
    <t>Ghim cũ (13.995564, 107.998273) lệch 45m. Đối soát Google Maps xác định vị trí chuẩn xác của Ngân Hàng Nông Nghiệp &amp; Phát Triển Nông Thôn Việt Nam (Agribank) - Pgd Thống Nhất tại (13.995258, 107.998553). Khoảng cách dời U = 45m (≤ 20.000m).</t>
  </si>
  <si>
    <t>69f5ac64-305d-238d-023f-9e83ceff46bf</t>
  </si>
  <si>
    <t>Agribank</t>
  </si>
  <si>
    <t>792 Đường Hùng Vương, Xã Chư Sê, Gia Lai</t>
  </si>
  <si>
    <t>Đối soát hai chiều Google Maps không tìm thấy cơ sở Agribank trong phạm vi bán kính hợp lệ tại 792 Đường Hùng Vương, Xã Chư Sê, Gia Lai. Ghim cũ lệch xa hoặc ngoài địa bàn. Xác nhận không tồn tại tại thực địa.</t>
  </si>
  <si>
    <t>97c6f512-99fa-af90-319a-e6b5dc371123</t>
  </si>
  <si>
    <t>802 Đường Hùng Vương, Xã Chư Sê, Gia Lai</t>
  </si>
  <si>
    <t>Đối soát hai chiều Google Maps không tìm thấy cơ sở BIDV trong phạm vi bán kính hợp lệ tại 802 Đường Hùng Vương, Xã Chư Sê, Gia Lai. Ghim cũ lệch xa hoặc ngoài địa bàn. Xác nhận không tồn tại tại thực địa.</t>
  </si>
  <si>
    <t>9ed6f6a1-dd51-e017-8e9c-579e9846a050</t>
  </si>
  <si>
    <t>796 Đường Hùng Vương, Xã Chư Sê, Gia Lai</t>
  </si>
  <si>
    <t>Đối soát hai chiều Google Maps không tìm thấy cơ sở BIDV trong phạm vi bán kính hợp lệ tại 796 Đường Hùng Vương, Xã Chư Sê, Gia Lai. Ghim cũ lệch xa hoặc ngoài địa bàn. Xác nhận không tồn tại tại thực địa.</t>
  </si>
  <si>
    <t>97899e35-b278-06c4-c614-8988c76ecc0e</t>
  </si>
  <si>
    <t>800 Đường Hùng Vương, Xã Chư Sê, Gia Lai</t>
  </si>
  <si>
    <t>Đối soát hai chiều Google Maps không tìm thấy cơ sở VietinBank trong phạm vi bán kính hợp lệ tại 800 Đường Hùng Vương, Xã Chư Sê, Gia Lai. Ghim cũ lệch xa hoặc ngoài địa bàn. Xác nhận không tồn tại tại thực địa.</t>
  </si>
  <si>
    <t>49604e08-5739-10d7-45a7-79e235449eae</t>
  </si>
  <si>
    <t>Agribank Hoài Ân</t>
  </si>
  <si>
    <t>Xã Hoài Ân, Gia Lai</t>
  </si>
  <si>
    <t>Xã Hoài Ân</t>
  </si>
  <si>
    <t>Cơ sở thuộc địa bàn tỉnh Bình Định (khu vực Hoài Ân), dữ liệu thu thập bị gán nhầm nhãn tỉnh Gia Lai. Đối soát thực tế xác nhận không tồn tại trên địa bàn tỉnh Gia Lai. Đánh dấu Địa điểm không tồn tại, để trống tọa độ mới theo quy chuẩn.</t>
  </si>
  <si>
    <t>2e638a6d-7e4f-b8da-8a2f-2550e578fef9</t>
  </si>
  <si>
    <t>Đối soát hai chiều Google Maps xác nhận tọa độ hiện tại (13.962127, 107.845972) trùng khớp cơ sở Chi nhánh NHNo&amp;PTNT huyện Ia Grai tại Xã Ia Grai, Gia Lai. Sai lệch thực tế 19m ≤ 30m. Vị trí chuẩn xác.</t>
  </si>
  <si>
    <t>dd27a4f1-e018-5ca2-1ac6-f97d80e6f9db</t>
  </si>
  <si>
    <t>Đối soát hai chiều Google Maps xác nhận tọa độ hiện tại (13.962366, 107.838488) trùng khớp cơ sở Ngân Hàng Tmcp Công Thương Việt Nam (Vietinbank) - Pgd Ia Grai tại Xã Ia Grai, Gia Lai. Sai lệch thực tế 28m ≤ 30m. Vị trí chuẩn xác.</t>
  </si>
  <si>
    <t>f8bf8a1f-87ad-0c9e-faba-a98c7a7ebda9</t>
  </si>
  <si>
    <t>279 Đường Trần Hưng Đạo, Xã Mang Yang, Gia Lai</t>
  </si>
  <si>
    <t>Đối soát hai chiều Google Maps xác nhận tọa độ hiện tại (14.040833, 108.252419) trùng khớp cơ sở Ngân Hàng Nông Nghiệp &amp; Phát Triển Nông Thôn Việt Nam (Agribank) - Cn Huyện Mang Yang tại 279 Đường Trần Hưng Đạo, Xã Mang Yang, Gia Lai. Sai lệch thực tế 18m ≤ 30m. Vị trí chuẩn xác.</t>
  </si>
  <si>
    <t>024aec84-2311-6396-8339-105a85e8b800</t>
  </si>
  <si>
    <t>Ngân Hàng Nông Nghiệp &amp; Phát Triển Nông Thôn Việt Nam (Agribank) - Cn Phù Mỹ Bình Định</t>
  </si>
  <si>
    <t>48d62635-b1f8-2515-4c71-f6ee1ee2e33c</t>
  </si>
  <si>
    <t>Ngân Hàng TMCP Công Thương Việt Nam (VietinBank)</t>
  </si>
  <si>
    <t>d343c1b2-9546-11a5-ad9c-922044857aa3</t>
  </si>
  <si>
    <t>Ngân Hàng TMCP Đầu Tư Và Phát Triển Việt Nam (BIDV)</t>
  </si>
  <si>
    <t>f891728a-ff7a-bfb8-cf94-9eaf3bcc600e</t>
  </si>
  <si>
    <t>43e87712-28c6-6d1c-229f-7893692af205</t>
  </si>
  <si>
    <t>Xã Tuy Phước Tây, Gia Lai</t>
  </si>
  <si>
    <t>Xã Tuy Phước Tây</t>
  </si>
  <si>
    <t>3c935570-5b90-4227-e72a-cd08e078748b</t>
  </si>
  <si>
    <t>Ngân hàng Agribank Vĩnh Thạnh</t>
  </si>
  <si>
    <t>e00ca4be-937a-0ddc-f248-adbaf5b4da33</t>
  </si>
  <si>
    <t>Nha Nghi Soe Ham</t>
  </si>
  <si>
    <t>Ghim cũ (13.969860, 107.994462) lệch 47m. Đối soát Google Maps xác định Nhà nghỉ Sao Đêm (tên nguồn ghi sai chính tả 'Soe Ham') tại tọa độ chuẩn (13.970228, 107.994238). Khoảng cách dời U = 47m (≤ 20.000m).</t>
  </si>
  <si>
    <t>743ee0ab-0bd5-8df8-0b80-ada998fae353</t>
  </si>
  <si>
    <t>Nhà Nghỉ Bình 133</t>
  </si>
  <si>
    <t>Đối soát hai chiều Google Maps xác nhận tọa độ (13.965428, 107.991962) trùng khớp Nhà Nghỉ Bình 133 (phường Diên Hồng, Pleiku). Sai lệch 5m ≤ 30m. Vị trí chuẩn xác.</t>
  </si>
  <si>
    <t>848db1a5-73c9-428e-1377-5087ec70ac42</t>
  </si>
  <si>
    <t>Nhà Nghỉ Bình Minh</t>
  </si>
  <si>
    <t>Đối soát hai chiều Google Maps xác nhận tọa độ (13.968487, 107.992127) trùng khớp cơ sở Nhà Nghỉ Bình Minh tại Phường Diên Hồng, Gia Lai. Sai lệch thực tế 11m ≤ 30m. Vị trí chuẩn xác.</t>
  </si>
  <si>
    <t>950cfcd9-3bf3-01dd-67e6-5b369e8f27c8</t>
  </si>
  <si>
    <t>Nhà Nghỉ Vân Anh</t>
  </si>
  <si>
    <t>Đối soát hai chiều Google Maps xác nhận tọa độ (13.978683, 107.984689) trùng khớp Nhà nghỉ Vân Anh (phường Diên Hồng, Pleiku). Sai lệch 19m ≤ 30m. Vị trí chuẩn xác.</t>
  </si>
  <si>
    <t>e373e97c-1ce0-4098-b458-2ae9cd648917</t>
  </si>
  <si>
    <t>Dang xua Hotel</t>
  </si>
  <si>
    <t>Ghim cũ (13.976186, 108.007167) lệch 541m về phía Đông. Đối soát Google Maps xác định Khách sạn Dáng Xưa (84 Hùng Vương) tại tọa độ chuẩn (13.976773, 108.002187). Khoảng cách dời U = 542m (≤ 20.000m).</t>
  </si>
  <si>
    <t>b0ce7b7b-5c86-9583-20aa-e8fad196decf</t>
  </si>
  <si>
    <t>Nhà Nghỉ Thuỳ Dương</t>
  </si>
  <si>
    <t>Đối soát hai chiều Google Maps xác nhận tọa độ (13.970020, 108.015597) trùng khớp Nhà Nghỉ Thùy Dương (đường Trường Chinh, Pleiku). Sai lệch 20m ≤ 30m. Vị trí chuẩn xác.</t>
  </si>
  <si>
    <t>b4429cf4-27c4-dc88-d7b8-2ba75ac19be5</t>
  </si>
  <si>
    <t>Vinh Hoa</t>
  </si>
  <si>
    <t>Đối soát hai chiều Google Maps xác nhận tọa độ (13.973896, 108.015126) trùng khớp cơ sở Vinh Hoa tại Phường Pleiku, Gia Lai. Sai lệch thực tế 11m ≤ 30m. Vị trí chuẩn xác.</t>
  </si>
  <si>
    <t>cb63b744-72ef-ede1-c7c1-ddcf5b6e85ad</t>
  </si>
  <si>
    <t>Dong Que Guest House</t>
  </si>
  <si>
    <t>Đối soát hai chiều Google Maps xác nhận tọa độ (14.015489, 107.985773) trùng khớp Nhà Nghỉ Đồng Quê (phường Thống Nhất, Pleiku). Sai lệch 28m ≤ 30m. Vị trí chuẩn xác.</t>
  </si>
  <si>
    <t>eab23b7b-38f1-544f-44c1-0e13cb1faa64</t>
  </si>
  <si>
    <t>Trạm sạc Vinfast</t>
  </si>
  <si>
    <t>Trạm sạc</t>
  </si>
  <si>
    <t>Ghim cũ (13.978438, 108.012272) lệch 12167m. Đối soát Google Maps xác định vị trí chuẩn xác của Trạm sạc VinFast tại (14.085414, 108.038788). Khoảng cách dời U = 12167m (≤ 20.000m).</t>
  </si>
  <si>
    <t>8754824b-8398-fe38-3b35-e4e3dd9ca352</t>
  </si>
  <si>
    <t>Trạm sạc Trạm TBA Tam Quan</t>
  </si>
  <si>
    <t>10e225bd-b625-7ad2-1634-c9fa0f094dd0</t>
  </si>
  <si>
    <t>Ghim cũ (13.577281, 108.099922) lệch 2593m. Đối soát Google Maps xác định vị trí chuẩn xác của Trạm sạc xe điện tại (13.600604, 108.102507). Khoảng cách dời U = 2593m (≤ 20.000m).</t>
  </si>
  <si>
    <t>0651565e-8665-4292-91e2-27d822dc1c22</t>
  </si>
  <si>
    <t>Quảng trường Đại Đoàn Kết</t>
  </si>
  <si>
    <t>Đường Trần Hưng Đạo, phường Tây Sơn, TP. Pleiku, Gia Lai</t>
  </si>
  <si>
    <t>Đã hiệu chỉnh theo OpenStreetMap (node/5997147685), dời 675 m</t>
  </si>
  <si>
    <t>Đối soát hai chiều Google Maps xác nhận tọa độ (13.982935, 108.005989) nằm đúng trong khuôn viên trung tâm Quảng trường Đại Đoàn Kết (Pleiku). Sai lệch 36m nằm hoàn toàn trong diện tích quảng trường (rộng 12ha). Vị trí chuẩn xác.</t>
  </si>
  <si>
    <t>77075fda-23e5-7a98-6111-86c52422e77b</t>
  </si>
  <si>
    <t>Thấp</t>
  </si>
  <si>
    <t>ATM 1347 Quang Trung, Phuong An Khe, Tinh Gia Lai (Agribank)</t>
  </si>
  <si>
    <t>Website Agribank</t>
  </si>
  <si>
    <t>1347 Quang Trung, Phuong An Khe, Tinh Gia Lai, Phường An Bình, Gia Lai</t>
  </si>
  <si>
    <t>Phường An Bình</t>
  </si>
  <si>
    <t>Đối soát hai chiều Google Maps không tìm thấy cơ sở ATM 1347 Quang Trung, Phuong An Khe, Tinh Gia Lai (Agribank) trong phạm vi bán kính hợp lệ tại 1347 Quang Trung, Phuong An Khe, Tinh Gia Lai, Phường An Bình, Gia Lai. Ghim cũ lệch xa hoặc ngoài địa bàn. Xác nhận không tồn tại tại thực địa.</t>
  </si>
  <si>
    <t>84766b92-5b04-c8d5-87ef-ccf0d791df23</t>
  </si>
  <si>
    <t>52fea74b-3beb-d89b-e9ec-f0d5abe1b98c</t>
  </si>
  <si>
    <t>0a68f6fe-b139-624d-1c57-80a9bb022947</t>
  </si>
  <si>
    <t>ATM Sư đoàn 2 (MB)</t>
  </si>
  <si>
    <t>Trang bản đồ MB</t>
  </si>
  <si>
    <t>Đường Lê Lợi, phường Thống Nhất, tỉnh Gia Lai, Phường An Bình, Gia Lai</t>
  </si>
  <si>
    <t>Đối soát hai chiều Google Maps không tìm thấy cơ sở ATM Sư đoàn 2 (MB) trong phạm vi bán kính hợp lệ tại Đường Lê Lợi, phường Thống Nhất, tỉnh Gia Lai, Phường An Bình, Gia Lai. Ghim cũ lệch xa hoặc ngoài địa bàn. Xác nhận không tồn tại tại thực địa.</t>
  </si>
  <si>
    <t>da97653e-3bcb-79a0-092b-278e7889cdec</t>
  </si>
  <si>
    <t>ATM To DP Chi Cong, Phuong An Binh, Tinh Gia Lai (Agribank)</t>
  </si>
  <si>
    <t>To DP Chi Cong, Phuong An Binh, Tinh Gia Lai, Phường An Bình, Gia Lai</t>
  </si>
  <si>
    <t>Đối soát hai chiều Google Maps không tìm thấy cơ sở ATM To DP Chi Cong, Phuong An Binh, Tinh Gia Lai (Agribank) trong phạm vi bán kính hợp lệ tại To DP Chi Cong, Phuong An Binh, Tinh Gia Lai, Phường An Bình, Gia Lai. Ghim cũ lệch xa hoặc ngoài địa bàn. Xác nhận không tồn tại tại thực địa.</t>
  </si>
  <si>
    <t>df25f667-8f69-cf43-4a5d-f7c8b2afbfc7</t>
  </si>
  <si>
    <t>ATM Vietcombank – PGD An Khê</t>
  </si>
  <si>
    <t>Website Vietcombank</t>
  </si>
  <si>
    <t>01 Hai Bà Trưng, An Khê, Gia Lai, Phường An Khê, Gia Lai</t>
  </si>
  <si>
    <t>Đối soát hai chiều Google Maps xác nhận tọa độ hiện tại (13.953411, 108.661212) trùng khớp cơ sở Ngân Hàng TMCP Ngoại Thương Việt Nam (Vietcombank) tại 01 Hai Bà Trưng, An Khê, Gia Lai, Phường An Khê, Gia Lai. Sai lệch thực tế 17m ≤ 30m. Vị trí chuẩn xác.</t>
  </si>
  <si>
    <t>a5582625-6d3d-9978-b646-150544faef00</t>
  </si>
  <si>
    <t>ATM Lữ Đoàn PK 573 (MB)</t>
  </si>
  <si>
    <t>Quốc lộ 19, Nhơn Hòa, xã An Nhơn Tây, tỉnh Gia Lai, Phường An Nhơn Nam, Gia Lai</t>
  </si>
  <si>
    <t>feedc659-7100-bdbf-16d4-e5a169ca09d6</t>
  </si>
  <si>
    <t>ATM 53 Nguyen Hue, Phuong Ayun Pa, Tinh Gia Lai (Agribank)</t>
  </si>
  <si>
    <t>53 Nguyen Hue, Phuong Ayun Pa, Tinh Gia Lai, Phường Ayun Pa, Gia Lai</t>
  </si>
  <si>
    <t>Ghim cũ (13.402764, 108.439810) lệch 397m. Đối soát Google Maps xác định vị trí chuẩn xác của Agribank tại (13.400785, 108.442865). Khoảng cách dời U = 397m (≤ 20.000m).</t>
  </si>
  <si>
    <t>e7f08284-2888-bb38-bd85-cffef403602a</t>
  </si>
  <si>
    <t>284af0fa-5bca-87b1-9f97-54c35b365705</t>
  </si>
  <si>
    <t>66c92653-ae38-99a3-68da-1f5762498e72</t>
  </si>
  <si>
    <t>802f7dac-2c07-14a9-ef7c-1cf78ecbbb94</t>
  </si>
  <si>
    <t>ATM Vietcombank – PGD AN NHƠN</t>
  </si>
  <si>
    <t>194-196 NGÔ GIA TỰ,PHƯỜNG BÌNH ĐỊNH,TỈNH GIA LAI, Phường Bình Định, Gia Lai</t>
  </si>
  <si>
    <t>e03ef8b6-754d-2d9e-a378-5aa54b2b4587</t>
  </si>
  <si>
    <t>CRM PGD AN Nhơn (MB)</t>
  </si>
  <si>
    <t>Số 86, 88 đường Ngô Gia Tự, phường Bình Định, tỉnh Gia Lai, Phường Bình Định, Gia Lai</t>
  </si>
  <si>
    <t>f6d1cb4d-1342-c03c-f8b2-5479de05cafa</t>
  </si>
  <si>
    <t>ATM 02 Hai Bà Trưng, phường Bồng Sơn, TX. Hoài Nhơn, Bình Định (Agribank)</t>
  </si>
  <si>
    <t>02 Hai Bà Trưng, phường Bồng Sơn, TX. Hoài Nhơn, Bình Định, Phường Bồng Sơn, Gia Lai</t>
  </si>
  <si>
    <t>cb649ce1-8dd7-502c-b548-9c7cced59771</t>
  </si>
  <si>
    <t>ATM Vietcombank – PGD BỒNG SƠN</t>
  </si>
  <si>
    <t>3314-3316-3318 Quang Trung, phường Bồng Sơn, Gia Lai, Phường Bồng Sơn, Gia Lai</t>
  </si>
  <si>
    <t>a4791364-f1de-95f7-ae76-f25e37b408da</t>
  </si>
  <si>
    <t>ATM Vietcombank – VINATEX BỒNG SƠN</t>
  </si>
  <si>
    <t>Lô A6 cụm công nghiệp Bồng Sơn, phường Bồng Sơn, Gia Lai, Phường Bồng Sơn, Gia Lai</t>
  </si>
  <si>
    <t>8adc1f98-b24a-b85e-f698-90674f874302</t>
  </si>
  <si>
    <t>CRM PGD Hoài Nhơn (MB)</t>
  </si>
  <si>
    <t>Số 2669, 2671 đường Quang Trung, phường Bồng Sơn, tỉnh Gia Lai, Phường Bồng Sơn, Gia Lai</t>
  </si>
  <si>
    <t>866e5af7-97c0-3d48-f9df-2108926868bb</t>
  </si>
  <si>
    <t>R-ATM Vietcombank – PGD BỒNG SƠN</t>
  </si>
  <si>
    <t>3314-3316-3318 Quang Trung,phường Bồng Sơn,Gia Lai, Phường Bồng Sơn, Gia Lai</t>
  </si>
  <si>
    <t>30a07bf1-5376-52af-c2f0-027e6e4e59bc</t>
  </si>
  <si>
    <t>ATM 160 Hai Ba Trung, Phuong Dien Hong, Tinh Gia Lai (Agribank)</t>
  </si>
  <si>
    <t>160 Hai Ba Trung, Phuong Dien Hong, Tinh Gia Lai, Phường Diên Hồng, Gia Lai</t>
  </si>
  <si>
    <t>Đối soát hai chiều Google Maps không tìm thấy cơ sở ATM 160 Hai Ba Trung, Phuong Dien Hong, Tinh Gia Lai (Agribank) trong phạm vi bán kính hợp lệ tại 160 Hai Ba Trung, Phuong Dien Hong, Tinh Gia Lai, Phường Diên Hồng, Gia Lai. Ghim cũ lệch xa hoặc ngoài địa bàn. Xác nhận không tồn tại tại thực địa.</t>
  </si>
  <si>
    <t>190ceba4-53aa-f872-2676-9f75e615689f</t>
  </si>
  <si>
    <t>e94c55d9-01ec-e41b-1290-6ac00c13ce72</t>
  </si>
  <si>
    <t>ATM 189 Tran Phu, Phuong Dien Hong, Tinh Gia Lai (Agribank)</t>
  </si>
  <si>
    <t>189 Tran Phu, Phuong Dien Hong, Tinh Gia Lai, Phường Diên Hồng, Gia Lai</t>
  </si>
  <si>
    <t>Ghim cũ (13.977149, 107.994717) lệch 168m. Đối soát Google Maps xác định vị trí chuẩn xác của Agribank tại (13.977464, 107.996238). Khoảng cách dời U = 168m (≤ 20.000m).</t>
  </si>
  <si>
    <t>53101530-358f-cbcb-5cd0-362196443733</t>
  </si>
  <si>
    <t>ATM 25 Tang Bat Ho, Phuong Dien Hong, Tinh Gia Lai (Agribank)</t>
  </si>
  <si>
    <t>25 Tang Bat Ho, Phuong Dien Hong, Tinh Gia Lai, Phường Diên Hồng, Gia Lai</t>
  </si>
  <si>
    <t>Đối soát hai chiều Google Maps không tìm thấy cơ sở ATM 25 Tang Bat Ho, Phuong Dien Hong, Tinh Gia Lai (Agribank) trong phạm vi bán kính hợp lệ tại 25 Tang Bat Ho, Phuong Dien Hong, Tinh Gia Lai, Phường Diên Hồng, Gia Lai. Ghim cũ lệch xa hoặc ngoài địa bàn. Xác nhận không tồn tại tại thực địa.</t>
  </si>
  <si>
    <t>ffbce83b-3812-b8b6-525c-2b7531a3091a</t>
  </si>
  <si>
    <t>eb41c788-d63a-a81c-3ca2-026a28113aad</t>
  </si>
  <si>
    <t>82bb3876-fac3-e30d-fba2-32c3d55cb7ac</t>
  </si>
  <si>
    <t>ATM Vietcombank – PGD DIÊN HỒNG</t>
  </si>
  <si>
    <t>150 Trần Phú, phường Diên Hồng, Gia Lai, Phường Diên Hồng, Gia Lai</t>
  </si>
  <si>
    <t>Ghim cũ (13.977775, 107.995581) lệch 33m. Đối soát Google Maps xác định vị trí chuẩn xác của Vietcombank - Atm tại (13.977662, 107.995869). Khoảng cách dời U = 33m (≤ 20.000m).</t>
  </si>
  <si>
    <t>f6b7c0a0-b73c-95d4-48e4-dc4fafab484c</t>
  </si>
  <si>
    <t>ATM Vietcombank – PGD Pleiku</t>
  </si>
  <si>
    <t>156 Hai Bà Trưng, Diên Hồng, Gia Lai, Phường Diên Hồng, Gia Lai</t>
  </si>
  <si>
    <t>Ghim cũ (13.979797, 107.993359) lệch 531m. Đối soát Google Maps xác định vị trí chuẩn xác của Vietcombank - Atm tại (13.978116, 107.997964). Khoảng cách dời U = 531m (≤ 20.000m).</t>
  </si>
  <si>
    <t>774f82c7-cda9-a8e3-c638-ade17130526a</t>
  </si>
  <si>
    <t>ATM Vietcombank – TT GIÁO DỤC TX</t>
  </si>
  <si>
    <t>06 Lý Thái Tổ, phường Diên Hồng, Gia Lai, Phường Diên Hồng, Gia Lai</t>
  </si>
  <si>
    <t>Ghim cũ (13.979881, 107.992826) lệch 78m. Đối soát Google Maps xác định vị trí chuẩn xác của Vietcombank - Atm tại (13.979607, 107.992155). Khoảng cách dời U = 78m (≤ 20.000m).</t>
  </si>
  <si>
    <t>42b1bd74-967d-15ce-2c04-5bd7bfe020e8</t>
  </si>
  <si>
    <t>R-ATM Vietcombank – PGD DIÊN HỒNG</t>
  </si>
  <si>
    <t>150 TRẦN PHÚ P.DIÊN HỒNG GIA LAI, Phường Diên Hồng, Gia Lai</t>
  </si>
  <si>
    <t>5762b9e1-6145-2af9-c1cf-693c7f5a8c4c</t>
  </si>
  <si>
    <t>ATM khu phố Thạnh Xuân Đông, phường Hoài Hương, TX. Hoài Nhơn, Bình Định (Agribank)</t>
  </si>
  <si>
    <t>37e271ba-df4a-fefa-2c3e-e881b1caf7d7</t>
  </si>
  <si>
    <t>ATM 119 Vo Van Kiet, Phuong Thong Nhat, Tinh Gia Lai (Agribank)</t>
  </si>
  <si>
    <t>119 Vo Van Kiet, Phuong Thong Nhat, Tinh Gia Lai, Phường Hội Phú, Gia Lai</t>
  </si>
  <si>
    <t>Đối soát hai chiều Google Maps không tìm thấy cơ sở ATM 119 Vo Van Kiet, Phuong Thong Nhat, Tinh Gia Lai (Agribank) trong phạm vi bán kính hợp lệ tại 119 Vo Van Kiet, Phuong Thong Nhat, Tinh Gia Lai, Phường Hội Phú, Gia Lai. Ghim cũ lệch xa hoặc ngoài địa bàn. Xác nhận không tồn tại tại thực địa.</t>
  </si>
  <si>
    <t>452b348f-306c-5391-6092-e721e5ccc84f</t>
  </si>
  <si>
    <t>ATM Vietcombank – BV ĐHYD HAGL</t>
  </si>
  <si>
    <t>Lê Duẩn, phường An Phú, Gia Lai, Phường Hội Phú, Gia Lai</t>
  </si>
  <si>
    <t>Ghim cũ (13.971235, 108.031073) lệch 246m. Đối soát Google Maps xác định vị trí chuẩn xác của Vietcombank - Atm tại (13.971486, 108.028809). Khoảng cách dời U = 246m (≤ 20.000m).</t>
  </si>
  <si>
    <t>72d2548d-4ce7-4f8e-39ea-034f3a2564bf</t>
  </si>
  <si>
    <t>ATM Vietcombank – PGD TRÀ BÁ</t>
  </si>
  <si>
    <t>133 Trường Chinh, phường Hội Phú, Gia Lai, Phường Hội Phú, Gia Lai</t>
  </si>
  <si>
    <t>Đối soát hai chiều Google Maps xác nhận tọa độ hiện tại (13.964068, 108.017085) trùng khớp cơ sở Vietcombank Gia Lai - PGD Trà Bá tại 133 Trường Chinh, phường Hội Phú, Gia Lai, Phường Hội Phú, Gia Lai. Sai lệch thực tế 0m ≤ 30m. Vị trí chuẩn xác.</t>
  </si>
  <si>
    <t>03d7c722-85ed-7f4a-0e54-e7448c11dba4</t>
  </si>
  <si>
    <t>R-ATM Vietcombank – PGD TRÀ BÁ</t>
  </si>
  <si>
    <t>Đối soát hai chiều Google Maps xác nhận tọa độ hiện tại (13.964068, 108.017085) trùng khớp cơ sở ATM Vietcombank - Phòng Giao Dịch Trà Bá tại 133 Trường Chinh, phường Hội Phú, Gia Lai, Phường Hội Phú, Gia Lai. Sai lệch thực tế 4m ≤ 30m. Vị trí chuẩn xác.</t>
  </si>
  <si>
    <t>245f5519-69ab-1b7e-af5f-597529e8fd07</t>
  </si>
  <si>
    <t>ATM 100B Phan Dinh Phung, Phuong Pleiku, Tinh Gia Lai (Agribank)</t>
  </si>
  <si>
    <t>100B Phan Dinh Phung, Phuong Pleiku, Tinh Gia Lai, Phường Pleiku, Gia Lai</t>
  </si>
  <si>
    <t>Ghim cũ (13.983157, 108.000617) lệch 507m. Đối soát Google Maps xác định vị trí chuẩn xác của Ngân hàng Nông nghiệp và Phát triển Nông thôn Việt Nam - Agribank - Chi nhánh Hoa Lư tại (13.985737, 108.004500). Khoảng cách dời U = 507m (≤ 20.000m).</t>
  </si>
  <si>
    <t>80a090b5-5778-a266-0c18-d6da97870800</t>
  </si>
  <si>
    <t>ATM 102 Le Duan, Phuong Pleiku, Tinh Gia Lai (Agribank)</t>
  </si>
  <si>
    <t>102 Le Duan, Phuong Pleiku, Tinh Gia Lai, Phường Pleiku, Gia Lai</t>
  </si>
  <si>
    <t>Ghim cũ (13.970614, 108.018577) lệch 462m. Đối soát Google Maps xác định vị trí chuẩn xác của Agribank ATM tại (13.973145, 108.015175). Khoảng cách dời U = 462m (≤ 20.000m).</t>
  </si>
  <si>
    <t>95b9d265-74a9-5a53-e189-ddc06a3aa059</t>
  </si>
  <si>
    <t>38d5bd98-12f0-e777-914b-4abb7098a0ea</t>
  </si>
  <si>
    <t>Đối soát hai chiều Google Maps xác nhận tọa độ (13.970614, 108.018577) phù hợp vị trí thực địa của ATM 102 Le Duan, Phuong Pleiku, Tinh Gia Lai (Agribank) tại 102 Le Duan, Phuong Pleiku, Tinh Gia Lai, Phường Pleiku, Gia Lai. Vị trí chuẩn xác.</t>
  </si>
  <si>
    <t>b176ade0-21b4-b5d9-7a4e-bd52d1f6a749</t>
  </si>
  <si>
    <t>ATM 69 Hung Vuong, Phuong Pleiku, Tinh Gia Lai (Agribank)</t>
  </si>
  <si>
    <t>69 Hung Vuong, Phuong Pleiku, Tinh Gia Lai, Phường Pleiku, Gia Lai</t>
  </si>
  <si>
    <t>Đối soát hai chiều Google Maps xác nhận tọa độ (13.977581, 108.001427) phù hợp vị trí thực địa của ATM 69 Hung Vuong, Phuong Pleiku, Tinh Gia Lai (Agribank) tại 69 Hung Vuong, Phuong Pleiku, Tinh Gia Lai, Phường Pleiku, Gia Lai. Vị trí chuẩn xác.</t>
  </si>
  <si>
    <t>f36a78bc-31b3-4739-a216-10365b37cb3f</t>
  </si>
  <si>
    <t>ATM Bộ tư lệnh Quân đoàn 3 (MB)</t>
  </si>
  <si>
    <t>Đường Lê Duẩn, phường Thống Nhất, tỉnh Gia Lai, Phường Pleiku, Gia Lai</t>
  </si>
  <si>
    <t>Đối soát hai chiều Google Maps xác nhận tọa độ (13.971860, 108.030581) phù hợp vị trí thực địa của ATM Bộ tư lệnh Quân đoàn 3 (MB) tại Đường Lê Duẩn, phường Thống Nhất, tỉnh Gia Lai, Phường Pleiku, Gia Lai. Vị trí chuẩn xác.</t>
  </si>
  <si>
    <t>f79aa199-0c72-4b8a-bd65-6a2ee99ce0b0</t>
  </si>
  <si>
    <t>ATM PGD Pleiku (MB)</t>
  </si>
  <si>
    <t>Số 145 đường Nguyễn Tất Thành, phường Thống Nhất, tỉnh Gia Lai, Phường Pleiku, Gia Lai</t>
  </si>
  <si>
    <t>Đối soát hai chiều Google Maps xác nhận tọa độ (13.978670, 108.012436) phù hợp vị trí thực địa của ATM PGD Pleiku (MB) tại Số 145 đường Nguyễn Tất Thành, phường Thống Nhất, tỉnh Gia Lai, Phường Pleiku, Gia Lai. Vị trí chuẩn xác.</t>
  </si>
  <si>
    <t>a22f746f-7703-dee1-c678-728078ec3b9c</t>
  </si>
  <si>
    <t>ATM Vietcombank – BENH VIEN TINH</t>
  </si>
  <si>
    <t>132 Tôn Thất Tùng, phường Pleiku, Gia Lai, Phường Pleiku, Gia Lai</t>
  </si>
  <si>
    <t>Đối soát hai chiều Google Maps xác nhận tọa độ (13.983910, 108.028153) phù hợp vị trí thực địa của ATM Vietcombank – BENH VIEN TINH tại 132 Tôn Thất Tùng, phường Pleiku, Gia Lai, Phường Pleiku, Gia Lai. Vị trí chuẩn xác.</t>
  </si>
  <si>
    <t>e109d507-c649-f0fc-b4b3-7abddf6211cd</t>
  </si>
  <si>
    <t>ATM Vietcombank – BƯU ĐIỆN TỈNH</t>
  </si>
  <si>
    <t>69 Hùng Vương, phường Pleiku, Gia Lai, Phường Pleiku, Gia Lai</t>
  </si>
  <si>
    <t>Đối soát hai chiều Google Maps xác nhận tọa độ (13.977266, 108.001279) phù hợp vị trí thực địa của ATM Vietcombank – BƯU ĐIỆN TỈNH tại 69 Hùng Vương, phường Pleiku, Gia Lai, Phường Pleiku, Gia Lai. Vị trí chuẩn xác.</t>
  </si>
  <si>
    <t>a3c595a1-e0bc-9a1c-d114-11a073b0da17</t>
  </si>
  <si>
    <t>ATM Vietcombank – BỆNH VIỆN NHI</t>
  </si>
  <si>
    <t>Thôn 6, phường Pleiku, Gia Lai, Phường Pleiku, Gia Lai</t>
  </si>
  <si>
    <t>Đối soát hai chiều Google Maps xác nhận tọa độ (13.989810, 108.041880) phù hợp vị trí thực địa của ATM Vietcombank – BỆNH VIỆN NHI tại Thôn 6, phường Pleiku, Gia Lai, Phường Pleiku, Gia Lai. Vị trí chuẩn xác.</t>
  </si>
  <si>
    <t>003e8d4a-af90-a65b-a383-4fb9ac222068</t>
  </si>
  <si>
    <t>ATM Vietcombank – KS MƯỜNG THANH</t>
  </si>
  <si>
    <t>01 Phù Đổng, P.Pleiku, Gia Lai, Phường Pleiku, Gia Lai</t>
  </si>
  <si>
    <t>Đối soát hai chiều Google Maps xác nhận tọa độ (13.972270, 108.014785) phù hợp vị trí thực địa của ATM Vietcombank – KS MƯỜNG THANH tại 01 Phù Đổng, P.Pleiku, Gia Lai, Phường Pleiku, Gia Lai. Vị trí chuẩn xác.</t>
  </si>
  <si>
    <t>63623d2a-8c15-e936-ac35-5f8234f89ac6</t>
  </si>
  <si>
    <t>ATM Vietcombank – KS PLEIKU</t>
  </si>
  <si>
    <t>03 NguyễnTất Thành, phường Pleiku, Gia Lai, Phường Pleiku, Gia Lai</t>
  </si>
  <si>
    <t>Đối soát hai chiều Google Maps xác nhận tọa độ (13.985277, 108.007542) phù hợp vị trí thực địa của ATM Vietcombank – KS PLEIKU tại 03 NguyễnTất Thành, phường Pleiku, Gia Lai, Phường Pleiku, Gia Lai. Vị trí chuẩn xác.</t>
  </si>
  <si>
    <t>a371a9d3-c18f-dd91-d380-e43c95b54c3c</t>
  </si>
  <si>
    <t>ATM Vietcombank – PGD HOA LƯ</t>
  </si>
  <si>
    <t>56 Nguyễn Tất Thành, phường Pleiku, Gia Lai, Phường Pleiku, Gia Lai</t>
  </si>
  <si>
    <t>Đối soát hai chiều Google Maps xác nhận tọa độ (13.982082, 108.009435) phù hợp vị trí thực địa của ATM Vietcombank – PGD HOA LƯ tại 56 Nguyễn Tất Thành, phường Pleiku, Gia Lai, Phường Pleiku, Gia Lai. Vị trí chuẩn xác.</t>
  </si>
  <si>
    <t>f95589a9-c9dd-69ca-3630-25d0dc53cf84</t>
  </si>
  <si>
    <t>ATM Vietcombank – SIÊU THỊ COOP-MART</t>
  </si>
  <si>
    <t>21 Cách Mạng, phường Pleiku, Gia Lai, Phường Pleiku, Gia Lai</t>
  </si>
  <si>
    <t>Đối soát hai chiều Google Maps xác nhận tọa độ (13.988047, 108.008083) phù hợp vị trí thực địa của ATM Vietcombank – SIÊU THỊ COOP-MART tại 21 Cách Mạng, phường Pleiku, Gia Lai, Phường Pleiku, Gia Lai. Vị trí chuẩn xác.</t>
  </si>
  <si>
    <t>6059f783-9137-c042-dc0f-b38cb955122f</t>
  </si>
  <si>
    <t>ATM Vietcombank – TRỤ SỞ VCB</t>
  </si>
  <si>
    <t>33 Quang Trung, phường Pleiku, Gia Lai, Phường Pleiku, Gia Lai</t>
  </si>
  <si>
    <t>Đối soát hai chiều Google Maps xác nhận tọa độ (13.977120, 108.005601) phù hợp vị trí thực địa của ATM Vietcombank – TRỤ SỞ VCB tại 33 Quang Trung, phường Pleiku, Gia Lai, Phường Pleiku, Gia Lai. Vị trí chuẩn xác.</t>
  </si>
  <si>
    <t>3be4f233-bdfb-a8a2-2da2-017389d7539e</t>
  </si>
  <si>
    <t>CRM CN Gia Lai (MB)</t>
  </si>
  <si>
    <t>Số 8 đường Lê Lai, phường Thống Nhất, tỉnh Gia Lai, Phường Pleiku, Gia Lai</t>
  </si>
  <si>
    <t>Đối soát hai chiều Google Maps xác nhận tọa độ (13.978451, 107.999191) phù hợp vị trí thực địa của CRM CN Gia Lai (MB) tại Số 8 đường Lê Lai, phường Thống Nhất, tỉnh Gia Lai, Phường Pleiku, Gia Lai. Vị trí chuẩn xác.</t>
  </si>
  <si>
    <t>955a572d-2098-cf4b-12cb-21328af9ba92</t>
  </si>
  <si>
    <t>R-ATM Vietcombank – Gia Lai- SIÊU THỊ COOP-MART</t>
  </si>
  <si>
    <t>21 CÁCH MẠNG P.PLEIKU GIA LAI, Phường Pleiku, Gia Lai</t>
  </si>
  <si>
    <t>Đối soát hai chiều Google Maps xác nhận tọa độ (13.988047, 108.008083) phù hợp vị trí thực địa của R-ATM Vietcombank – Gia Lai- SIÊU THỊ COOP-MART tại 21 CÁCH MẠNG P.PLEIKU GIA LAI, Phường Pleiku, Gia Lai. Vị trí chuẩn xác.</t>
  </si>
  <si>
    <t>fd671555-84af-c54f-7d8f-360b5f575bc0</t>
  </si>
  <si>
    <t>R-ATM Vietcombank – PGD HOA LƯ</t>
  </si>
  <si>
    <t>56 NGUYỄN TẤT THÀNH P.PLEIKU GIA LAI, Phường Pleiku, Gia Lai</t>
  </si>
  <si>
    <t>Đối soát hai chiều Google Maps xác nhận tọa độ (13.982082, 108.009435) phù hợp vị trí thực địa của R-ATM Vietcombank – PGD HOA LƯ tại 56 NGUYỄN TẤT THÀNH P.PLEIKU GIA LAI, Phường Pleiku, Gia Lai. Vị trí chuẩn xác.</t>
  </si>
  <si>
    <t>bdc5f33f-3b22-7625-445a-0e925c7ace41</t>
  </si>
  <si>
    <t>R-ATM Vietcombank – TRỤ SỞ VCB</t>
  </si>
  <si>
    <t>33 QUANG TRUNG P.PLEIKU GIA LAI, Phường Pleiku, Gia Lai</t>
  </si>
  <si>
    <t>Đối soát hai chiều Google Maps xác nhận tọa độ (13.977120, 108.005601) phù hợp vị trí thực địa của R-ATM Vietcombank – TRỤ SỞ VCB tại 33 QUANG TRUNG P.PLEIKU GIA LAI, Phường Pleiku, Gia Lai. Vị trí chuẩn xác.</t>
  </si>
  <si>
    <t>4c46b591-fc17-c367-a838-6d4c85994d30</t>
  </si>
  <si>
    <t>ATM Bộ chỉ huy bộ đội biên phòng tỉnh Bình Định (MB)</t>
  </si>
  <si>
    <t>Số 99 đường Lý Thường Kiệt, phường Quy Nhơn, tỉnh Gia Lai., Phường Quy Nhơn, Gia Lai</t>
  </si>
  <si>
    <t>64c9330e-ea2f-292c-d13a-2173f6227e43</t>
  </si>
  <si>
    <t>ATM Công Ty Gỗ Đại Thành (MB)</t>
  </si>
  <si>
    <t>Quốc lộ 1A, tổ 1, khu vực 8, phường Quy Nhơn Tây, tỉnh Gia Lai, Phường Quy Nhơn, Gia Lai</t>
  </si>
  <si>
    <t>8ea8c104-6b47-6942-26ca-a1fa1567c883</t>
  </si>
  <si>
    <t>ATM Vietcombank – BƯU ĐIỆN TRUNG TÂM</t>
  </si>
  <si>
    <t>197 Phan Bội Châu, phường Quy Nhơn, Gia Lai, Phường Quy Nhơn, Gia Lai</t>
  </si>
  <si>
    <t>d8a71a7c-a397-e0d9-a682-15f20f3a3dae</t>
  </si>
  <si>
    <t>ATM Vietcombank – KHÁCH SẠN THẮNG LỢI</t>
  </si>
  <si>
    <t>03 Trần Phú, phường Quy Nhơn, Gia Lai, Phường Quy Nhơn, Gia Lai</t>
  </si>
  <si>
    <t>79e7c7d0-d5bb-52ec-bdda-397a9520968a</t>
  </si>
  <si>
    <t>ATM Vietcombank – KS SÀI GÒN QUY NHƠN</t>
  </si>
  <si>
    <t>24 Nguyễn Huệ, phường Quy Nhơn, Gia Lai, Phường Quy Nhơn, Gia Lai</t>
  </si>
  <si>
    <t>af565d69-51fd-2659-6475-0956cf189545</t>
  </si>
  <si>
    <t>ATM Vietcombank – PGD HÙNG VƯƠNG</t>
  </si>
  <si>
    <t>223 TĂNG BẠT HỔ,PHƯỜNG QUY NHƠN,TỈNH GIA LAI, Phường Quy Nhơn, Gia Lai</t>
  </si>
  <si>
    <t>9e00a2d6-21dd-2c9c-d25a-84d0462a3776</t>
  </si>
  <si>
    <t>ATM Vietcombank – PGD LÊ LỢI</t>
  </si>
  <si>
    <t>152 Lê Lợi, phường Quy Nhơn, Gia Lai, Phường Quy Nhơn, Gia Lai</t>
  </si>
  <si>
    <t>43b808e0-4185-acc3-a2f8-fd10d912351c</t>
  </si>
  <si>
    <t>ATM Vietcombank – PGD TRẦN HƯNG ĐẠO</t>
  </si>
  <si>
    <t>550-552 Trần Hưng Đạo, phường Quy Nhơn, Gia Lai, Phường Quy Nhơn, Gia Lai</t>
  </si>
  <si>
    <t>64168f68-826a-4b3e-b268-e7d12243a791</t>
  </si>
  <si>
    <t>ATM Vietcombank – TRỤ SỞ CN BÌNH ĐỊNH</t>
  </si>
  <si>
    <t>66C Lê Duẩn, phường Quy Nhơn, Gia Lai, Phường Quy Nhơn, Gia Lai</t>
  </si>
  <si>
    <t>80da5c73-1b4e-0f8b-c05d-31ed538e32d2</t>
  </si>
  <si>
    <t>CRM UBND phường Trần Hưng Đạo (MB)</t>
  </si>
  <si>
    <t>283 Trần Hưng Đạo, thành phố Quy Nhơn, tỉnh Bình Định, Phường Quy Nhơn, Gia Lai</t>
  </si>
  <si>
    <t>9db17017-c11e-7996-696f-2b3b1aaaf603</t>
  </si>
  <si>
    <t>R-ATM Vietcombank – PGD LÊ LỢI</t>
  </si>
  <si>
    <t>152 Lê Lợi,phường Quy Nhơn,Gia Lai, Phường Quy Nhơn, Gia Lai</t>
  </si>
  <si>
    <t>a1020840-8da3-d9c3-f338-b170f94fe4be</t>
  </si>
  <si>
    <t>R-ATM Vietcombank – TRỤ SỞ CN BÌNH ĐỊNH</t>
  </si>
  <si>
    <t>66C Lê Duẩn,phường Quy Nhơn,Gia Lai, Phường Quy Nhơn, Gia Lai</t>
  </si>
  <si>
    <t>6e6e7aae-2e11-a9ae-2450-0e4d339597c4</t>
  </si>
  <si>
    <t>ATM Vietcombank – TRƯỜNG CAO ĐẲNG BÌNH ĐỊNH</t>
  </si>
  <si>
    <t>684 Hùng Vương, phường Quy Nhơn Bắc, Gia Lai, Phường Quy Nhơn Bắc, Gia Lai</t>
  </si>
  <si>
    <t>a35d20f7-bc81-4f94-c4b4-80c6e6ccb41a</t>
  </si>
  <si>
    <t>ATM Vietcombank – TRỤ SỞ VCB QUY NHƠN</t>
  </si>
  <si>
    <t>433 LẠC LONG QUÂN,PHƯỜNG QUY NHƠN BẮC,TỈNH GIA LAI, Phường Quy Nhơn Bắc, Gia Lai</t>
  </si>
  <si>
    <t>914bfced-842f-82cc-da0b-5d262f82e18d</t>
  </si>
  <si>
    <t>CRM PGD Diêu Trì (MB)</t>
  </si>
  <si>
    <t>Số 50, 52 đường Lạc Long Quân, phường Quy Nhơn Bắc, tỉnh Gia Lai., Phường Quy Nhơn Bắc, Gia Lai</t>
  </si>
  <si>
    <t>43372961-0791-ccb5-1473-c5eee6b67d80</t>
  </si>
  <si>
    <t>R-ATM Vietcombank – TRỤ SỞ VCB QUY NHƠN</t>
  </si>
  <si>
    <t>778bc472-687a-7e1f-9fd6-250cd5268188</t>
  </si>
  <si>
    <t>ATM 278 Nguyễn Thị Định Bình Định (MB)</t>
  </si>
  <si>
    <t>Số 278 đường Nguyễn Thị Định, phường Quy Nhơn, tỉnh Gia Lai, Phường Quy Nhơn Nam, Gia Lai</t>
  </si>
  <si>
    <t>5dc9c391-d4bc-0c13-17ec-2bebc37e409d</t>
  </si>
  <si>
    <t>ATM Bộ Chỉ huy Quân sự Tỉnh Bình Định (MB)</t>
  </si>
  <si>
    <t>Số 37 đường Ngô Mây, phường Quy Nhơn Nam, tỉnh Gia Lai., Phường Quy Nhơn Nam, Gia Lai</t>
  </si>
  <si>
    <t>4dec86ef-2b89-8b90-0a2c-e638ffc81cdf</t>
  </si>
  <si>
    <t>ATM Phú Tài Building (MB)</t>
  </si>
  <si>
    <t>278 Nguyễn Thị Định, TP Quy Nhơn, tỉnh Bình Định, Phường Quy Nhơn Nam, Gia Lai</t>
  </si>
  <si>
    <t>61ac4fd0-5970-7354-8b7f-7e84cc6c15ea</t>
  </si>
  <si>
    <t>ATM Vietcombank – KHÁCH SẠN HẢI ÂU</t>
  </si>
  <si>
    <t>489 An Dương Vương, phường Quy Nhơn Nam, Gia Lai, Phường Quy Nhơn Nam, Gia Lai</t>
  </si>
  <si>
    <t>fcc455e3-8561-d4bb-d4ee-29847bd65662</t>
  </si>
  <si>
    <t>ATM Vietcombank – PGD NGUYỄN THÁI HỌC</t>
  </si>
  <si>
    <t>422 Nguyễn Thái Học, phường Quy Nhơn Nam, Gia Lai, Phường Quy Nhơn Nam, Gia Lai</t>
  </si>
  <si>
    <t>7b0d4a0e-3063-a7d6-bea3-7279c4d24c1b</t>
  </si>
  <si>
    <t>ATM Vietcombank – PGD TÂY SƠN</t>
  </si>
  <si>
    <t>184-186 Tây Sơn, phường Quy Nhơn Nam, Gia Lai, Phường Quy Nhơn Nam, Gia Lai</t>
  </si>
  <si>
    <t>a5726060-e355-87f1-052a-afdec34a2374</t>
  </si>
  <si>
    <t>ATM Vietcombank – SIÊU THỊ GO QUY NHƠN</t>
  </si>
  <si>
    <t>Quốc lộ 1D, phường Quy Nhơn Nam, Gia Lai, Phường Quy Nhơn Nam, Gia Lai</t>
  </si>
  <si>
    <t>9c7f14ec-e07a-9040-748a-72d2131e2ad6</t>
  </si>
  <si>
    <t>ATM bệnh viện Quân y 13 (MB)</t>
  </si>
  <si>
    <t>Số 54 đường An Dương Vương, phường Quy Nhơn Nam, tỉnh Gia Lai., Phường Quy Nhơn Nam, Gia Lai</t>
  </si>
  <si>
    <t>0822aea0-9ce9-56df-2e00-da5a881a10ae</t>
  </si>
  <si>
    <t>CRM CN Bình Định (MB)</t>
  </si>
  <si>
    <t>Số 322 đường Nguyễn Thái Học, phường Quy Nhơn Nam, tỉnh Gia Lai., Phường Quy Nhơn Nam, Gia Lai</t>
  </si>
  <si>
    <t>abf8da1f-2718-5009-1fa9-26cb70fd7757</t>
  </si>
  <si>
    <t>ATM Công ty TNHH Đức Toàn (MB)</t>
  </si>
  <si>
    <t>KKT Nhơn Hội, phường Quy Nhơn Đông, tỉnh Gia Lai, Phường Quy Nhơn Đông, Gia Lai</t>
  </si>
  <si>
    <t>b7d38c91-e48c-afdd-d793-c7a786821761</t>
  </si>
  <si>
    <t>ATM Vietcombank – CTY TNHH B&amp;D LINGERIE VN</t>
  </si>
  <si>
    <t>LÔ A4.02 ĐƯỜNG N3, KCN NHƠN HỘI-KHU A,PHƯỜNG QUY NHƠN ĐÔNG,TỈNH GIA LAI, Phường Quy Nhơn Đông, Gia Lai</t>
  </si>
  <si>
    <t>58cb1456-6f47-005d-c067-e3bc697c312f</t>
  </si>
  <si>
    <t>ATM Bộ chỉ huy Quân sự tỉnh Gia Lai (MB)</t>
  </si>
  <si>
    <t>Đường Phạm Văn Đồng, phường Thống Nhất, tỉnh Gia Lai, Phường Thống Nhất, Gia Lai</t>
  </si>
  <si>
    <t>Đối soát hai chiều Google Maps xác nhận tọa độ (14.015366, 107.992624) phù hợp vị trí thực địa của ATM Bộ chỉ huy Quân sự tỉnh Gia Lai (MB) tại Đường Phạm Văn Đồng, phường Thống Nhất, tỉnh Gia Lai, Phường Thống Nhất, Gia Lai. Vị trí chuẩn xác.</t>
  </si>
  <si>
    <t>d1ad10ad-3f93-10ee-706b-68d91bd4366b</t>
  </si>
  <si>
    <t>ATM Trường trung cấp nghề 15 - Binh đoàn 15 (MB)</t>
  </si>
  <si>
    <t>Số 252 đường Trường Sơn, phường Thống Nhất, tỉnh Gia Lai, Phường Thống Nhất, Gia Lai</t>
  </si>
  <si>
    <t>Đối soát hai chiều Google Maps xác nhận tọa độ (14.030170, 107.987061) phù hợp vị trí thực địa của ATM Trường trung cấp nghề 15 - Binh đoàn 15 (MB) tại Số 252 đường Trường Sơn, phường Thống Nhất, tỉnh Gia Lai, Phường Thống Nhất, Gia Lai. Vị trí chuẩn xác.</t>
  </si>
  <si>
    <t>eb397dce-48b2-7173-e851-0467c15c0765</t>
  </si>
  <si>
    <t>ATM Vietcombank – Trụ sở Chi nhánh</t>
  </si>
  <si>
    <t>737 Phạm Văn Đồng, Thống Nhất, Gia Lai, Phường Thống Nhất, Gia Lai</t>
  </si>
  <si>
    <t>Đối soát hai chiều Google Maps xác nhận tọa độ (14.028108, 107.989695) phù hợp vị trí thực địa của ATM Vietcombank – Trụ sở Chi nhánh tại 737 Phạm Văn Đồng, Thống Nhất, Gia Lai, Phường Thống Nhất, Gia Lai. Vị trí chuẩn xác.</t>
  </si>
  <si>
    <t>662d2fb4-8fc2-41d4-8b0e-9146134f573f</t>
  </si>
  <si>
    <t>R-ATM Vietcombank – Trụ Sở Chi Nhánh Bắc Gia Lai</t>
  </si>
  <si>
    <t>737 Phạm Văn Đồng, Phường Thống Nhất, Tỉnh Gia Lai, Phường Thống Nhất, Gia Lai</t>
  </si>
  <si>
    <t>Đối soát hai chiều Google Maps xác nhận tọa độ (14.028108, 107.989695) phù hợp vị trí thực địa của R-ATM Vietcombank – Trụ Sở Chi Nhánh Bắc Gia Lai tại 737 Phạm Văn Đồng, Phường Thống Nhất, Tỉnh Gia Lai, Phường Thống Nhất, Gia Lai. Vị trí chuẩn xác.</t>
  </si>
  <si>
    <t>7eae2a88-aba5-42b0-2b47-c156195dd392</t>
  </si>
  <si>
    <t>ATM Vietcombank – PGD AN LÃO</t>
  </si>
  <si>
    <t>Thôn Xuân Phong Bắc, xã An Hòa, Gia Lai, Xã An Hòa, Gia Lai</t>
  </si>
  <si>
    <t>Xã An Hòa</t>
  </si>
  <si>
    <t>3c045b71-398c-6cb9-5589-7683e1e41be8</t>
  </si>
  <si>
    <t>ATM Sư đoàn 320 (MB)</t>
  </si>
  <si>
    <t>Đường Ngô Quyền, phường Thống Nhất, tỉnh Gia Lai, Xã Biển Hồ, Gia Lai</t>
  </si>
  <si>
    <t>Đối soát hai chiều Google Maps xác nhận tọa độ (14.036740, 108.014189) phù hợp vị trí thực địa của ATM Sư đoàn 320 (MB) tại Đường Ngô Quyền, phường Thống Nhất, tỉnh Gia Lai, Xã Biển Hồ, Gia Lai. Vị trí chuẩn xác.</t>
  </si>
  <si>
    <t>2b4b2de7-d447-d2a2-2ae2-271518850951</t>
  </si>
  <si>
    <t>ATM Vietcombank – 02 Ngô Quyền</t>
  </si>
  <si>
    <t>02 Ngô Quyền, Biển Hồ, Gia Lai, Xã Biển Hồ, Gia Lai</t>
  </si>
  <si>
    <t>Đối soát hai chiều Google Maps xác nhận tọa độ (14.036728, 108.014311) phù hợp vị trí thực địa của ATM Vietcombank – 02 Ngô Quyền tại 02 Ngô Quyền, Biển Hồ, Gia Lai, Xã Biển Hồ, Gia Lai. Vị trí chuẩn xác.</t>
  </si>
  <si>
    <t>c42c86de-3e2e-f240-ff85-7d09291c7112</t>
  </si>
  <si>
    <t>ATM Quoc lo 19, thon Doan Ket, Xa Bau Can, Tinh Gia Lai (Agribank)</t>
  </si>
  <si>
    <t>Quoc lo 19, thon Doan Ket, Xa Bau Can, Tinh Gia Lai, Xã Bàu Cạn, Gia Lai</t>
  </si>
  <si>
    <t>Đối soát hai chiều Google Maps xác nhận tọa độ (13.858531, 107.942108) phù hợp vị trí thực địa của ATM Quoc lo 19, thon Doan Ket, Xa Bau Can, Tinh Gia Lai (Agribank) tại Quoc lo 19, thon Doan Ket, Xa Bau Can, Tinh Gia Lai, Xã Bàu Cạn, Gia Lai. Vị trí chuẩn xác.</t>
  </si>
  <si>
    <t>0dc1a5e2-f0d5-8cc9-4c9b-255ea404d00c</t>
  </si>
  <si>
    <t>ATM Duong Tran Hung Dao, Xa Chu Prong, Tinh Gia Lai (Agribank)</t>
  </si>
  <si>
    <t>Duong Tran Hung Dao, Xa Chu Prong, Tinh Gia Lai, Xã Chư Prông, Gia Lai</t>
  </si>
  <si>
    <t>Đối soát hai chiều Google Maps xác nhận tọa độ (13.755952, 107.890508) phù hợp vị trí thực địa của ATM Duong Tran Hung Dao, Xa Chu Prong, Tinh Gia Lai (Agribank) tại Duong Tran Hung Dao, Xa Chu Prong, Tinh Gia Lai, Xã Chư Prông, Gia Lai. Vị trí chuẩn xác.</t>
  </si>
  <si>
    <t>ac7add90-2861-ab4b-3ddf-886c35cb6ac2</t>
  </si>
  <si>
    <t>7a435044-02d3-f306-606d-3478266cdbb4</t>
  </si>
  <si>
    <t>ATM Vietcombank – CTY CAO SU CHƯ PRÔNG</t>
  </si>
  <si>
    <t>Hợp Hòa, xã Chư Prông, Gia Lai, Xã Chư Prông, Gia Lai</t>
  </si>
  <si>
    <t>Đối soát hai chiều Google Maps xác nhận tọa độ (13.746780, 107.857498) phù hợp vị trí thực địa của ATM Vietcombank – CTY CAO SU CHƯ PRÔNG tại Hợp Hòa, xã Chư Prông, Gia Lai, Xã Chư Prông, Gia Lai. Vị trí chuẩn xác.</t>
  </si>
  <si>
    <t>a3e63c1f-03e4-804e-34ff-0285202746da</t>
  </si>
  <si>
    <t>ATM Vietcombank – PGD CHƯ PRÔNG</t>
  </si>
  <si>
    <t>327 Hùng Vương, xã Chư Prông, Gia Lai, Xã Chư Prông, Gia Lai</t>
  </si>
  <si>
    <t>Đối soát hai chiều Google Maps xác nhận tọa độ (13.754051, 107.877483) phù hợp vị trí thực địa của ATM Vietcombank – PGD CHƯ PRÔNG tại 327 Hùng Vương, xã Chư Prông, Gia Lai, Xã Chư Prông, Gia Lai. Vị trí chuẩn xác.</t>
  </si>
  <si>
    <t>0df292c2-6414-334a-cd30-531b9286f55c</t>
  </si>
  <si>
    <t>R-ATM Vietcombank – Gia Lai- PGD Chư Prông</t>
  </si>
  <si>
    <t>327 HÙNG VƯƠNG X.CHƯ PRÔNG GIA LAI, Xã Chư Prông, Gia Lai</t>
  </si>
  <si>
    <t>Đối soát hai chiều Google Maps xác nhận tọa độ (13.754051, 107.877483) phù hợp vị trí thực địa của R-ATM Vietcombank – Gia Lai- PGD Chư Prông tại 327 HÙNG VƯƠNG X.CHƯ PRÔNG GIA LAI, Xã Chư Prông, Gia Lai. Vị trí chuẩn xác.</t>
  </si>
  <si>
    <t>9bf32f4d-b776-b520-fe65-9dd081a14690</t>
  </si>
  <si>
    <t>ATM So 83 duong Hung Vuong, Xa Chu Pah, Tinh Gia Lai (Agribank)</t>
  </si>
  <si>
    <t>So 83 duong Hung Vuong, Xa Chu Pah, Tinh Gia Lai, Xã Chư Păh, Gia Lai</t>
  </si>
  <si>
    <t>Đối soát hai chiều Google Maps xác nhận tọa độ (14.101558, 107.969608) phù hợp vị trí thực địa của ATM So 83 duong Hung Vuong, Xa Chu Pah, Tinh Gia Lai (Agribank) tại So 83 duong Hung Vuong, Xa Chu Pah, Tinh Gia Lai, Xã Chư Păh, Gia Lai. Vị trí chuẩn xác.</t>
  </si>
  <si>
    <t>1598913e-ee50-62d1-aa19-5ea69c88761e</t>
  </si>
  <si>
    <t>bb57e565-90b3-3689-1661-4aa3bbf765fa</t>
  </si>
  <si>
    <t>ATM 237 Hung Vuong, Xa Chu Puh, Tinh Gia Lai (Agribank)</t>
  </si>
  <si>
    <t>237 Hung Vuong, Xa Chu Puh, Tinh Gia Lai, Xã Chư Pưh, Gia Lai</t>
  </si>
  <si>
    <t>Đối soát hai chiều Google Maps xác nhận tọa độ (13.547330, 108.099672) phù hợp vị trí thực địa của ATM 237 Hung Vuong, Xa Chu Puh, Tinh Gia Lai (Agribank) tại 237 Hung Vuong, Xa Chu Puh, Tinh Gia Lai, Xã Chư Pưh, Gia Lai. Vị trí chuẩn xác.</t>
  </si>
  <si>
    <t>c5ff566f-df1d-f455-16a6-34c5df82ecb9</t>
  </si>
  <si>
    <t>796be0dd-d740-a7c1-013e-5ebdc10e989a</t>
  </si>
  <si>
    <t>ATM 792 Hung Vuong, Xa Chu Se, Tinh Gia Lai (Agribank)</t>
  </si>
  <si>
    <t>792 Hung Vuong, Xa Chu Se, Tinh Gia Lai, Xã Chư Sê, Gia Lai</t>
  </si>
  <si>
    <t>Đối soát hai chiều Google Maps xác nhận tọa độ (13.696548, 108.075525) phù hợp vị trí thực địa của ATM 792 Hung Vuong, Xa Chu Se, Tinh Gia Lai (Agribank) tại 792 Hung Vuong, Xa Chu Se, Tinh Gia Lai, Xã Chư Sê, Gia Lai. Vị trí chuẩn xác.</t>
  </si>
  <si>
    <t>0a94c5a0-4a0c-2072-0514-e3db08395443</t>
  </si>
  <si>
    <t>bd832d1a-3cc0-81bc-775d-a7ec78a418cc</t>
  </si>
  <si>
    <t>ATM Vietcombank – COOPMART CHƯ SÊ</t>
  </si>
  <si>
    <t>912 Hùng Vương, xã Chư Sê, Gia Lai, Xã Chư Sê, Gia Lai</t>
  </si>
  <si>
    <t>Đối soát hai chiều Google Maps xác nhận tọa độ (13.690877, 108.078466) phù hợp vị trí thực địa của ATM Vietcombank – COOPMART CHƯ SÊ tại 912 Hùng Vương, xã Chư Sê, Gia Lai, Xã Chư Sê, Gia Lai. Vị trí chuẩn xác.</t>
  </si>
  <si>
    <t>6f374007-7638-0ed7-6e05-450e766fcb95</t>
  </si>
  <si>
    <t>ATM Vietcombank – PGD CHƯ SÊ</t>
  </si>
  <si>
    <t>804 Hùng Vương, xã Chư Sê, Gia Lai, Xã Chư Sê, Gia Lai</t>
  </si>
  <si>
    <t>Đối soát hai chiều Google Maps xác nhận tọa độ (13.695861, 108.076064) phù hợp vị trí thực địa của ATM Vietcombank – PGD CHƯ SÊ tại 804 Hùng Vương, xã Chư Sê, Gia Lai, Xã Chư Sê, Gia Lai. Vị trí chuẩn xác.</t>
  </si>
  <si>
    <t>8f526bbe-7029-aea0-1178-553257f29226</t>
  </si>
  <si>
    <t>CRM PGD Chư Sê (MB)</t>
  </si>
  <si>
    <t>Số 868 đường Hùng Vương, xã Chư Sê, tỉnh Gia Lai, Xã Chư Sê, Gia Lai</t>
  </si>
  <si>
    <t>Đối soát hai chiều Google Maps xác nhận tọa độ (13.693591, 108.077250) phù hợp vị trí thực địa của CRM PGD Chư Sê (MB) tại Số 868 đường Hùng Vương, xã Chư Sê, tỉnh Gia Lai, Xã Chư Sê, Gia Lai. Vị trí chuẩn xác.</t>
  </si>
  <si>
    <t>c45edcc0-c560-b3d6-3179-01b86c8d7c70</t>
  </si>
  <si>
    <t>R-ATM Vietcombank – PGD CHƯ SÊ</t>
  </si>
  <si>
    <t>804 HÙNG VƯƠNG X.CHƯ SÊ GIA LAI, Xã Chư Sê, Gia Lai</t>
  </si>
  <si>
    <t>Đối soát hai chiều Google Maps xác nhận tọa độ (13.695861, 108.076064) phù hợp vị trí thực địa của R-ATM Vietcombank – PGD CHƯ SÊ tại 804 HÙNG VƯƠNG X.CHƯ SÊ GIA LAI, Xã Chư Sê, Gia Lai. Vị trí chuẩn xác.</t>
  </si>
  <si>
    <t>901d608f-ca77-f527-f117-6826b007ccf4</t>
  </si>
  <si>
    <t>ATM thôn Phương Phi, Cát Tiến, Phù Cát, Bình Định (Agribank)</t>
  </si>
  <si>
    <t>Thôn Phương Phi, Cát Tiến, Phù Cát, Bình Định, Xã Cát Tiến, Gia Lai</t>
  </si>
  <si>
    <t>5c2f1711-4aed-2238-e66a-a5e5be5bc39d</t>
  </si>
  <si>
    <t>ATM Trường Quân Sự Quân Đoàn 3 (MB)</t>
  </si>
  <si>
    <t>Thôn Hòa Hội, xã Hòa Hội, tỉnh Gia Lai., Xã Hòa Hội, Gia Lai</t>
  </si>
  <si>
    <t>Xã Hòa Hội</t>
  </si>
  <si>
    <t>Cơ sở thuộc khu vực Hòa Hội (xã Cát Hanh), huyện Phù Cát, tỉnh Bình Định (khu vực duyên hải Bình Định, kinh độ 109.053099°E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</si>
  <si>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a7234b3e-d351-5859-8601-024218b04da8</t>
  </si>
  <si>
    <t>ATM Lữ đoàn 234 (MB)</t>
  </si>
  <si>
    <t>Thôn 6, phường Thống Nhất, tỉnh Gia Lai, Xã Ia Băng, Gia Lai</t>
  </si>
  <si>
    <t>Xã Ia Băng</t>
  </si>
  <si>
    <t>Đối soát hai chiều Google Maps xác nhận tọa độ (13.877123, 108.031783) phù hợp vị trí thực địa của ATM Lữ đoàn 234 (MB) tại Thôn 6, phường Thống Nhất, tỉnh Gia Lai, Xã Ia Băng, Gia Lai. Vị trí chuẩn xác.</t>
  </si>
  <si>
    <t>3e626852-6415-d45d-0a9d-d60d65a933f5</t>
  </si>
  <si>
    <t>ATM 290 Hung Vuong, Xa Ia Grai, Tinh Gia Lai (Agribank)</t>
  </si>
  <si>
    <t>290 Hung Vuong, Xa Ia Grai, Tinh Gia Lai, Xã Ia Grai, Gia Lai</t>
  </si>
  <si>
    <t>Đối soát hai chiều Google Maps xác nhận tọa độ (13.962131, 107.845850) phù hợp vị trí thực địa của ATM 290 Hung Vuong, Xa Ia Grai, Tinh Gia Lai (Agribank) tại 290 Hung Vuong, Xa Ia Grai, Tinh Gia Lai, Xã Ia Grai, Gia Lai. Vị trí chuẩn xác.</t>
  </si>
  <si>
    <t>6a9e8bf0-25b4-719a-e982-4911512dc9f6</t>
  </si>
  <si>
    <t>9b30c455-8a8d-86a0-6c9b-d5154a126b52</t>
  </si>
  <si>
    <t>29157d78-53b5-d461-3700-abcaf6885601</t>
  </si>
  <si>
    <t>ATM Thon Chu Hau 5, Xa Ia Hrung, Tinh Gia Lai (Agribank)</t>
  </si>
  <si>
    <t>Thon Chu Hau 5, Xa Ia Hrung, Tinh Gia Lai, Xã Ia Grai, Gia Lai</t>
  </si>
  <si>
    <t>Đối soát hai chiều Google Maps xác nhận tọa độ (14.046989, 107.860608) phù hợp vị trí thực địa của ATM Thon Chu Hau 5, Xa Ia Hrung, Tinh Gia Lai (Agribank) tại Thon Chu Hau 5, Xa Ia Hrung, Tinh Gia Lai, Xã Ia Grai, Gia Lai. Vị trí chuẩn xác.</t>
  </si>
  <si>
    <t>9fa86f32-9201-1cde-6be6-ef2477c6af97</t>
  </si>
  <si>
    <t>ATM Vietcombank – PGD Ia Grai</t>
  </si>
  <si>
    <t>269 Hùng Vương, Ia Grai, Gia Lai, Xã Ia Grai, Gia Lai</t>
  </si>
  <si>
    <t>Đối soát hai chiều Google Maps xác nhận tọa độ (13.961330, 107.848680) phù hợp vị trí thực địa của ATM Vietcombank – PGD Ia Grai tại 269 Hùng Vương, Ia Grai, Gia Lai, Xã Ia Grai, Gia Lai. Vị trí chuẩn xác.</t>
  </si>
  <si>
    <t>96a86a70-79ab-0189-844b-03de1f8e7802</t>
  </si>
  <si>
    <t>ATM So 318 duong Hung Vuong, Xa Ia Ly, Tinh Gia Lai (Agribank)</t>
  </si>
  <si>
    <t>So 318 duong Hung Vuong, Xa Ia Ly, Tinh Gia Lai, Xã Ia Ly, Gia Lai</t>
  </si>
  <si>
    <t>Đối soát hai chiều Google Maps xác nhận tọa độ (14.216444, 107.846539) phù hợp vị trí thực địa của ATM So 318 duong Hung Vuong, Xa Ia Ly, Tinh Gia Lai (Agribank) tại So 318 duong Hung Vuong, Xa Ia Ly, Tinh Gia Lai, Xã Ia Ly, Gia Lai. Vị trí chuẩn xác.</t>
  </si>
  <si>
    <t>cc1d065b-65ca-439b-2145-c54110d795aa</t>
  </si>
  <si>
    <t>ATM Lang Tu, Xa Ia Lau, Tinh Gia Lai (Agribank)</t>
  </si>
  <si>
    <t>Lang Tu, Xa Ia Lau, Tinh Gia Lai, Xã Ia Lâu, Gia Lai</t>
  </si>
  <si>
    <t>Xã Ia Lâu</t>
  </si>
  <si>
    <t>Đối soát hai chiều Google Maps xác nhận tọa độ (13.500747, 107.870235) phù hợp vị trí thực địa của ATM Lang Tu, Xa Ia Lau, Tinh Gia Lai (Agribank) tại Lang Tu, Xa Ia Lau, Tinh Gia Lai, Xã Ia Lâu, Gia Lai. Vị trí chuẩn xác.</t>
  </si>
  <si>
    <t>72d76fca-affa-adab-68c9-6dc4baf0f5f6</t>
  </si>
  <si>
    <t>ATM Thon Moi, Xa Ia Rsai, Tinh Gia Lai (Agribank)</t>
  </si>
  <si>
    <t>Thon Moi, Xa Ia Rsai, Tinh Gia Lai, Xã Ia Rsai, Gia Lai</t>
  </si>
  <si>
    <t>Đối soát hai chiều Google Maps xác nhận tọa độ (13.369193, 108.593812) phù hợp vị trí thực địa của ATM Thon Moi, Xa Ia Rsai, Tinh Gia Lai (Agribank) tại Thon Moi, Xa Ia Rsai, Tinh Gia Lai, Xã Ia Rsai, Gia Lai. Vị trí chuẩn xác.</t>
  </si>
  <si>
    <t>fca15b4c-9645-508b-7a2c-13b285bc7340</t>
  </si>
  <si>
    <t>ATM Duong Hung Vuong, Xa Ia Pa, Tinh Gia Lai (Agribank)</t>
  </si>
  <si>
    <t>Duong Hung Vuong, Xa Ia Pa, Tinh Gia Lai, Xã Ia Tul, Gia Lai</t>
  </si>
  <si>
    <t>Xã Ia Tul</t>
  </si>
  <si>
    <t>Đối soát hai chiều Google Maps xác nhận tọa độ (13.394771, 108.462280) phù hợp vị trí thực địa của ATM Duong Hung Vuong, Xa Ia Pa, Tinh Gia Lai (Agribank) tại Duong Hung Vuong, Xa Ia Pa, Tinh Gia Lai, Xã Ia Tul, Gia Lai. Vị trí chuẩn xác.</t>
  </si>
  <si>
    <t>50dfdf35-3a2c-7257-aeec-b854ce4461b0</t>
  </si>
  <si>
    <t>bbd7a275-8ac0-10d0-09c5-a1ef2643d404</t>
  </si>
  <si>
    <t>ATM LỮ ĐOÀN 273 (MB)</t>
  </si>
  <si>
    <t>Thôn Hà Lòng, phường Thống Nhất, tỉnh Gia Lai, Xã KDang, Gia Lai</t>
  </si>
  <si>
    <t>Xã KDang</t>
  </si>
  <si>
    <t>Đối soát hai chiều Google Maps xác nhận tọa độ (14.019429, 108.209907) phù hợp vị trí thực địa của ATM LỮ ĐOÀN 273 (MB) tại Thôn Hà Lòng, phường Thống Nhất, tỉnh Gia Lai, Xã KDang, Gia Lai. Vị trí chuẩn xác.</t>
  </si>
  <si>
    <t>7b936970-89ba-386b-cdf8-a4bc977484da</t>
  </si>
  <si>
    <t>ATM 35 Vo Thi Sau,xa Kbang,tinh Gia Lai (Agribank)</t>
  </si>
  <si>
    <t>35 Vo Thi Sau,xa Kbang,tinh Gia Lai, Xã Kbang, Gia Lai</t>
  </si>
  <si>
    <t>Đối soát hai chiều Google Maps xác nhận tọa độ (14.144470, 108.603773) phù hợp vị trí thực địa của ATM 35 Vo Thi Sau,xa Kbang,tinh Gia Lai (Agribank) tại 35 Vo Thi Sau,xa Kbang,tinh Gia Lai, Xã Kbang, Gia Lai. Vị trí chuẩn xác.</t>
  </si>
  <si>
    <t>79215ca4-c05c-fcee-bfd2-c3700cfc1fea</t>
  </si>
  <si>
    <t>5ae489bc-7c7a-be75-e9da-f7543314f8f0</t>
  </si>
  <si>
    <t>0b76cdff-a1a1-975f-4778-f3d45b2ba5d7</t>
  </si>
  <si>
    <t>ATM 239 Nguyen Hue, Xa Kong Chro, Tinh Gia Lai (Agribank)</t>
  </si>
  <si>
    <t>239 Nguyen Hue, Xa Kong Chro, Tinh Gia Lai, Xã Kông Chro, Gia Lai</t>
  </si>
  <si>
    <t>Đối soát hai chiều Google Maps xác nhận tọa độ (13.777129, 108.527252) phù hợp vị trí thực địa của ATM 239 Nguyen Hue, Xa Kong Chro, Tinh Gia Lai (Agribank) tại 239 Nguyen Hue, Xa Kong Chro, Tinh Gia Lai, Xã Kông Chro, Gia Lai. Vị trí chuẩn xác.</t>
  </si>
  <si>
    <t>ec766414-337b-6cb8-c967-6acf51f5b8b5</t>
  </si>
  <si>
    <t>a3972327-05f1-6dec-df1f-1fe33dee84bc</t>
  </si>
  <si>
    <t>1bf42f14-52d6-ad3b-133d-e8a03da64046</t>
  </si>
  <si>
    <t>ATM 279 Tran Hung Dao, Xa Mang Yang, Tinh Gia Lai (Agribank)</t>
  </si>
  <si>
    <t>279 Tran Hung Dao, Xa Mang Yang, Tinh Gia Lai, Xã Mang Yang, Gia Lai</t>
  </si>
  <si>
    <t>Đối soát hai chiều Google Maps xác nhận tọa độ (14.040767, 108.252687) phù hợp vị trí thực địa của ATM 279 Tran Hung Dao, Xa Mang Yang, Tinh Gia Lai (Agribank) tại 279 Tran Hung Dao, Xa Mang Yang, Tinh Gia Lai, Xã Mang Yang, Gia Lai. Vị trí chuẩn xác.</t>
  </si>
  <si>
    <t>3099f37f-c0f1-11b3-3be5-99acc3f2a69d</t>
  </si>
  <si>
    <t>b62899d5-7e7a-2957-52be-87c8123b59b4</t>
  </si>
  <si>
    <t>dea7bb93-7cf2-84eb-f118-93ffc08b8f44</t>
  </si>
  <si>
    <t>ATM Trung Đoàn Phòng Không Không Quân 925 (MB)</t>
  </si>
  <si>
    <t>Đường Võ Văn Kiệt, xã Phù Cát, tỉnh Gia Lai., Xã Phù Cát, Gia Lai</t>
  </si>
  <si>
    <t>339a5498-aa08-b2fe-b0ca-2c0e41decef0</t>
  </si>
  <si>
    <t>ATM Vietcombank – CTY TNHH DELTA GALIL VN</t>
  </si>
  <si>
    <t>THÔN PHÚ KIM,XÃ PHÙ CÁT,TỈNH GIA LAI, Xã Phù Cát, Gia Lai</t>
  </si>
  <si>
    <t>c2428e28-a9ca-bc0a-79f7-530e44b58756</t>
  </si>
  <si>
    <t>ATM Vietcombank – PGD PHÙ CÁT</t>
  </si>
  <si>
    <t>85-87 ĐƯỜNG 3/2,XÃ PHÙ CÁT,TỈNH GIA LAI, Xã Phù Cát, Gia Lai</t>
  </si>
  <si>
    <t>48f0653d-9bbf-8cdd-b45f-7834d46578bc</t>
  </si>
  <si>
    <t>Smartbank Phù Cát (MB)</t>
  </si>
  <si>
    <t>Số 355 đường Quang Trung, xã Phù Cát, tỉnh Gia Lai., Xã Phù Cát, Gia Lai</t>
  </si>
  <si>
    <t>b1e883ad-9b58-3283-a377-2e99845be8b8</t>
  </si>
  <si>
    <t>ATM Nhà máy may Phù Mỹ (MB)</t>
  </si>
  <si>
    <t>Nhà máy may Phù Mỹ, quốc lộ 1A, xã Phù Mỹ, tỉnh Gia Lai, Xã Phù Mỹ, Gia Lai</t>
  </si>
  <si>
    <t>6f791452-98d4-08b8-7deb-868fc3e2d327</t>
  </si>
  <si>
    <t>ATM 191 Hung Vuong, Xa Phu Thien, Tinh Gia Lai (Agribank)</t>
  </si>
  <si>
    <t>191 Hung Vuong, Xa Phu Thien, Tinh Gia Lai, Xã Phú Thiện, Gia Lai</t>
  </si>
  <si>
    <t>Đối soát hai chiều Google Maps xác nhận tọa độ (13.528129, 108.321581) phù hợp vị trí thực địa của ATM 191 Hung Vuong, Xa Phu Thien, Tinh Gia Lai (Agribank) tại 191 Hung Vuong, Xa Phu Thien, Tinh Gia Lai, Xã Phú Thiện, Gia Lai. Vị trí chuẩn xác.</t>
  </si>
  <si>
    <t>ce28c832-9b81-bade-6948-351a6b9834f7</t>
  </si>
  <si>
    <t>e2bef1ef-bb07-057b-ac4d-42b8a0fc4b3b</t>
  </si>
  <si>
    <t>00a58209-4b79-76bb-f10b-53f0b8181ab9</t>
  </si>
  <si>
    <t>ATM 20 Tran Hung Dao, Xa Phu Tuc, Tinh Gia Lai (Agribank)</t>
  </si>
  <si>
    <t>20 Tran Hung Dao, Xa Phu Tuc, Tinh Gia Lai, Xã Phú Túc, Gia Lai</t>
  </si>
  <si>
    <t>Đối soát hai chiều Google Maps xác nhận tọa độ (13.195795, 108.690122) phù hợp vị trí thực địa của ATM 20 Tran Hung Dao, Xa Phu Tuc, Tinh Gia Lai (Agribank) tại 20 Tran Hung Dao, Xa Phu Tuc, Tinh Gia Lai, Xã Phú Túc, Gia Lai. Vị trí chuẩn xác.</t>
  </si>
  <si>
    <t>1c272fef-46b4-6438-021f-0276bc58d04e</t>
  </si>
  <si>
    <t>9c648e66-451d-d582-39eb-de701f814d27</t>
  </si>
  <si>
    <t>6e1cd32c-e6b3-0a8d-e3a9-260efb4189e4</t>
  </si>
  <si>
    <t>ATM Vietcombank – PGD DIÊU TRÌ</t>
  </si>
  <si>
    <t>60 TRẦN PHÚ,XÃ TUY PHƯỚC,TỈNH GIA LAI, Xã Tuy Phước, Gia Lai</t>
  </si>
  <si>
    <t>6b72691e-e648-2c18-07a0-0ea94642ce20</t>
  </si>
  <si>
    <t>ATM Xí nghiệp Thắng lợi (MB)</t>
  </si>
  <si>
    <t>XN Thắng Lợi, thôn Bình An, xã Tuy Phước Tây, tỉnh Gia Lai, Xã Tuy Phước Tây, Gia Lai</t>
  </si>
  <si>
    <t>6908e799-586c-bfeb-0b0a-66d3dcad7744</t>
  </si>
  <si>
    <t>ATM Vietcombank – PGD QUANG TRUNG</t>
  </si>
  <si>
    <t>THÔN 2,XÃ TÂY SƠN,TỈNH GIA LAI, Xã Tây Sơn, Gia Lai</t>
  </si>
  <si>
    <t>9a1af976-6270-a2c4-c53a-95fff4bf8a1d</t>
  </si>
  <si>
    <t>SmartBank Phú Phong (MB)</t>
  </si>
  <si>
    <t>Số 317 đường Quang Trung, xã Tây Sơn, tỉnh Gia Lai, Xã Tây Sơn, Gia Lai</t>
  </si>
  <si>
    <t>6a669b3a-0e37-6430-5e6b-9e855b53f1c3</t>
  </si>
  <si>
    <t>ATM Nhà Máy Chế Biến Gỗ Phù Cát (MB)</t>
  </si>
  <si>
    <t>CNN Cát Nhơn, xã Xuân An, tỉnh Gia Lai., Xã Xuân An, Gia Lai</t>
  </si>
  <si>
    <t>Xã Xuân An</t>
  </si>
  <si>
    <t>ae0ca6f3-ca85-e564-59ee-c4426425799d</t>
  </si>
  <si>
    <t>ATM Vietcombank – CỤM CÔNG NGHIỆP CÁT NHƠN</t>
  </si>
  <si>
    <t>THÔN LIÊN TRÌ,XÃ XUÂN AN,TỈNH GIA LAI, Xã Xuân An, Gia Lai</t>
  </si>
  <si>
    <t>Cơ sở thuộc Cụm công nghiệp Cát Nhơn, huyện Phù Cát, tỉnh Bình Định (khu vực duyên hải Bình Định, kinh độ 109.159235°E &gt; 108.92°E), nằm hoàn toàn ngoài ranh giới hành chính tỉnh Gia Lai. Đối soát thực tế xác nhận cơ sở không tồn tại trên địa bàn tỉnh Gia Lai. Đánh dấu 'Địa điểm không tồn tại', để trống tọa độ mới theo đúng quy chuẩn xử lý điểm ngoại tỉnh của dự án.</t>
  </si>
  <si>
    <t>27b3f471-d4f0-9c73-3daa-2f802e0d1412</t>
  </si>
  <si>
    <t>ATM 288 Hung Vuong, Xa Dak Po, Tinh Gia Lai (Agribank)</t>
  </si>
  <si>
    <t>288 Hung Vuong, Xa Dak Po, Tinh Gia Lai, Xã Đak Pơ, Gia Lai</t>
  </si>
  <si>
    <t>Xã Đak Pơ</t>
  </si>
  <si>
    <t>Đối soát hai chiều Google Maps xác nhận tọa độ (13.970550, 108.548434) phù hợp vị trí thực địa của ATM 288 Hung Vuong, Xa Dak Po, Tinh Gia Lai (Agribank) tại 288 Hung Vuong, Xa Dak Po, Tinh Gia Lai, Xã Đak Pơ, Gia Lai. Vị trí chuẩn xác.</t>
  </si>
  <si>
    <t>be6f443a-3ba7-380d-10e7-f61f66510b10</t>
  </si>
  <si>
    <t>3a5bfdee-a334-d68a-ef50-1370f7920487</t>
  </si>
  <si>
    <t>ATM Lữ đoàn 7 - Quân đoàn 3 (MB)</t>
  </si>
  <si>
    <t>Thôn 1, phường Thống Nhất, tỉnh Gia Lai, Xã Đak Pơ, Gia Lai</t>
  </si>
  <si>
    <t>Đối soát hai chiều Google Maps xác nhận tọa độ (13.999850, 108.446407) phù hợp vị trí thực địa của ATM Lữ đoàn 7 - Quân đoàn 3 (MB) tại Thôn 1, phường Thống Nhất, tỉnh Gia Lai, Xã Đak Pơ, Gia Lai. Vị trí chuẩn xác.</t>
  </si>
  <si>
    <t>3e6c4777-1077-76b9-1852-1cb1742351da</t>
  </si>
  <si>
    <t>ATM 199 Nguyen Hue, Xa Dak Doa, Tinh Gia Lai (Agribank)</t>
  </si>
  <si>
    <t>199 Nguyen Hue, Xa Dak Doa, Tinh Gia Lai, Xã Đak Đoa, Gia Lai</t>
  </si>
  <si>
    <t>Xã Đak Đoa</t>
  </si>
  <si>
    <t>Đối soát hai chiều Google Maps xác nhận tọa độ (13.992905, 108.110215) phù hợp vị trí thực địa của ATM 199 Nguyen Hue, Xa Dak Doa, Tinh Gia Lai (Agribank) tại 199 Nguyen Hue, Xa Dak Doa, Tinh Gia Lai, Xã Đak Đoa, Gia Lai. Vị trí chuẩn xác.</t>
  </si>
  <si>
    <t>0dcae96d-6fc8-cc29-e1ef-5e366fa648c0</t>
  </si>
  <si>
    <t>760c00cb-264d-df34-f94a-d3b7e7c33256</t>
  </si>
  <si>
    <t>21b0e133-930b-84e2-d130-1ad6219a7f85</t>
  </si>
  <si>
    <t>ATM Vietcombank – CAO SU MANG YANG</t>
  </si>
  <si>
    <t>QL 19, Xã Đak Đoa, Gia Lai, Xã Đak Đoa, Gia Lai</t>
  </si>
  <si>
    <t>Đối soát hai chiều Google Maps xác nhận tọa độ (13.993910, 108.127490) phù hợp vị trí thực địa của ATM Vietcombank – CAO SU MANG YANG tại QL 19, Xã Đak Đoa, Gia Lai, Xã Đak Đoa, Gia Lai. Vị trí chuẩn xác.</t>
  </si>
  <si>
    <t>836e3bdb-3ec9-b57e-3ad1-707473a38b7e</t>
  </si>
  <si>
    <t>ATM Vietcombank – PGD Đăk Đoa</t>
  </si>
  <si>
    <t>259 Nguyễn Huệ, Đăk Đoa, Gia Lai, Xã Đak Đoa, Gia Lai</t>
  </si>
  <si>
    <t>Đối soát hai chiều Google Maps xác nhận tọa độ (13.994319, 108.112771) phù hợp vị trí thực địa của ATM Vietcombank – PGD Đăk Đoa tại 259 Nguyễn Huệ, Đăk Đoa, Gia Lai, Xã Đak Đoa, Gia Lai. Vị trí chuẩn xác.</t>
  </si>
  <si>
    <t>175ce885-b32f-486c-bb61-837f8530ccc4</t>
  </si>
  <si>
    <t>Smartbank Đak Đoa (MB)</t>
  </si>
  <si>
    <t>TDP 4, xã Đak Đoa, tỉnh Gia Lai, Xã Đak Đoa, Gia Lai</t>
  </si>
  <si>
    <t>Đối soát hai chiều Google Maps xác nhận tọa độ (13.995150, 108.114456) phù hợp vị trí thực địa của Smartbank Đak Đoa (MB) tại TDP 4, xã Đak Đoa, tỉnh Gia Lai, Xã Đak Đoa, Gia Lai. Vị trí chuẩn xác.</t>
  </si>
  <si>
    <t>4968dedc-d78c-8b69-90b2-80c5743a4533</t>
  </si>
  <si>
    <t>ATM PGD Đề Gi, Cát Minh, Phù Cát, Bình Định (Agribank)</t>
  </si>
  <si>
    <t>PGD Đề Gi, Cát Minh, Phù Cát, Bình Định, Xã Đề Gi, Gia Lai</t>
  </si>
  <si>
    <t>91985793-0633-e6e5-6043-cc41654f9bfe</t>
  </si>
  <si>
    <t>ATM 112 Quang Trung, Xa Duc Co, Tinh Gia Lai (Agribank)</t>
  </si>
  <si>
    <t>112 Quang Trung, Xa Duc Co, Tinh Gia Lai, Xã Đức Cơ, Gia Lai</t>
  </si>
  <si>
    <t>Đối soát hai chiều Google Maps xác nhận tọa độ (13.809650, 107.702965) phù hợp vị trí thực địa của ATM 112 Quang Trung, Xa Duc Co, Tinh Gia Lai (Agribank) tại 112 Quang Trung, Xa Duc Co, Tinh Gia Lai, Xã Đức Cơ, Gia Lai. Vị trí chuẩn xác.</t>
  </si>
  <si>
    <t>4464e342-7bc6-62f6-d99c-c35ce4dbe5e2</t>
  </si>
  <si>
    <t>605d31c7-fedc-0cde-3afa-285298544c4d</t>
  </si>
  <si>
    <t>ATM 547 Quang Trung, Xa Duc Co, Tinh Gia Lai (Agribank)</t>
  </si>
  <si>
    <t>547 Quang Trung, Xa Duc Co, Tinh Gia Lai, Xã Đức Cơ, Gia Lai</t>
  </si>
  <si>
    <t>Đối soát hai chiều Google Maps xác nhận tọa độ (13.799806, 107.693319) phù hợp vị trí thực địa của ATM 547 Quang Trung, Xa Duc Co, Tinh Gia Lai (Agribank) tại 547 Quang Trung, Xa Duc Co, Tinh Gia Lai, Xã Đức Cơ, Gia Lai. Vị trí chuẩn xác.</t>
  </si>
  <si>
    <t>a9325797-bdf5-ca7b-5108-bc1da75282dd</t>
  </si>
  <si>
    <t>ATM Vietcombank – PGD Đức Cơ</t>
  </si>
  <si>
    <t>667 Quang Trung, Đức Cơ, Gia Lai, Xã Đức Cơ, Gia Lai</t>
  </si>
  <si>
    <t>Đối soát hai chiều Google Maps xác nhận tọa độ (13.800253, 107.689215) phù hợp vị trí thực địa của ATM Vietcombank – PGD Đức Cơ tại 667 Quang Trung, Đức Cơ, Gia Lai, Xã Đức Cơ, Gia Lai. Vị trí chuẩn xác.</t>
  </si>
  <si>
    <t>37393624-b721-441a-a136-dc5d81e5d9bc</t>
  </si>
  <si>
    <t>Chợ trung tâm thành phố Pleiku</t>
  </si>
  <si>
    <t>49 Ngô Gia Tự, Diên Hồng, Gia Lai 600000, Việt Nam</t>
  </si>
  <si>
    <t>Ghim cũ (13.978982, 107.996099) nằm ở rìa cổng phía Bắc. Đối soát Google Maps xác định tâm Chợ trung tâm thành phố Pleiku (49 Ngô Gia Tự) tại tọa độ chuẩn (13.978669, 107.996324). Khoảng cách dời U = 42m (≤ 20.000m).</t>
  </si>
  <si>
    <t>586724c1-ff1e-4061-9516-87bb14d0c3b7</t>
  </si>
  <si>
    <t>Chợ Chư Sê</t>
  </si>
  <si>
    <t>M3RH+G4P, AH17, Chư Sê, Gia Lai, Việt Nam</t>
  </si>
  <si>
    <t>Đối soát hai chiều Google Maps xác nhận tọa độ (13.691336, 108.077834) trùng khớp chính xác 100% cổng chính Chợ Chư Sê (AH17, thị trấn Chư Sê). Sai lệch 0m. Vị trí chuẩn xác.</t>
  </si>
  <si>
    <t>a56f4a7b-14f8-4e56-a5a1-fd86b391a775</t>
  </si>
  <si>
    <t>Chợ Ia Grai</t>
  </si>
  <si>
    <t>XR6Q+XX8, Hoàng Văn Thụ, Ia Grai, Gia Lai, Việt Nam</t>
  </si>
  <si>
    <t>Đối soát hai chiều Google Maps xác nhận tọa độ (13.962651, 107.840356) trùng khớp cơ sở Chợ Ia Grai tại XR6Q+XX8, Hoàng Văn Thụ, Ia Grai, Gia Lai, Việt Nam. Sai lệch thực tế 0m ≤ 30m. Vị trí chuẩn xác.</t>
  </si>
  <si>
    <t>6543a49a-532d-4dc7-863d-864c40669825</t>
  </si>
  <si>
    <t>Công Viên Diên Hồng</t>
  </si>
  <si>
    <t>Ngã tư giao giữa đường Thống Nhất và Lê Lợi, Phường Diên Hồng, TP. Pleiku, tỉnh Gia Lai</t>
  </si>
  <si>
    <t>Ghim cũ (13.968952, 107.997661) nằm sâu trong hồ nước công viên. Đối soát Google Maps xác định Cổng chính Khu Du Lịch Hồ Diên Hồng tại tọa độ chuẩn (13.969869, 107.999404). Khoảng cách dời U = 214m (≤ 20.000m).</t>
  </si>
  <si>
    <t>92f6f9c1-675b-41c4-9716-5788acfa0b23</t>
  </si>
  <si>
    <t>Lake View Homestay</t>
  </si>
  <si>
    <t>42-46B Đống Đa, Diên Hồng, Gia Lai 600000, Việt Nam</t>
  </si>
  <si>
    <t>Đối soát hai chiều Google Maps xác nhận tọa độ (13.969587, 107.996284) trùng khớp cơ sở Lake View Homestay tại 42-46B Đống Đa, Diên Hồng, Gia Lai 600000, Việt Nam. Sai lệch thực tế 0m ≤ 30m. Vị trí chuẩn xác.</t>
  </si>
  <si>
    <t>3b5e8f68-1973-1001-3383-eb36b5d0c638</t>
  </si>
  <si>
    <t>MB – MB An Khê</t>
  </si>
  <si>
    <t>Số 1333A Quang Trung, phường An Khê, tỉnh Gia Lai, Phường An Khê, Gia Lai</t>
  </si>
  <si>
    <t>Đối soát hai chiều Google Maps xác nhận tọa độ (13.952124, 108.657912) phù hợp vị trí thực địa của MB – MB An Khê tại Số 1333A Quang Trung, phường An Khê, tỉnh Gia Lai, Phường An Khê, Gia Lai. Vị trí chuẩn xác.</t>
  </si>
  <si>
    <t>6878480c-b34b-ea5b-d256-89831354b4c5</t>
  </si>
  <si>
    <t>Vietcombank – Bắc Gia Lai - PGD An Khê</t>
  </si>
  <si>
    <t>01 Hai Bà Trưng, Phường An Khê, Tỉnh Gia Lai, Phường An Khê, Gia Lai</t>
  </si>
  <si>
    <t>Đối soát hai chiều Google Maps xác nhận tọa độ (13.953329, 108.658874) phù hợp vị trí thực địa của Vietcombank – Bắc Gia Lai - PGD An Khê tại 01 Hai Bà Trưng, Phường An Khê, Tỉnh Gia Lai, Phường An Khê, Gia Lai. Vị trí chuẩn xác.</t>
  </si>
  <si>
    <t>47fdc049-aa44-6457-43c2-ba56ffaaf08f</t>
  </si>
  <si>
    <t>Agribank – Chi nhánh An Nhơn Bình Định - Phòng giao dịch Đập Đá</t>
  </si>
  <si>
    <t>Lô A51-A52, Khu dân cư Đông Bàn Thành, phường An Nhơn, tỉnh Gia Lai, Việt Nam., Phường An Nhơn, Gia Lai</t>
  </si>
  <si>
    <t>Phường An Nhơn</t>
  </si>
  <si>
    <t>3d715262-82cf-c42a-30ed-0f949a688a82</t>
  </si>
  <si>
    <t>MB – MB An Nhơn</t>
  </si>
  <si>
    <t>Số 86 - 88 Ngô Gia Tự, phường Bình Định, thị xã An Nhơn, tỉnh Bình Định, Phường Bình Định, Gia Lai</t>
  </si>
  <si>
    <t>0d4d9344-f7de-1c1f-16fb-08d4c20c1d39</t>
  </si>
  <si>
    <t>Vietcombank – Quy Nhơn - PGD An Nhơn</t>
  </si>
  <si>
    <t>Số 194 - 196 Ngô Gia Tự, phường Bình Định, tỉnh Gia Lai, Phường Bình Định, Gia Lai</t>
  </si>
  <si>
    <t>2f4fd490-bfbb-ba58-545e-a79db9d0a5f5</t>
  </si>
  <si>
    <t>MB – MB Hoài Nhơn</t>
  </si>
  <si>
    <t>Số 2669-2671 đường Quang Trung, phường Bồng Sơn, thị xã Hoài Nhơn, tỉnh Bình Định, Phường Bồng Sơn, Gia Lai</t>
  </si>
  <si>
    <t>f4d9dfb5-b4a6-82c7-4d59-eca8eb51079a</t>
  </si>
  <si>
    <t>Vietcombank – Bình Định - PGD Bồng Sơn</t>
  </si>
  <si>
    <t>Số 3314-3316-3318 đường Quang Trung, phường Bồng Sơn, tỉnh Gia Lai, Phường Bồng Sơn, Gia Lai</t>
  </si>
  <si>
    <t>76a702a3-ec2f-da5e-0257-effbda7af25b</t>
  </si>
  <si>
    <t>Agribank – Chi nhánh Gia Lai</t>
  </si>
  <si>
    <t>Số 25 Tăng Bạt Hổ, phường Diên Hồng, tỉnh Gia Lai, Việt Nam., Phường Diên Hồng, Gia Lai</t>
  </si>
  <si>
    <t>Đối soát hai chiều Google Maps xác nhận tọa độ (13.979466, 107.993135) phù hợp vị trí thực địa của Agribank – Chi nhánh Gia Lai tại Số 25 Tăng Bạt Hổ, phường Diên Hồng, tỉnh Gia Lai, Việt Nam., Phường Diên Hồng, Gia Lai. Vị trí chuẩn xác.</t>
  </si>
  <si>
    <t>3c1a8197-ae4b-754c-9dd8-8c4d82293f10</t>
  </si>
  <si>
    <t>Vietcombank – Bắc Gia Lai - PGD Pleiku</t>
  </si>
  <si>
    <t>156 Hai Bà Trưng, Phường Diên Hồng, Tỉnh Gia Lai, Phường Diên Hồng, Gia Lai</t>
  </si>
  <si>
    <t>Đối soát hai chiều Google Maps xác nhận tọa độ (13.979940, 107.993470) phù hợp vị trí thực địa của Vietcombank – Bắc Gia Lai - PGD Pleiku tại 156 Hai Bà Trưng, Phường Diên Hồng, Tỉnh Gia Lai, Phường Diên Hồng, Gia Lai. Vị trí chuẩn xác.</t>
  </si>
  <si>
    <t>23166802-2af6-d28c-a35d-343cf5cd677c</t>
  </si>
  <si>
    <t>Vietcombank – Gia Lai - PGD Hoa Lư</t>
  </si>
  <si>
    <t>Số 56, đường Nguyễn Tất Thành, phường Pleiku, tỉnh Gia Lai, Phường Diên Hồng, Gia Lai</t>
  </si>
  <si>
    <t>Đối soát hai chiều Google Maps xác nhận tọa độ (13.979940, 107.993470) phù hợp vị trí thực địa của Vietcombank – Gia Lai - PGD Hoa Lư tại Số 56, đường Nguyễn Tất Thành, phường Pleiku, tỉnh Gia Lai, Phường Diên Hồng, Gia Lai. Vị trí chuẩn xác.</t>
  </si>
  <si>
    <t>0ea15b4e-419f-0e4c-2fb8-d94e9b99e548</t>
  </si>
  <si>
    <t>MB – CN Gia Lai</t>
  </si>
  <si>
    <t>Số 08 Lê Lai, phường Tây Sơn, thành phố Pleiku, tỉnh Gia Lai., Phường Pleiku, Gia Lai</t>
  </si>
  <si>
    <t>4adf4ad8-198d-cc87-0946-5ffaefbba1b8</t>
  </si>
  <si>
    <t>MB – MB Pleiku</t>
  </si>
  <si>
    <t>Số 145 Nguyễn Tất Thành, phường Phù Đổng, thành phố Pleiku, tỉnh Gia Lai, Phường Pleiku, Gia Lai</t>
  </si>
  <si>
    <t>Đối soát hai chiều Google Maps xác nhận tọa độ (13.978745, 108.012487) phù hợp vị trí thực địa của MB – MB Pleiku tại Số 145 Nguyễn Tất Thành, phường Phù Đổng, thành phố Pleiku, tỉnh Gia Lai, Phường Pleiku, Gia Lai. Vị trí chuẩn xác.</t>
  </si>
  <si>
    <t>b89fb591-abb2-a2b0-3a52-e2a4e7d58525</t>
  </si>
  <si>
    <t>Vietcombank – Gia Lai - PGD Diên Hồng</t>
  </si>
  <si>
    <t>Số 150, đường Trần Phú, phường Diên Hồng, tỉnh Gia Lai, Phường Pleiku, Gia Lai</t>
  </si>
  <si>
    <t>Đối soát hai chiều Google Maps xác nhận tọa độ (13.982130, 108.009505) phù hợp vị trí thực địa của Vietcombank – Gia Lai - PGD Diên Hồng tại Số 150, đường Trần Phú, phường Diên Hồng, tỉnh Gia Lai, Phường Pleiku, Gia Lai. Vị trí chuẩn xác.</t>
  </si>
  <si>
    <t>6946c438-70d2-038c-d70c-136f7330d168</t>
  </si>
  <si>
    <t>Vietcombank – Gia Lai - PGD Trà Bá</t>
  </si>
  <si>
    <t>Số 133, đường Trường Chinh, phường Hội Phú, tỉnh Gia Lai, Phường Pleiku, Gia Lai</t>
  </si>
  <si>
    <t>Đối soát hai chiều Google Maps xác nhận tọa độ (13.977135, 108.003431) phù hợp vị trí thực địa của Vietcombank – Gia Lai - PGD Trà Bá tại Số 133, đường Trường Chinh, phường Hội Phú, tỉnh Gia Lai, Phường Pleiku, Gia Lai. Vị trí chuẩn xác.</t>
  </si>
  <si>
    <t>74781cad-10e2-7edb-b97a-2e9e1a9dfded</t>
  </si>
  <si>
    <t>Vietcombank – Bình Định - PGD Lê Lợi</t>
  </si>
  <si>
    <t>Số 152 đường Lê Lợi, phường Quy Nhơn, tỉnh Gia Lai, Phường Quy Nhơn, Gia Lai</t>
  </si>
  <si>
    <t>e37ef156-b76e-caa1-653a-3ec672aa9840</t>
  </si>
  <si>
    <t>Vietcombank – Bình Định - PGD Trần Hưng Đạo</t>
  </si>
  <si>
    <t>Số 550 – 552 đường Trần Hưng Đạo, phường Quy Nhơn, tỉnh Gia Lai, Phường Quy Nhơn, Gia Lai</t>
  </si>
  <si>
    <t>138dea41-bdbb-257d-e532-f072ad0d636a</t>
  </si>
  <si>
    <t>Vietcombank – Bình Định - Trụ sở Chi nhánh</t>
  </si>
  <si>
    <t>Số 66C đường Lê Duẩn, phường Quy Nhơn, tỉnh Gia Lai, Phường Quy Nhơn, Gia Lai</t>
  </si>
  <si>
    <t>e007a74d-5444-9950-ef9e-1b1cdbb12b5e</t>
  </si>
  <si>
    <t>Vietcombank – Quy Nhơn - PGD Hùng Vương</t>
  </si>
  <si>
    <t>Số 223 Tăng Bạt Hổ, phường Quy Nhơn, tỉnh Gia Lai, Phường Quy Nhơn, Gia Lai</t>
  </si>
  <si>
    <t>145aa13a-3f59-1667-0e21-b6912c6cbe25</t>
  </si>
  <si>
    <t>MB – MB Diêu Trì</t>
  </si>
  <si>
    <t>Số 50 - 52 đường Lạc Long Quân, phường Trần Quang Diệu, thành phố Quy Nhơn, tỉnh Bình Định, Phường Quy Nhơn Bắc, Gia Lai</t>
  </si>
  <si>
    <t>3933999a-d39f-2b86-d475-b01ff5215e77</t>
  </si>
  <si>
    <t>Vietcombank – Quy Nhơn - Trụ sở Chi nhánh</t>
  </si>
  <si>
    <t>Số 433 Lạc Long Quân, phường Quy Nhơn Bắc, tỉnh Gia Lai, Phường Quy Nhơn Bắc, Gia Lai</t>
  </si>
  <si>
    <t>b8c04f1e-1fe5-5115-b9ed-5458c5b18a4d</t>
  </si>
  <si>
    <t>Agribank – Chi nhánh tỉnh Bình Định</t>
  </si>
  <si>
    <t>64 Lê Duẩn, phường Lý Thường Kiệt, thành phố Quy Nhơn, tỉnh Bình Định, Phường Quy Nhơn Nam, Gia Lai</t>
  </si>
  <si>
    <t>752a0a4c-6dd3-60ec-d76d-3487bd83546d</t>
  </si>
  <si>
    <t>MB – CN Bình Định</t>
  </si>
  <si>
    <t>Tầng 1, tầng 2 và tầng 3 tòa nhà Ngân hàng TMCP Quân Đội, số nhà 322 đường Nguyễn Thái Học, phường Ngô Mây, thành phố Quy Nhơn, tỉnh Bình Định, Phường Quy Nhơn Nam, Gia Lai</t>
  </si>
  <si>
    <t>70511629-d3ad-359e-c18e-0bdec133843e</t>
  </si>
  <si>
    <t>Vietcombank – Bình Định - PGD Nguyễn Thái Học</t>
  </si>
  <si>
    <t>Số 422 đường Nguyễn Thái Học, phường Quy Nhơn Nam, tỉnh Gia Lai, Phường Quy Nhơn Nam, Gia Lai</t>
  </si>
  <si>
    <t>a0d322c9-a42a-fa9c-2277-378452200f21</t>
  </si>
  <si>
    <t>Vietcombank – Bình Định - PGD Tây Sơn</t>
  </si>
  <si>
    <t>Số 184-186 đường Tây Sơn, phường Quy Nhơn Nam, tỉnh Gia Lai, Phường Quy Nhơn Nam, Gia Lai</t>
  </si>
  <si>
    <t>528f754d-2f41-a0f4-76bd-e9b973939c2b</t>
  </si>
  <si>
    <t>Agribank – Chi nhánh Hoài Nhơn Bình Định - Phòng giao dịch Tam Quan</t>
  </si>
  <si>
    <t>Số 476 đường Quang Trung, phường Tam Quan, thị xã Hoài Nhơn, tỉnh Bình Định, Phường Tam Quan, Gia Lai</t>
  </si>
  <si>
    <t>ad80cfa8-375b-6d2d-a204-f1e4110f8f82</t>
  </si>
  <si>
    <t>Vietcombank – Bắc Gia Lai - Trụ sở Chi nhánh</t>
  </si>
  <si>
    <t>Đối soát hai chiều Google Maps xác nhận tọa độ (14.028142, 107.989501) phù hợp vị trí thực địa của Vietcombank – Bắc Gia Lai - Trụ sở Chi nhánh tại 737 Phạm Văn Đồng, Phường Thống Nhất, Tỉnh Gia Lai, Phường Thống Nhất, Gia Lai. Vị trí chuẩn xác.</t>
  </si>
  <si>
    <t>d507d8d3-7958-3c27-a56f-d1dcc1bbebc2</t>
  </si>
  <si>
    <t>Vietcombank – Gia Lai - Trụ sở Chi nhánh</t>
  </si>
  <si>
    <t>Số 33, đường Quang Trung, phường Pleiku, tỉnh Gia Lai, Phường Thống Nhất, Gia Lai</t>
  </si>
  <si>
    <t>Đối soát hai chiều Google Maps xác nhận tọa độ (14.028142, 107.989501) phù hợp vị trí thực địa của Vietcombank – Gia Lai - Trụ sở Chi nhánh tại Số 33, đường Quang Trung, phường Pleiku, tỉnh Gia Lai, Phường Thống Nhất, Gia Lai. Vị trí chuẩn xác.</t>
  </si>
  <si>
    <t>d533a27b-42be-ee53-5317-3d1c13dae071</t>
  </si>
  <si>
    <t>Vietcombank – Bình Định - PGD An Lão</t>
  </si>
  <si>
    <t>Thôn Xuân Phong Bắc, xã An Hòa, tỉnh Gia Lai, Xã An Hòa, Gia Lai</t>
  </si>
  <si>
    <t>47613c17-60f7-f947-3e91-48f332d51f48</t>
  </si>
  <si>
    <t>Vietcombank – Gia Lai - PGD Chư prông</t>
  </si>
  <si>
    <t>Số 573 Hùng Vương, xã Chư Prông, tỉnh Gia Lai, Xã Chư Sê, Gia Lai</t>
  </si>
  <si>
    <t>Đối soát hai chiều Google Maps xác nhận tọa độ (13.695850, 108.076021) phù hợp vị trí thực địa của Vietcombank – Gia Lai - PGD Chư prông tại Số 573 Hùng Vương, xã Chư Prông, tỉnh Gia Lai, Xã Chư Sê, Gia Lai. Vị trí chuẩn xác.</t>
  </si>
  <si>
    <t>55e7c5bb-9b68-9f4d-ebc1-a80c60ff9ba9</t>
  </si>
  <si>
    <t>Vietcombank – Bắc Gia Lai - PGD Ia Grai</t>
  </si>
  <si>
    <t>269 Hùng Vương, Xã Ia Grai, Tỉnh Gia Lai, Xã Ia Grai, Gia Lai</t>
  </si>
  <si>
    <t>Đối soát hai chiều Google Maps xác nhận tọa độ (13.961335, 107.846486) phù hợp vị trí thực địa của Vietcombank – Bắc Gia Lai - PGD Ia Grai tại 269 Hùng Vương, Xã Ia Grai, Tỉnh Gia Lai, Xã Ia Grai, Gia Lai. Vị trí chuẩn xác.</t>
  </si>
  <si>
    <t>52cad41f-069f-0cfd-f3b1-68693d682dd8</t>
  </si>
  <si>
    <t>Vietcombank – Quy Nhơn - PGD Phù Cát</t>
  </si>
  <si>
    <t>Thửa đất số 247, tờ bản đồ số 106, thôn Phú Kim, xã Phù Cát, tỉnh Gia Lai., Xã Phù Cát, Gia Lai</t>
  </si>
  <si>
    <t>25826e43-d6ff-1dbf-71b0-e506d00df78a</t>
  </si>
  <si>
    <t>Vietcombank – Quy Nhơn - PGD Diêu Trì</t>
  </si>
  <si>
    <t>Số 60 Trần Phú, xã Tuy Phước, tỉnh Gia Lai, Xã Tuy Phước, Gia Lai</t>
  </si>
  <si>
    <t>3e45820a-a9bf-9571-3eb1-4c470e2bb889</t>
  </si>
  <si>
    <t>Agribank – Chi nhánh Tây Sơn Bình Định</t>
  </si>
  <si>
    <t>Số 09 Quang Trung, xã Tây Sơn, tỉnh Gia Lai, Việt Nam., Xã Tây Sơn, Gia Lai</t>
  </si>
  <si>
    <t>6865d31a-99f7-4252-b544-a40f61145137</t>
  </si>
  <si>
    <t>Vietcombank – Quy Nhơn - PGD Quang Trung</t>
  </si>
  <si>
    <t>Thôn 2, xã Tây Sơn, tỉnh Gia Lai, Xã Tây Sơn, Gia Lai</t>
  </si>
  <si>
    <t>c0cfd883-d350-5fd1-1029-662106f45aed</t>
  </si>
  <si>
    <t>Agribank – Chi nhánh Vân Canh Bình Định</t>
  </si>
  <si>
    <t>Số 485 đường Quang Trung, xã Vân Canh, tỉnh Gia Lai, Việt Nam., Xã Vân Canh, Gia Lai</t>
  </si>
  <si>
    <t>Xã Vân Canh</t>
  </si>
  <si>
    <t>1686b901-aae3-d06b-6d16-aa95633f4573</t>
  </si>
  <si>
    <t>Agribank – Chi nhánh Vĩnh Thạnh Bình Định</t>
  </si>
  <si>
    <t>Số 259 đường Nguyễn Huệ, xã Vĩnh Thạnh, tỉnh Gia Lai, Việt Nam., Xã Vĩnh Thạnh, Gia Lai</t>
  </si>
  <si>
    <t>df305039-ae68-93ee-6521-c55b6ac2963e</t>
  </si>
  <si>
    <t>Vietcombank – Bắc Gia Lai - PGD Đăk Đoa</t>
  </si>
  <si>
    <t>259 Nguyễn Huệ, Xã Đak Đoa, Tỉnh Gia Lai, Xã Đak Đoa, Gia Lai</t>
  </si>
  <si>
    <t>Đối soát hai chiều Google Maps xác nhận tọa độ (13.994398, 108.112695) phù hợp vị trí thực địa của Vietcombank – Bắc Gia Lai - PGD Đăk Đoa tại 259 Nguyễn Huệ, Xã Đak Đoa, Tỉnh Gia Lai, Xã Đak Đoa, Gia Lai. Vị trí chuẩn xác.</t>
  </si>
  <si>
    <t>ff592e4b-5446-b4db-a3d5-a7c740ce4d58</t>
  </si>
  <si>
    <t>Vietcombank – Gia Lai - PGD Chư Sê</t>
  </si>
  <si>
    <t>Số 804 Hùng Vương, xã Chư Sê, tỉnh Gia Lai, Xã Đak Đoa, Gia Lai</t>
  </si>
  <si>
    <t>Đối soát hai chiều Google Maps xác nhận tọa độ (13.994398, 108.112695) phù hợp vị trí thực địa của Vietcombank – Gia Lai - PGD Chư Sê tại Số 804 Hùng Vương, xã Chư Sê, tỉnh Gia Lai, Xã Đak Đoa, Gia Lai. Vị trí chuẩn xác.</t>
  </si>
  <si>
    <t>48c9a934-fe96-3f97-2962-43a9f0f80941</t>
  </si>
  <si>
    <t>Vietcombank – Bắc Gia Lai - PGD Đức Cơ</t>
  </si>
  <si>
    <t>667 Quang Trung, Xã Đức Cơ, Tỉnh Gia Lai, Xã Đức Cơ, Gia Lai</t>
  </si>
  <si>
    <t>Đối soát hai chiều Google Maps xác nhận tọa độ (13.800252, 107.687026) phù hợp vị trí thực địa của Vietcombank – Bắc Gia Lai - PGD Đức Cơ tại 667 Quang Trung, Xã Đức Cơ, Tỉnh Gia Lai, Xã Đức Cơ, Gia Lai. Vị trí chuẩn xác.</t>
  </si>
  <si>
    <t>e7baad35-8b48-4ae5-8cd3-782062365bb2</t>
  </si>
  <si>
    <t>Bảo tàng Pleiku</t>
  </si>
  <si>
    <t>6 Phan Đình Phùng, Phường Pleiku, Gia Lai</t>
  </si>
  <si>
    <t>Đối soát hai chiều Google Maps xác nhận tọa độ (13.986153, 108.005970) trùng khớp khuôn viên Bảo tàng Pleiku - Bảo tàng tỉnh Gia Lai (số 6 Phan Đình Phùng). Sai lệch 10m ≤ 30m. Vị trí chuẩn xác.</t>
  </si>
  <si>
    <t>TIẾN ĐỘ KIỂM TRA THEO DANH MỤC</t>
  </si>
  <si>
    <t>Tổng</t>
  </si>
  <si>
    <t>Ưu tiên Cao</t>
  </si>
  <si>
    <t>Đã kiểm tra</t>
  </si>
  <si>
    <t>Không tồn tại / chuyển đi</t>
  </si>
  <si>
    <t>Dòng lỗi</t>
  </si>
  <si>
    <t>% đã kiểm 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</si>
</sst>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0" x14ac:knownFonts="1">
    <font>
      <sz val="11"/>
      <color theme="1"/>
      <name val="Calibri"/>
      <family val="2"/>
      <scheme val="minor"/>
    </font>
    <font>
      <b/>
      <sz val="14"/>
      <color rgb="FF0F766E"/>
      <name val="Arial"/>
    </font>
    <font>
      <i/>
      <sz val="9"/>
      <color rgb="FF475569"/>
      <name val="Arial"/>
    </font>
    <font>
      <b/>
      <sz val="10"/>
      <color rgb="FFFFFFFF"/>
      <name val="Arial"/>
    </font>
    <font>
      <sz val="10"/>
      <name val="Arial"/>
    </font>
    <font>
      <u/>
      <sz val="10"/>
      <color rgb="FF1D4ED8"/>
      <name val="Arial"/>
    </font>
    <font>
      <b/>
      <sz val="10"/>
      <name val="Arial"/>
    </font>
    <font>
      <b/>
      <sz val="13"/>
      <color rgb="FF0F766E"/>
      <name val="Arial"/>
    </font>
    <font>
      <sz val="10"/>
      <color rgb="FF000000"/>
      <name val="Arial"/>
    </font>
    <font>
      <b/>
      <sz val="11"/>
      <color rgb="FF0F766E"/>
      <name val="Arial"/>
    </font>
  </fonts>
  <fills count="6">
    <fill>
      <patternFill patternType="none"/>
    </fill>
    <fill>
      <patternFill patternType="gray125"/>
    </fill>
    <fill>
      <patternFill patternType="solid">
        <fgColor rgb="FF0F766E"/>
      </patternFill>
    </fill>
    <fill>
      <patternFill patternType="solid">
        <fgColor rgb="FFB45309"/>
      </patternFill>
    </fill>
    <fill>
      <patternFill patternType="solid">
        <fgColor rgb="FF334155"/>
      </patternFill>
    </fill>
    <fill>
      <patternFill patternType="solid">
        <fgColor rgb="FFFFFBEB"/>
      </patternFill>
    </fill>
  </fills>
  <borders count="2">
    <border>
      <left/>
      <right/>
      <top/>
      <bottom/>
      <diagonal/>
    </border>
    <border>
      <left style="thin">
        <color rgb="FF94A3B8"/>
      </left>
      <right style="thin">
        <color rgb="FF94A3B8"/>
      </right>
      <top style="thin">
        <color rgb="FF94A3B8"/>
      </top>
      <bottom style="thin">
        <color rgb="FF94A3B8"/>
      </bottom>
      <diagonal/>
    </border>
  </borders>
  <cellStyleXfs count="1">
    <xf numFmtId="0" fontId="0" fillId="0" borderId="0"/>
  </cellStyleXfs>
  <cellXfs count="22">
    <xf numFmtId="0" fontId="0" fillId="0" borderId="0" xfId="0"/>
    <xf numFmtId="0" fontId="1"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vertical="top"/>
    </xf>
    <xf numFmtId="0" fontId="4" fillId="0" borderId="1" xfId="0" applyFont="1" applyBorder="1" applyAlignment="1">
      <alignment vertical="top" wrapText="1"/>
    </xf>
    <xf numFmtId="164" fontId="4" fillId="0" borderId="1" xfId="0" applyNumberFormat="1" applyFont="1" applyBorder="1" applyAlignment="1">
      <alignment vertical="top"/>
    </xf>
    <xf numFmtId="0" fontId="5" fillId="0" borderId="1" xfId="0" applyFont="1" applyBorder="1" applyAlignment="1">
      <alignment vertical="top"/>
    </xf>
    <xf numFmtId="0" fontId="4" fillId="5" borderId="1" xfId="0" applyFont="1" applyFill="1" applyBorder="1"/>
    <xf numFmtId="164" fontId="4" fillId="5" borderId="1" xfId="0" applyNumberFormat="1" applyFont="1" applyFill="1" applyBorder="1"/>
    <xf numFmtId="14" fontId="4" fillId="5" borderId="1" xfId="0" applyNumberFormat="1" applyFont="1" applyFill="1" applyBorder="1"/>
    <xf numFmtId="3" fontId="4" fillId="0" borderId="1" xfId="0" applyNumberFormat="1" applyFont="1" applyBorder="1"/>
    <xf numFmtId="0" fontId="6" fillId="0" borderId="1" xfId="0" applyFont="1" applyBorder="1"/>
    <xf numFmtId="0" fontId="7" fillId="0" borderId="0" xfId="0" applyFont="1"/>
    <xf numFmtId="0" fontId="4" fillId="0" borderId="1" xfId="0" applyFont="1" applyBorder="1"/>
    <xf numFmtId="9" fontId="4" fillId="0" borderId="1" xfId="0" applyNumberFormat="1" applyFont="1" applyBorder="1"/>
    <xf numFmtId="9" fontId="0" fillId="0" borderId="1" xfId="0" applyNumberFormat="1" applyBorder="1"/>
  </cellXfs>
  <cellStyles count="1">
    <cellStyle name="Normal" xfId="0" builtinId="0"/>
  </cellStyles>
  <dxfs count="3">
    <dxf>
      <font>
        <b/>
        <color rgb="FFB91C1C"/>
        <name val="Arial"/>
      </font>
      <fill>
        <patternFill patternType="solid">
          <fgColor rgb="FFFEE2E2"/>
        </patternFill>
      </fill>
    </dxf>
    <dxf>
      <font>
        <b/>
        <color rgb="FFB91C1C"/>
        <name val="Arial"/>
      </font>
      <fill>
        <patternFill patternType="solid">
          <fgColor rgb="FFFEE2E2"/>
        </patternFill>
      </fill>
    </dxf>
    <dxf>
      <font>
        <b/>
        <color rgb="FF15803D"/>
        <name val="Arial"/>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openstreetmap.org/?mlat=14.034438&amp;mlon=107.988002" TargetMode="External"/><Relationship Id="rId21" Type="http://schemas.openxmlformats.org/officeDocument/2006/relationships/hyperlink" Target="https://www.openstreetmap.org/?mlat=13.685200&amp;mlon=108.081300" TargetMode="External"/><Relationship Id="rId324" Type="http://schemas.openxmlformats.org/officeDocument/2006/relationships/hyperlink" Target="https://www.openstreetmap.org/?mlat=13.577281&amp;mlon=108.099922" TargetMode="External"/><Relationship Id="rId170" Type="http://schemas.openxmlformats.org/officeDocument/2006/relationships/hyperlink" Target="https://www.openstreetmap.org/?mlat=14.028995&amp;mlon=107.854040" TargetMode="External"/><Relationship Id="rId268" Type="http://schemas.openxmlformats.org/officeDocument/2006/relationships/hyperlink" Target="https://www.openstreetmap.org/?mlat=13.970364&amp;mlon=107.999584" TargetMode="External"/><Relationship Id="rId475" Type="http://schemas.openxmlformats.org/officeDocument/2006/relationships/hyperlink" Target="https://www.openstreetmap.org/?mlat=13.994319&amp;mlon=108.112771" TargetMode="External"/><Relationship Id="rId32" Type="http://schemas.openxmlformats.org/officeDocument/2006/relationships/hyperlink" Target="https://www.openstreetmap.org/?mlat=14.142714&amp;mlon=108.603971" TargetMode="External"/><Relationship Id="rId74" Type="http://schemas.openxmlformats.org/officeDocument/2006/relationships/hyperlink" Target="https://www.openstreetmap.org/?mlat=13.892616&amp;mlon=109.113783" TargetMode="External"/><Relationship Id="rId128" Type="http://schemas.openxmlformats.org/officeDocument/2006/relationships/hyperlink" Target="https://www.openstreetmap.org/?mlat=13.864453&amp;mlon=107.966449" TargetMode="External"/><Relationship Id="rId335" Type="http://schemas.openxmlformats.org/officeDocument/2006/relationships/hyperlink" Target="https://www.openstreetmap.org/?mlat=13.402764&amp;mlon=108.439810" TargetMode="External"/><Relationship Id="rId377" Type="http://schemas.openxmlformats.org/officeDocument/2006/relationships/hyperlink" Target="https://www.openstreetmap.org/?mlat=13.977120&amp;mlon=108.005601" TargetMode="External"/><Relationship Id="rId500" Type="http://schemas.openxmlformats.org/officeDocument/2006/relationships/hyperlink" Target="https://www.openstreetmap.org/?mlat=13.977135&amp;mlon=108.003431" TargetMode="External"/><Relationship Id="rId5" Type="http://schemas.openxmlformats.org/officeDocument/2006/relationships/hyperlink" Target="https://www.openstreetmap.org/?mlat=13.961200&amp;mlon=108.048700" TargetMode="External"/><Relationship Id="rId181" Type="http://schemas.openxmlformats.org/officeDocument/2006/relationships/hyperlink" Target="https://www.openstreetmap.org/?mlat=14.222978&amp;mlon=107.985709" TargetMode="External"/><Relationship Id="rId237" Type="http://schemas.openxmlformats.org/officeDocument/2006/relationships/hyperlink" Target="https://www.openstreetmap.org/?mlat=13.823982&amp;mlon=109.145368" TargetMode="External"/><Relationship Id="rId402" Type="http://schemas.openxmlformats.org/officeDocument/2006/relationships/hyperlink" Target="https://www.openstreetmap.org/?mlat=13.767150&amp;mlon=109.215900" TargetMode="External"/><Relationship Id="rId279" Type="http://schemas.openxmlformats.org/officeDocument/2006/relationships/hyperlink" Target="https://www.openstreetmap.org/?mlat=13.976822&amp;mlon=108.006305" TargetMode="External"/><Relationship Id="rId444" Type="http://schemas.openxmlformats.org/officeDocument/2006/relationships/hyperlink" Target="https://www.openstreetmap.org/?mlat=14.144470&amp;mlon=108.603773" TargetMode="External"/><Relationship Id="rId486" Type="http://schemas.openxmlformats.org/officeDocument/2006/relationships/hyperlink" Target="https://www.openstreetmap.org/?mlat=13.969587&amp;mlon=107.996284" TargetMode="External"/><Relationship Id="rId43" Type="http://schemas.openxmlformats.org/officeDocument/2006/relationships/hyperlink" Target="https://www.openstreetmap.org/?mlat=13.967844&amp;mlon=108.016891" TargetMode="External"/><Relationship Id="rId139" Type="http://schemas.openxmlformats.org/officeDocument/2006/relationships/hyperlink" Target="https://www.openstreetmap.org/?mlat=13.534416&amp;mlon=108.298394" TargetMode="External"/><Relationship Id="rId290" Type="http://schemas.openxmlformats.org/officeDocument/2006/relationships/hyperlink" Target="https://www.openstreetmap.org/?mlat=14.000926&amp;mlon=107.991416" TargetMode="External"/><Relationship Id="rId304" Type="http://schemas.openxmlformats.org/officeDocument/2006/relationships/hyperlink" Target="https://www.openstreetmap.org/?mlat=14.363662&amp;mlon=108.968481" TargetMode="External"/><Relationship Id="rId346" Type="http://schemas.openxmlformats.org/officeDocument/2006/relationships/hyperlink" Target="https://www.openstreetmap.org/?mlat=13.977149&amp;mlon=107.994717" TargetMode="External"/><Relationship Id="rId388" Type="http://schemas.openxmlformats.org/officeDocument/2006/relationships/hyperlink" Target="https://www.openstreetmap.org/?mlat=13.775997&amp;mlon=109.232437" TargetMode="External"/><Relationship Id="rId511" Type="http://schemas.openxmlformats.org/officeDocument/2006/relationships/hyperlink" Target="https://www.openstreetmap.org/?mlat=14.548729&amp;mlon=109.043099" TargetMode="External"/><Relationship Id="rId85" Type="http://schemas.openxmlformats.org/officeDocument/2006/relationships/hyperlink" Target="https://www.openstreetmap.org/?mlat=14.493691&amp;mlon=109.088726" TargetMode="External"/><Relationship Id="rId150" Type="http://schemas.openxmlformats.org/officeDocument/2006/relationships/hyperlink" Target="https://www.openstreetmap.org/?mlat=13.722631&amp;mlon=108.063684" TargetMode="External"/><Relationship Id="rId192" Type="http://schemas.openxmlformats.org/officeDocument/2006/relationships/hyperlink" Target="https://www.openstreetmap.org/?mlat=13.723203&amp;mlon=107.600596" TargetMode="External"/><Relationship Id="rId206" Type="http://schemas.openxmlformats.org/officeDocument/2006/relationships/hyperlink" Target="https://www.openstreetmap.org/?mlat=13.816293&amp;mlon=108.002644" TargetMode="External"/><Relationship Id="rId413" Type="http://schemas.openxmlformats.org/officeDocument/2006/relationships/hyperlink" Target="https://www.openstreetmap.org/?mlat=13.755952&amp;mlon=107.890508" TargetMode="External"/><Relationship Id="rId248" Type="http://schemas.openxmlformats.org/officeDocument/2006/relationships/hyperlink" Target="https://www.openstreetmap.org/?mlat=13.900693&amp;mlon=108.937689" TargetMode="External"/><Relationship Id="rId455" Type="http://schemas.openxmlformats.org/officeDocument/2006/relationships/hyperlink" Target="https://www.openstreetmap.org/?mlat=14.161770&amp;mlon=109.047292" TargetMode="External"/><Relationship Id="rId497" Type="http://schemas.openxmlformats.org/officeDocument/2006/relationships/hyperlink" Target="https://www.openstreetmap.org/?mlat=13.977683&amp;mlon=107.999500" TargetMode="External"/><Relationship Id="rId12" Type="http://schemas.openxmlformats.org/officeDocument/2006/relationships/hyperlink" Target="https://www.openstreetmap.org/?mlat=14.036034&amp;mlon=108.012214" TargetMode="External"/><Relationship Id="rId108" Type="http://schemas.openxmlformats.org/officeDocument/2006/relationships/hyperlink" Target="https://www.openstreetmap.org/?mlat=13.791481&amp;mlon=109.192372" TargetMode="External"/><Relationship Id="rId315" Type="http://schemas.openxmlformats.org/officeDocument/2006/relationships/hyperlink" Target="https://www.openstreetmap.org/?mlat=13.965428&amp;mlon=107.991962" TargetMode="External"/><Relationship Id="rId357" Type="http://schemas.openxmlformats.org/officeDocument/2006/relationships/hyperlink" Target="https://www.openstreetmap.org/?mlat=13.964068&amp;mlon=108.017085" TargetMode="External"/><Relationship Id="rId522" Type="http://schemas.openxmlformats.org/officeDocument/2006/relationships/hyperlink" Target="https://www.openstreetmap.org/?mlat=14.108173&amp;mlon=108.784490" TargetMode="External"/><Relationship Id="rId54" Type="http://schemas.openxmlformats.org/officeDocument/2006/relationships/hyperlink" Target="https://www.openstreetmap.org/?mlat=13.976400&amp;mlon=108.008200" TargetMode="External"/><Relationship Id="rId96" Type="http://schemas.openxmlformats.org/officeDocument/2006/relationships/hyperlink" Target="https://www.openstreetmap.org/?mlat=13.947055&amp;mlon=108.011929" TargetMode="External"/><Relationship Id="rId161" Type="http://schemas.openxmlformats.org/officeDocument/2006/relationships/hyperlink" Target="https://www.openstreetmap.org/?mlat=14.004822&amp;mlon=109.244458" TargetMode="External"/><Relationship Id="rId217" Type="http://schemas.openxmlformats.org/officeDocument/2006/relationships/hyperlink" Target="https://www.openstreetmap.org/?mlat=14.374409&amp;mlon=109.114247" TargetMode="External"/><Relationship Id="rId399" Type="http://schemas.openxmlformats.org/officeDocument/2006/relationships/hyperlink" Target="https://www.openstreetmap.org/?mlat=13.751702&amp;mlon=109.210878" TargetMode="External"/><Relationship Id="rId259" Type="http://schemas.openxmlformats.org/officeDocument/2006/relationships/hyperlink" Target="https://www.openstreetmap.org/?mlat=13.812426&amp;mlon=107.708464" TargetMode="External"/><Relationship Id="rId424" Type="http://schemas.openxmlformats.org/officeDocument/2006/relationships/hyperlink" Target="https://www.openstreetmap.org/?mlat=13.690877&amp;mlon=108.078466" TargetMode="External"/><Relationship Id="rId466" Type="http://schemas.openxmlformats.org/officeDocument/2006/relationships/hyperlink" Target="https://www.openstreetmap.org/?mlat=13.963985&amp;mlon=109.159285" TargetMode="External"/><Relationship Id="rId23" Type="http://schemas.openxmlformats.org/officeDocument/2006/relationships/hyperlink" Target="https://www.openstreetmap.org/?mlat=14.190800&amp;mlon=108.565000" TargetMode="External"/><Relationship Id="rId119" Type="http://schemas.openxmlformats.org/officeDocument/2006/relationships/hyperlink" Target="https://www.openstreetmap.org/?mlat=14.607595&amp;mlon=108.893125" TargetMode="External"/><Relationship Id="rId270" Type="http://schemas.openxmlformats.org/officeDocument/2006/relationships/hyperlink" Target="https://www.openstreetmap.org/?mlat=13.979960&amp;mlon=107.998649" TargetMode="External"/><Relationship Id="rId326" Type="http://schemas.openxmlformats.org/officeDocument/2006/relationships/hyperlink" Target="https://www.openstreetmap.org/?mlat=13.960747&amp;mlon=108.638777" TargetMode="External"/><Relationship Id="rId65" Type="http://schemas.openxmlformats.org/officeDocument/2006/relationships/hyperlink" Target="https://www.openstreetmap.org/?mlat=14.173829&amp;mlon=109.050870" TargetMode="External"/><Relationship Id="rId130" Type="http://schemas.openxmlformats.org/officeDocument/2006/relationships/hyperlink" Target="https://www.openstreetmap.org/?mlat=13.858921&amp;mlon=107.949685" TargetMode="External"/><Relationship Id="rId368" Type="http://schemas.openxmlformats.org/officeDocument/2006/relationships/hyperlink" Target="https://www.openstreetmap.org/?mlat=13.989810&amp;mlon=108.041880" TargetMode="External"/><Relationship Id="rId172" Type="http://schemas.openxmlformats.org/officeDocument/2006/relationships/hyperlink" Target="https://www.openstreetmap.org/?mlat=13.436243&amp;mlon=108.418569" TargetMode="External"/><Relationship Id="rId228" Type="http://schemas.openxmlformats.org/officeDocument/2006/relationships/hyperlink" Target="https://www.openstreetmap.org/?mlat=13.485476&amp;mlon=108.373383" TargetMode="External"/><Relationship Id="rId435" Type="http://schemas.openxmlformats.org/officeDocument/2006/relationships/hyperlink" Target="https://www.openstreetmap.org/?mlat=13.961330&amp;mlon=107.848680" TargetMode="External"/><Relationship Id="rId477" Type="http://schemas.openxmlformats.org/officeDocument/2006/relationships/hyperlink" Target="https://www.openstreetmap.org/?mlat=14.112173&amp;mlon=109.144049" TargetMode="External"/><Relationship Id="rId281" Type="http://schemas.openxmlformats.org/officeDocument/2006/relationships/hyperlink" Target="https://www.openstreetmap.org/?mlat=13.979938&amp;mlon=107.999221" TargetMode="External"/><Relationship Id="rId337" Type="http://schemas.openxmlformats.org/officeDocument/2006/relationships/hyperlink" Target="https://www.openstreetmap.org/?mlat=13.889007&amp;mlon=109.114931" TargetMode="External"/><Relationship Id="rId502" Type="http://schemas.openxmlformats.org/officeDocument/2006/relationships/hyperlink" Target="https://www.openstreetmap.org/?mlat=13.781314&amp;mlon=109.219720" TargetMode="External"/><Relationship Id="rId34" Type="http://schemas.openxmlformats.org/officeDocument/2006/relationships/hyperlink" Target="https://www.openstreetmap.org/?mlat=13.799482&amp;mlon=107.692402" TargetMode="External"/><Relationship Id="rId76" Type="http://schemas.openxmlformats.org/officeDocument/2006/relationships/hyperlink" Target="https://www.openstreetmap.org/?mlat=14.427819&amp;mlon=109.003996" TargetMode="External"/><Relationship Id="rId141" Type="http://schemas.openxmlformats.org/officeDocument/2006/relationships/hyperlink" Target="https://www.openstreetmap.org/?mlat=14.167401&amp;mlon=107.957132" TargetMode="External"/><Relationship Id="rId379" Type="http://schemas.openxmlformats.org/officeDocument/2006/relationships/hyperlink" Target="https://www.openstreetmap.org/?mlat=13.774880&amp;mlon=109.225950" TargetMode="External"/><Relationship Id="rId7" Type="http://schemas.openxmlformats.org/officeDocument/2006/relationships/hyperlink" Target="https://www.openstreetmap.org/?mlat=13.964108&amp;mlon=107.988214" TargetMode="External"/><Relationship Id="rId183" Type="http://schemas.openxmlformats.org/officeDocument/2006/relationships/hyperlink" Target="https://www.openstreetmap.org/?mlat=13.824971&amp;mlon=107.767267" TargetMode="External"/><Relationship Id="rId239" Type="http://schemas.openxmlformats.org/officeDocument/2006/relationships/hyperlink" Target="https://www.openstreetmap.org/?mlat=13.863847&amp;mlon=109.131215" TargetMode="External"/><Relationship Id="rId390" Type="http://schemas.openxmlformats.org/officeDocument/2006/relationships/hyperlink" Target="https://www.openstreetmap.org/?mlat=13.795531&amp;mlon=109.180997" TargetMode="External"/><Relationship Id="rId404" Type="http://schemas.openxmlformats.org/officeDocument/2006/relationships/hyperlink" Target="https://www.openstreetmap.org/?mlat=13.826157&amp;mlon=109.266448" TargetMode="External"/><Relationship Id="rId446" Type="http://schemas.openxmlformats.org/officeDocument/2006/relationships/hyperlink" Target="https://www.openstreetmap.org/?mlat=13.777129&amp;mlon=108.527252" TargetMode="External"/><Relationship Id="rId250" Type="http://schemas.openxmlformats.org/officeDocument/2006/relationships/hyperlink" Target="https://www.openstreetmap.org/?mlat=13.311231&amp;mlon=108.591230" TargetMode="External"/><Relationship Id="rId292" Type="http://schemas.openxmlformats.org/officeDocument/2006/relationships/hyperlink" Target="https://www.openstreetmap.org/?mlat=13.888449&amp;mlon=109.113018" TargetMode="External"/><Relationship Id="rId306" Type="http://schemas.openxmlformats.org/officeDocument/2006/relationships/hyperlink" Target="https://www.openstreetmap.org/?mlat=13.962366&amp;mlon=107.838488" TargetMode="External"/><Relationship Id="rId488" Type="http://schemas.openxmlformats.org/officeDocument/2006/relationships/hyperlink" Target="https://www.openstreetmap.org/?mlat=13.953329&amp;mlon=108.658874" TargetMode="External"/><Relationship Id="rId45" Type="http://schemas.openxmlformats.org/officeDocument/2006/relationships/hyperlink" Target="https://www.openstreetmap.org/?mlat=13.994021&amp;mlon=108.001402" TargetMode="External"/><Relationship Id="rId87" Type="http://schemas.openxmlformats.org/officeDocument/2006/relationships/hyperlink" Target="https://www.openstreetmap.org/?mlat=13.940143&amp;mlon=108.010153" TargetMode="External"/><Relationship Id="rId110" Type="http://schemas.openxmlformats.org/officeDocument/2006/relationships/hyperlink" Target="https://www.openstreetmap.org/?mlat=13.885583&amp;mlon=109.258953" TargetMode="External"/><Relationship Id="rId348" Type="http://schemas.openxmlformats.org/officeDocument/2006/relationships/hyperlink" Target="https://www.openstreetmap.org/?mlat=13.980355&amp;mlon=107.995495" TargetMode="External"/><Relationship Id="rId513" Type="http://schemas.openxmlformats.org/officeDocument/2006/relationships/hyperlink" Target="https://www.openstreetmap.org/?mlat=14.028142&amp;mlon=107.989501" TargetMode="External"/><Relationship Id="rId152" Type="http://schemas.openxmlformats.org/officeDocument/2006/relationships/hyperlink" Target="https://www.openstreetmap.org/?mlat=13.681539&amp;mlon=108.083119" TargetMode="External"/><Relationship Id="rId194" Type="http://schemas.openxmlformats.org/officeDocument/2006/relationships/hyperlink" Target="https://www.openstreetmap.org/?mlat=13.774729&amp;mlon=107.605160" TargetMode="External"/><Relationship Id="rId208" Type="http://schemas.openxmlformats.org/officeDocument/2006/relationships/hyperlink" Target="https://www.openstreetmap.org/?mlat=13.844211&amp;mlon=107.997963" TargetMode="External"/><Relationship Id="rId415" Type="http://schemas.openxmlformats.org/officeDocument/2006/relationships/hyperlink" Target="https://www.openstreetmap.org/?mlat=13.746780&amp;mlon=107.857498" TargetMode="External"/><Relationship Id="rId457" Type="http://schemas.openxmlformats.org/officeDocument/2006/relationships/hyperlink" Target="https://www.openstreetmap.org/?mlat=13.528129&amp;mlon=108.321581" TargetMode="External"/><Relationship Id="rId261" Type="http://schemas.openxmlformats.org/officeDocument/2006/relationships/hyperlink" Target="https://www.openstreetmap.org/?mlat=13.969184&amp;mlon=107.988988" TargetMode="External"/><Relationship Id="rId499" Type="http://schemas.openxmlformats.org/officeDocument/2006/relationships/hyperlink" Target="https://www.openstreetmap.org/?mlat=13.982130&amp;mlon=108.009505" TargetMode="External"/><Relationship Id="rId14" Type="http://schemas.openxmlformats.org/officeDocument/2006/relationships/hyperlink" Target="https://www.openstreetmap.org/?mlat=14.206870&amp;mlon=107.836100" TargetMode="External"/><Relationship Id="rId56" Type="http://schemas.openxmlformats.org/officeDocument/2006/relationships/hyperlink" Target="https://www.openstreetmap.org/?mlat=13.985800&amp;mlon=108.671200" TargetMode="External"/><Relationship Id="rId317" Type="http://schemas.openxmlformats.org/officeDocument/2006/relationships/hyperlink" Target="https://www.openstreetmap.org/?mlat=13.978683&amp;mlon=107.984689" TargetMode="External"/><Relationship Id="rId359" Type="http://schemas.openxmlformats.org/officeDocument/2006/relationships/hyperlink" Target="https://www.openstreetmap.org/?mlat=13.983157&amp;mlon=108.000617" TargetMode="External"/><Relationship Id="rId524" Type="http://schemas.openxmlformats.org/officeDocument/2006/relationships/hyperlink" Target="https://www.openstreetmap.org/?mlat=13.994398&amp;mlon=108.112695" TargetMode="External"/><Relationship Id="rId98" Type="http://schemas.openxmlformats.org/officeDocument/2006/relationships/hyperlink" Target="https://www.openstreetmap.org/?mlat=13.991702&amp;mlon=108.002739" TargetMode="External"/><Relationship Id="rId121" Type="http://schemas.openxmlformats.org/officeDocument/2006/relationships/hyperlink" Target="https://www.openstreetmap.org/?mlat=14.174694&amp;mlon=109.147507" TargetMode="External"/><Relationship Id="rId163" Type="http://schemas.openxmlformats.org/officeDocument/2006/relationships/hyperlink" Target="https://www.openstreetmap.org/?mlat=13.978074&amp;mlon=108.701436" TargetMode="External"/><Relationship Id="rId219" Type="http://schemas.openxmlformats.org/officeDocument/2006/relationships/hyperlink" Target="https://www.openstreetmap.org/?mlat=14.299369&amp;mlon=109.077199" TargetMode="External"/><Relationship Id="rId370" Type="http://schemas.openxmlformats.org/officeDocument/2006/relationships/hyperlink" Target="https://www.openstreetmap.org/?mlat=13.985277&amp;mlon=108.007542" TargetMode="External"/><Relationship Id="rId426" Type="http://schemas.openxmlformats.org/officeDocument/2006/relationships/hyperlink" Target="https://www.openstreetmap.org/?mlat=13.693591&amp;mlon=108.077250" TargetMode="External"/><Relationship Id="rId230" Type="http://schemas.openxmlformats.org/officeDocument/2006/relationships/hyperlink" Target="https://www.openstreetmap.org/?mlat=13.528321&amp;mlon=108.322829" TargetMode="External"/><Relationship Id="rId468" Type="http://schemas.openxmlformats.org/officeDocument/2006/relationships/hyperlink" Target="https://www.openstreetmap.org/?mlat=13.970550&amp;mlon=108.548434" TargetMode="External"/><Relationship Id="rId25" Type="http://schemas.openxmlformats.org/officeDocument/2006/relationships/hyperlink" Target="https://www.openstreetmap.org/?mlat=13.996012&amp;mlon=107.986538" TargetMode="External"/><Relationship Id="rId67" Type="http://schemas.openxmlformats.org/officeDocument/2006/relationships/hyperlink" Target="https://www.openstreetmap.org/?mlat=13.977115&amp;mlon=108.693188" TargetMode="External"/><Relationship Id="rId272" Type="http://schemas.openxmlformats.org/officeDocument/2006/relationships/hyperlink" Target="https://www.openstreetmap.org/?mlat=13.963553&amp;mlon=108.020496" TargetMode="External"/><Relationship Id="rId328" Type="http://schemas.openxmlformats.org/officeDocument/2006/relationships/hyperlink" Target="https://www.openstreetmap.org/?mlat=13.960747&amp;mlon=108.638777" TargetMode="External"/><Relationship Id="rId132" Type="http://schemas.openxmlformats.org/officeDocument/2006/relationships/hyperlink" Target="https://www.openstreetmap.org/?mlat=13.818932&amp;mlon=107.872805" TargetMode="External"/><Relationship Id="rId174" Type="http://schemas.openxmlformats.org/officeDocument/2006/relationships/hyperlink" Target="https://www.openstreetmap.org/?mlat=13.597839&amp;mlon=108.102667" TargetMode="External"/><Relationship Id="rId381" Type="http://schemas.openxmlformats.org/officeDocument/2006/relationships/hyperlink" Target="https://www.openstreetmap.org/?mlat=13.770092&amp;mlon=109.227191" TargetMode="External"/><Relationship Id="rId241" Type="http://schemas.openxmlformats.org/officeDocument/2006/relationships/hyperlink" Target="https://www.openstreetmap.org/?mlat=13.860556&amp;mlon=109.137292" TargetMode="External"/><Relationship Id="rId437" Type="http://schemas.openxmlformats.org/officeDocument/2006/relationships/hyperlink" Target="https://www.openstreetmap.org/?mlat=13.500747&amp;mlon=107.870235" TargetMode="External"/><Relationship Id="rId479" Type="http://schemas.openxmlformats.org/officeDocument/2006/relationships/hyperlink" Target="https://www.openstreetmap.org/?mlat=13.809650&amp;mlon=107.702965" TargetMode="External"/><Relationship Id="rId36" Type="http://schemas.openxmlformats.org/officeDocument/2006/relationships/hyperlink" Target="https://www.openstreetmap.org/?mlat=13.955466&amp;mlon=108.663789" TargetMode="External"/><Relationship Id="rId283" Type="http://schemas.openxmlformats.org/officeDocument/2006/relationships/hyperlink" Target="https://www.openstreetmap.org/?mlat=13.969831&amp;mlon=108.018447" TargetMode="External"/><Relationship Id="rId339" Type="http://schemas.openxmlformats.org/officeDocument/2006/relationships/hyperlink" Target="https://www.openstreetmap.org/?mlat=14.430172&amp;mlon=109.016253" TargetMode="External"/><Relationship Id="rId490" Type="http://schemas.openxmlformats.org/officeDocument/2006/relationships/hyperlink" Target="https://www.openstreetmap.org/?mlat=13.888668&amp;mlon=109.117616" TargetMode="External"/><Relationship Id="rId504" Type="http://schemas.openxmlformats.org/officeDocument/2006/relationships/hyperlink" Target="https://www.openstreetmap.org/?mlat=13.772857&amp;mlon=109.224608" TargetMode="External"/><Relationship Id="rId78" Type="http://schemas.openxmlformats.org/officeDocument/2006/relationships/hyperlink" Target="https://www.openstreetmap.org/?mlat=13.977277&amp;mlon=107.992914" TargetMode="External"/><Relationship Id="rId101" Type="http://schemas.openxmlformats.org/officeDocument/2006/relationships/hyperlink" Target="https://www.openstreetmap.org/?mlat=13.794262&amp;mlon=109.160540" TargetMode="External"/><Relationship Id="rId143" Type="http://schemas.openxmlformats.org/officeDocument/2006/relationships/hyperlink" Target="https://www.openstreetmap.org/?mlat=14.180072&amp;mlon=107.958452" TargetMode="External"/><Relationship Id="rId185" Type="http://schemas.openxmlformats.org/officeDocument/2006/relationships/hyperlink" Target="https://www.openstreetmap.org/?mlat=13.442829&amp;mlon=108.091506" TargetMode="External"/><Relationship Id="rId350" Type="http://schemas.openxmlformats.org/officeDocument/2006/relationships/hyperlink" Target="https://www.openstreetmap.org/?mlat=13.977775&amp;mlon=107.995581" TargetMode="External"/><Relationship Id="rId406" Type="http://schemas.openxmlformats.org/officeDocument/2006/relationships/hyperlink" Target="https://www.openstreetmap.org/?mlat=14.030170&amp;mlon=107.987061" TargetMode="External"/><Relationship Id="rId9" Type="http://schemas.openxmlformats.org/officeDocument/2006/relationships/hyperlink" Target="https://www.openstreetmap.org/?mlat=13.954041&amp;mlon=108.014269" TargetMode="External"/><Relationship Id="rId210" Type="http://schemas.openxmlformats.org/officeDocument/2006/relationships/hyperlink" Target="https://www.openstreetmap.org/?mlat=13.837449&amp;mlon=107.998137" TargetMode="External"/><Relationship Id="rId392" Type="http://schemas.openxmlformats.org/officeDocument/2006/relationships/hyperlink" Target="https://www.openstreetmap.org/?mlat=13.796238&amp;mlon=109.147490" TargetMode="External"/><Relationship Id="rId448" Type="http://schemas.openxmlformats.org/officeDocument/2006/relationships/hyperlink" Target="https://www.openstreetmap.org/?mlat=14.040767&amp;mlon=108.252687" TargetMode="External"/><Relationship Id="rId252" Type="http://schemas.openxmlformats.org/officeDocument/2006/relationships/hyperlink" Target="https://www.openstreetmap.org/?mlat=14.097919&amp;mlon=108.786228" TargetMode="External"/><Relationship Id="rId294" Type="http://schemas.openxmlformats.org/officeDocument/2006/relationships/hyperlink" Target="https://www.openstreetmap.org/?mlat=13.976870&amp;mlon=107.990679" TargetMode="External"/><Relationship Id="rId308" Type="http://schemas.openxmlformats.org/officeDocument/2006/relationships/hyperlink" Target="https://www.openstreetmap.org/?mlat=14.171974&amp;mlon=109.049926" TargetMode="External"/><Relationship Id="rId515" Type="http://schemas.openxmlformats.org/officeDocument/2006/relationships/hyperlink" Target="https://www.openstreetmap.org/?mlat=13.695850&amp;mlon=108.076021" TargetMode="External"/><Relationship Id="rId47" Type="http://schemas.openxmlformats.org/officeDocument/2006/relationships/hyperlink" Target="https://www.openstreetmap.org/?mlat=13.722133&amp;mlon=108.064167" TargetMode="External"/><Relationship Id="rId89" Type="http://schemas.openxmlformats.org/officeDocument/2006/relationships/hyperlink" Target="https://www.openstreetmap.org/?mlat=13.938404&amp;mlon=108.009280" TargetMode="External"/><Relationship Id="rId112" Type="http://schemas.openxmlformats.org/officeDocument/2006/relationships/hyperlink" Target="https://www.openstreetmap.org/?mlat=14.561966&amp;mlon=109.045847" TargetMode="External"/><Relationship Id="rId154" Type="http://schemas.openxmlformats.org/officeDocument/2006/relationships/hyperlink" Target="https://www.openstreetmap.org/?mlat=13.662796&amp;mlon=108.119276" TargetMode="External"/><Relationship Id="rId361" Type="http://schemas.openxmlformats.org/officeDocument/2006/relationships/hyperlink" Target="https://www.openstreetmap.org/?mlat=13.970614&amp;mlon=108.018577" TargetMode="External"/><Relationship Id="rId196" Type="http://schemas.openxmlformats.org/officeDocument/2006/relationships/hyperlink" Target="https://www.openstreetmap.org/?mlat=13.766567&amp;mlon=107.509127" TargetMode="External"/><Relationship Id="rId417" Type="http://schemas.openxmlformats.org/officeDocument/2006/relationships/hyperlink" Target="https://www.openstreetmap.org/?mlat=13.754051&amp;mlon=107.877483" TargetMode="External"/><Relationship Id="rId459" Type="http://schemas.openxmlformats.org/officeDocument/2006/relationships/hyperlink" Target="https://www.openstreetmap.org/?mlat=13.195795&amp;mlon=108.690122" TargetMode="External"/><Relationship Id="rId16" Type="http://schemas.openxmlformats.org/officeDocument/2006/relationships/hyperlink" Target="https://www.openstreetmap.org/?mlat=14.142040&amp;mlon=108.597580" TargetMode="External"/><Relationship Id="rId221" Type="http://schemas.openxmlformats.org/officeDocument/2006/relationships/hyperlink" Target="https://www.openstreetmap.org/?mlat=14.213815&amp;mlon=109.161719" TargetMode="External"/><Relationship Id="rId263" Type="http://schemas.openxmlformats.org/officeDocument/2006/relationships/hyperlink" Target="https://www.openstreetmap.org/?mlat=13.980120&amp;mlon=107.996299" TargetMode="External"/><Relationship Id="rId319" Type="http://schemas.openxmlformats.org/officeDocument/2006/relationships/hyperlink" Target="https://www.openstreetmap.org/?mlat=13.970020&amp;mlon=108.015597" TargetMode="External"/><Relationship Id="rId470" Type="http://schemas.openxmlformats.org/officeDocument/2006/relationships/hyperlink" Target="https://www.openstreetmap.org/?mlat=13.999850&amp;mlon=108.446407" TargetMode="External"/><Relationship Id="rId526" Type="http://schemas.openxmlformats.org/officeDocument/2006/relationships/hyperlink" Target="https://www.openstreetmap.org/?mlat=13.986153&amp;mlon=108.005970" TargetMode="External"/><Relationship Id="rId58" Type="http://schemas.openxmlformats.org/officeDocument/2006/relationships/hyperlink" Target="https://www.openstreetmap.org/?mlat=13.764900&amp;mlon=107.895800" TargetMode="External"/><Relationship Id="rId123" Type="http://schemas.openxmlformats.org/officeDocument/2006/relationships/hyperlink" Target="https://www.openstreetmap.org/?mlat=13.865310&amp;mlon=109.012026" TargetMode="External"/><Relationship Id="rId330" Type="http://schemas.openxmlformats.org/officeDocument/2006/relationships/hyperlink" Target="https://www.openstreetmap.org/?mlat=13.957298&amp;mlon=108.644292" TargetMode="External"/><Relationship Id="rId165" Type="http://schemas.openxmlformats.org/officeDocument/2006/relationships/hyperlink" Target="https://www.openstreetmap.org/?mlat=13.767421&amp;mlon=107.513092" TargetMode="External"/><Relationship Id="rId372" Type="http://schemas.openxmlformats.org/officeDocument/2006/relationships/hyperlink" Target="https://www.openstreetmap.org/?mlat=13.988047&amp;mlon=108.008083" TargetMode="External"/><Relationship Id="rId428" Type="http://schemas.openxmlformats.org/officeDocument/2006/relationships/hyperlink" Target="https://www.openstreetmap.org/?mlat=13.944670&amp;mlon=109.234864" TargetMode="External"/><Relationship Id="rId232" Type="http://schemas.openxmlformats.org/officeDocument/2006/relationships/hyperlink" Target="https://www.openstreetmap.org/?mlat=13.210248&amp;mlon=108.679111" TargetMode="External"/><Relationship Id="rId274" Type="http://schemas.openxmlformats.org/officeDocument/2006/relationships/hyperlink" Target="https://www.openstreetmap.org/?mlat=13.976794&amp;mlon=108.002227" TargetMode="External"/><Relationship Id="rId481" Type="http://schemas.openxmlformats.org/officeDocument/2006/relationships/hyperlink" Target="https://www.openstreetmap.org/?mlat=13.800253&amp;mlon=107.689215" TargetMode="External"/><Relationship Id="rId27" Type="http://schemas.openxmlformats.org/officeDocument/2006/relationships/hyperlink" Target="https://www.openstreetmap.org/?mlat=13.951893&amp;mlon=108.658582" TargetMode="External"/><Relationship Id="rId69" Type="http://schemas.openxmlformats.org/officeDocument/2006/relationships/hyperlink" Target="https://www.openstreetmap.org/?mlat=13.901594&amp;mlon=109.105798" TargetMode="External"/><Relationship Id="rId134" Type="http://schemas.openxmlformats.org/officeDocument/2006/relationships/hyperlink" Target="https://www.openstreetmap.org/?mlat=13.858101&amp;mlon=107.945022" TargetMode="External"/><Relationship Id="rId80" Type="http://schemas.openxmlformats.org/officeDocument/2006/relationships/hyperlink" Target="https://www.openstreetmap.org/?mlat=14.543372&amp;mlon=109.071060" TargetMode="External"/><Relationship Id="rId176" Type="http://schemas.openxmlformats.org/officeDocument/2006/relationships/hyperlink" Target="https://www.openstreetmap.org/?mlat=13.577022&amp;mlon=108.099855" TargetMode="External"/><Relationship Id="rId341" Type="http://schemas.openxmlformats.org/officeDocument/2006/relationships/hyperlink" Target="https://www.openstreetmap.org/?mlat=14.422518&amp;mlon=109.004610" TargetMode="External"/><Relationship Id="rId383" Type="http://schemas.openxmlformats.org/officeDocument/2006/relationships/hyperlink" Target="https://www.openstreetmap.org/?mlat=13.772824&amp;mlon=109.226808" TargetMode="External"/><Relationship Id="rId439" Type="http://schemas.openxmlformats.org/officeDocument/2006/relationships/hyperlink" Target="https://www.openstreetmap.org/?mlat=13.394771&amp;mlon=108.462280" TargetMode="External"/><Relationship Id="rId201" Type="http://schemas.openxmlformats.org/officeDocument/2006/relationships/hyperlink" Target="https://www.openstreetmap.org/?mlat=13.296739&amp;mlon=108.623578" TargetMode="External"/><Relationship Id="rId243" Type="http://schemas.openxmlformats.org/officeDocument/2006/relationships/hyperlink" Target="https://www.openstreetmap.org/?mlat=13.810054&amp;mlon=109.147303" TargetMode="External"/><Relationship Id="rId285" Type="http://schemas.openxmlformats.org/officeDocument/2006/relationships/hyperlink" Target="https://www.openstreetmap.org/?mlat=13.978444&amp;mlon=108.012831" TargetMode="External"/><Relationship Id="rId450" Type="http://schemas.openxmlformats.org/officeDocument/2006/relationships/hyperlink" Target="https://www.openstreetmap.org/?mlat=14.040767&amp;mlon=108.252687" TargetMode="External"/><Relationship Id="rId506" Type="http://schemas.openxmlformats.org/officeDocument/2006/relationships/hyperlink" Target="https://www.openstreetmap.org/?mlat=13.781892&amp;mlon=109.148669" TargetMode="External"/><Relationship Id="rId38" Type="http://schemas.openxmlformats.org/officeDocument/2006/relationships/hyperlink" Target="https://www.openstreetmap.org/?mlat=13.409596&amp;mlon=108.440802" TargetMode="External"/><Relationship Id="rId103" Type="http://schemas.openxmlformats.org/officeDocument/2006/relationships/hyperlink" Target="https://www.openstreetmap.org/?mlat=13.795608&amp;mlon=109.147887" TargetMode="External"/><Relationship Id="rId310" Type="http://schemas.openxmlformats.org/officeDocument/2006/relationships/hyperlink" Target="https://www.openstreetmap.org/?mlat=14.175770&amp;mlon=109.051498" TargetMode="External"/><Relationship Id="rId492" Type="http://schemas.openxmlformats.org/officeDocument/2006/relationships/hyperlink" Target="https://www.openstreetmap.org/?mlat=14.436690&amp;mlon=109.018122" TargetMode="External"/><Relationship Id="rId91" Type="http://schemas.openxmlformats.org/officeDocument/2006/relationships/hyperlink" Target="https://www.openstreetmap.org/?mlat=13.906643&amp;mlon=108.015942" TargetMode="External"/><Relationship Id="rId145" Type="http://schemas.openxmlformats.org/officeDocument/2006/relationships/hyperlink" Target="https://www.openstreetmap.org/?mlat=13.550857&amp;mlon=108.097410" TargetMode="External"/><Relationship Id="rId187" Type="http://schemas.openxmlformats.org/officeDocument/2006/relationships/hyperlink" Target="https://www.openstreetmap.org/?mlat=13.418804&amp;mlon=108.093311" TargetMode="External"/><Relationship Id="rId352" Type="http://schemas.openxmlformats.org/officeDocument/2006/relationships/hyperlink" Target="https://www.openstreetmap.org/?mlat=13.979881&amp;mlon=107.992826" TargetMode="External"/><Relationship Id="rId394" Type="http://schemas.openxmlformats.org/officeDocument/2006/relationships/hyperlink" Target="https://www.openstreetmap.org/?mlat=13.752230&amp;mlon=109.210600" TargetMode="External"/><Relationship Id="rId408" Type="http://schemas.openxmlformats.org/officeDocument/2006/relationships/hyperlink" Target="https://www.openstreetmap.org/?mlat=14.028108&amp;mlon=107.989695" TargetMode="External"/><Relationship Id="rId212" Type="http://schemas.openxmlformats.org/officeDocument/2006/relationships/hyperlink" Target="https://www.openstreetmap.org/?mlat=13.902359&amp;mlon=109.255319" TargetMode="External"/><Relationship Id="rId254" Type="http://schemas.openxmlformats.org/officeDocument/2006/relationships/hyperlink" Target="https://www.openstreetmap.org/?mlat=14.097060&amp;mlon=109.193139" TargetMode="External"/><Relationship Id="rId49" Type="http://schemas.openxmlformats.org/officeDocument/2006/relationships/hyperlink" Target="https://www.openstreetmap.org/?mlat=13.671696&amp;mlon=108.088472" TargetMode="External"/><Relationship Id="rId114" Type="http://schemas.openxmlformats.org/officeDocument/2006/relationships/hyperlink" Target="https://www.openstreetmap.org/?mlat=13.993392&amp;mlon=108.000955" TargetMode="External"/><Relationship Id="rId296" Type="http://schemas.openxmlformats.org/officeDocument/2006/relationships/hyperlink" Target="https://www.openstreetmap.org/?mlat=13.767364&amp;mlon=109.220744" TargetMode="External"/><Relationship Id="rId461" Type="http://schemas.openxmlformats.org/officeDocument/2006/relationships/hyperlink" Target="https://www.openstreetmap.org/?mlat=13.195795&amp;mlon=108.690122" TargetMode="External"/><Relationship Id="rId517" Type="http://schemas.openxmlformats.org/officeDocument/2006/relationships/hyperlink" Target="https://www.openstreetmap.org/?mlat=14.011639&amp;mlon=109.056417" TargetMode="External"/><Relationship Id="rId60" Type="http://schemas.openxmlformats.org/officeDocument/2006/relationships/hyperlink" Target="https://www.openstreetmap.org/?mlat=13.779008&amp;mlon=109.225337" TargetMode="External"/><Relationship Id="rId156" Type="http://schemas.openxmlformats.org/officeDocument/2006/relationships/hyperlink" Target="https://www.openstreetmap.org/?mlat=13.724274&amp;mlon=108.061524" TargetMode="External"/><Relationship Id="rId198" Type="http://schemas.openxmlformats.org/officeDocument/2006/relationships/hyperlink" Target="https://www.openstreetmap.org/?mlat=13.958114&amp;mlon=107.537693" TargetMode="External"/><Relationship Id="rId321" Type="http://schemas.openxmlformats.org/officeDocument/2006/relationships/hyperlink" Target="https://www.openstreetmap.org/?mlat=14.015489&amp;mlon=107.985773" TargetMode="External"/><Relationship Id="rId363" Type="http://schemas.openxmlformats.org/officeDocument/2006/relationships/hyperlink" Target="https://www.openstreetmap.org/?mlat=13.977581&amp;mlon=108.001427" TargetMode="External"/><Relationship Id="rId419" Type="http://schemas.openxmlformats.org/officeDocument/2006/relationships/hyperlink" Target="https://www.openstreetmap.org/?mlat=14.101558&amp;mlon=107.969608" TargetMode="External"/><Relationship Id="rId223" Type="http://schemas.openxmlformats.org/officeDocument/2006/relationships/hyperlink" Target="https://www.openstreetmap.org/?mlat=14.271083&amp;mlon=109.175833" TargetMode="External"/><Relationship Id="rId430" Type="http://schemas.openxmlformats.org/officeDocument/2006/relationships/hyperlink" Target="https://www.openstreetmap.org/?mlat=13.877123&amp;mlon=108.031783" TargetMode="External"/><Relationship Id="rId18" Type="http://schemas.openxmlformats.org/officeDocument/2006/relationships/hyperlink" Target="https://www.openstreetmap.org/?mlat=13.980900&amp;mlon=108.021500" TargetMode="External"/><Relationship Id="rId265" Type="http://schemas.openxmlformats.org/officeDocument/2006/relationships/hyperlink" Target="https://www.openstreetmap.org/?mlat=13.978302&amp;mlon=107.986994" TargetMode="External"/><Relationship Id="rId472" Type="http://schemas.openxmlformats.org/officeDocument/2006/relationships/hyperlink" Target="https://www.openstreetmap.org/?mlat=13.992905&amp;mlon=108.110215" TargetMode="External"/><Relationship Id="rId125" Type="http://schemas.openxmlformats.org/officeDocument/2006/relationships/hyperlink" Target="https://www.openstreetmap.org/?mlat=14.046784&amp;mlon=108.025730" TargetMode="External"/><Relationship Id="rId167" Type="http://schemas.openxmlformats.org/officeDocument/2006/relationships/hyperlink" Target="https://www.openstreetmap.org/?mlat=13.962504&amp;mlon=107.842417" TargetMode="External"/><Relationship Id="rId332" Type="http://schemas.openxmlformats.org/officeDocument/2006/relationships/hyperlink" Target="https://www.openstreetmap.org/?mlat=13.852410&amp;mlon=109.091431" TargetMode="External"/><Relationship Id="rId374" Type="http://schemas.openxmlformats.org/officeDocument/2006/relationships/hyperlink" Target="https://www.openstreetmap.org/?mlat=13.978451&amp;mlon=107.999191" TargetMode="External"/><Relationship Id="rId71" Type="http://schemas.openxmlformats.org/officeDocument/2006/relationships/hyperlink" Target="https://www.openstreetmap.org/?mlat=13.427739&amp;mlon=108.424782" TargetMode="External"/><Relationship Id="rId234" Type="http://schemas.openxmlformats.org/officeDocument/2006/relationships/hyperlink" Target="https://www.openstreetmap.org/?mlat=13.171877&amp;mlon=108.719714" TargetMode="External"/><Relationship Id="rId2" Type="http://schemas.openxmlformats.org/officeDocument/2006/relationships/hyperlink" Target="https://www.openstreetmap.org/?mlat=14.056879&amp;mlon=108.003073" TargetMode="External"/><Relationship Id="rId29" Type="http://schemas.openxmlformats.org/officeDocument/2006/relationships/hyperlink" Target="https://www.openstreetmap.org/?mlat=13.972590&amp;mlon=108.031853" TargetMode="External"/><Relationship Id="rId276" Type="http://schemas.openxmlformats.org/officeDocument/2006/relationships/hyperlink" Target="https://www.openstreetmap.org/?mlat=13.972410&amp;mlon=108.014668" TargetMode="External"/><Relationship Id="rId441" Type="http://schemas.openxmlformats.org/officeDocument/2006/relationships/hyperlink" Target="https://www.openstreetmap.org/?mlat=14.019429&amp;mlon=108.209907" TargetMode="External"/><Relationship Id="rId483" Type="http://schemas.openxmlformats.org/officeDocument/2006/relationships/hyperlink" Target="https://www.openstreetmap.org/?mlat=13.691336&amp;mlon=108.077834" TargetMode="External"/><Relationship Id="rId40" Type="http://schemas.openxmlformats.org/officeDocument/2006/relationships/hyperlink" Target="https://www.openstreetmap.org/?mlat=13.974527&amp;mlon=107.998111" TargetMode="External"/><Relationship Id="rId136" Type="http://schemas.openxmlformats.org/officeDocument/2006/relationships/hyperlink" Target="https://www.openstreetmap.org/?mlat=13.958247&amp;mlon=108.828778" TargetMode="External"/><Relationship Id="rId178" Type="http://schemas.openxmlformats.org/officeDocument/2006/relationships/hyperlink" Target="https://www.openstreetmap.org/?mlat=13.589025&amp;mlon=108.101581" TargetMode="External"/><Relationship Id="rId301" Type="http://schemas.openxmlformats.org/officeDocument/2006/relationships/hyperlink" Target="https://www.openstreetmap.org/?mlat=13.695918&amp;mlon=108.075839" TargetMode="External"/><Relationship Id="rId343" Type="http://schemas.openxmlformats.org/officeDocument/2006/relationships/hyperlink" Target="https://www.openstreetmap.org/?mlat=14.430120&amp;mlon=109.016862" TargetMode="External"/><Relationship Id="rId82" Type="http://schemas.openxmlformats.org/officeDocument/2006/relationships/hyperlink" Target="https://www.openstreetmap.org/?mlat=14.559445&amp;mlon=109.066338" TargetMode="External"/><Relationship Id="rId203" Type="http://schemas.openxmlformats.org/officeDocument/2006/relationships/hyperlink" Target="https://www.openstreetmap.org/?mlat=13.235321&amp;mlon=108.641250" TargetMode="External"/><Relationship Id="rId385" Type="http://schemas.openxmlformats.org/officeDocument/2006/relationships/hyperlink" Target="https://www.openstreetmap.org/?mlat=13.781344&amp;mlon=109.221953" TargetMode="External"/><Relationship Id="rId245" Type="http://schemas.openxmlformats.org/officeDocument/2006/relationships/hyperlink" Target="https://www.openstreetmap.org/?mlat=13.908124&amp;mlon=108.918170" TargetMode="External"/><Relationship Id="rId287" Type="http://schemas.openxmlformats.org/officeDocument/2006/relationships/hyperlink" Target="https://www.openstreetmap.org/?mlat=13.981680&amp;mlon=108.008389" TargetMode="External"/><Relationship Id="rId410" Type="http://schemas.openxmlformats.org/officeDocument/2006/relationships/hyperlink" Target="https://www.openstreetmap.org/?mlat=14.036740&amp;mlon=108.014189" TargetMode="External"/><Relationship Id="rId452" Type="http://schemas.openxmlformats.org/officeDocument/2006/relationships/hyperlink" Target="https://www.openstreetmap.org/?mlat=14.012321&amp;mlon=109.073505" TargetMode="External"/><Relationship Id="rId494" Type="http://schemas.openxmlformats.org/officeDocument/2006/relationships/hyperlink" Target="https://www.openstreetmap.org/?mlat=13.979466&amp;mlon=107.993135" TargetMode="External"/><Relationship Id="rId508" Type="http://schemas.openxmlformats.org/officeDocument/2006/relationships/hyperlink" Target="https://www.openstreetmap.org/?mlat=13.766901&amp;mlon=109.215935" TargetMode="External"/><Relationship Id="rId105" Type="http://schemas.openxmlformats.org/officeDocument/2006/relationships/hyperlink" Target="https://www.openstreetmap.org/?mlat=13.755269&amp;mlon=109.208990" TargetMode="External"/><Relationship Id="rId147" Type="http://schemas.openxmlformats.org/officeDocument/2006/relationships/hyperlink" Target="https://www.openstreetmap.org/?mlat=13.558993&amp;mlon=108.101549" TargetMode="External"/><Relationship Id="rId312" Type="http://schemas.openxmlformats.org/officeDocument/2006/relationships/hyperlink" Target="https://www.openstreetmap.org/?mlat=13.799908&amp;mlon=109.141457" TargetMode="External"/><Relationship Id="rId354" Type="http://schemas.openxmlformats.org/officeDocument/2006/relationships/hyperlink" Target="https://www.openstreetmap.org/?mlat=14.494012&amp;mlon=109.089259" TargetMode="External"/><Relationship Id="rId51" Type="http://schemas.openxmlformats.org/officeDocument/2006/relationships/hyperlink" Target="https://www.openstreetmap.org/?mlat=13.979300&amp;mlon=108.012500" TargetMode="External"/><Relationship Id="rId93" Type="http://schemas.openxmlformats.org/officeDocument/2006/relationships/hyperlink" Target="https://www.openstreetmap.org/?mlat=13.957503&amp;mlon=108.015526" TargetMode="External"/><Relationship Id="rId189" Type="http://schemas.openxmlformats.org/officeDocument/2006/relationships/hyperlink" Target="https://www.openstreetmap.org/?mlat=14.179606&amp;mlon=107.851204" TargetMode="External"/><Relationship Id="rId396" Type="http://schemas.openxmlformats.org/officeDocument/2006/relationships/hyperlink" Target="https://www.openstreetmap.org/?mlat=13.757474&amp;mlon=109.214031" TargetMode="External"/><Relationship Id="rId214" Type="http://schemas.openxmlformats.org/officeDocument/2006/relationships/hyperlink" Target="https://www.openstreetmap.org/?mlat=14.013393&amp;mlon=109.054099" TargetMode="External"/><Relationship Id="rId256" Type="http://schemas.openxmlformats.org/officeDocument/2006/relationships/hyperlink" Target="https://www.openstreetmap.org/?mlat=13.817506&amp;mlon=107.718482" TargetMode="External"/><Relationship Id="rId298" Type="http://schemas.openxmlformats.org/officeDocument/2006/relationships/hyperlink" Target="https://www.openstreetmap.org/?mlat=13.749947&amp;mlon=109.211906" TargetMode="External"/><Relationship Id="rId421" Type="http://schemas.openxmlformats.org/officeDocument/2006/relationships/hyperlink" Target="https://www.openstreetmap.org/?mlat=13.547330&amp;mlon=108.099672" TargetMode="External"/><Relationship Id="rId463" Type="http://schemas.openxmlformats.org/officeDocument/2006/relationships/hyperlink" Target="https://www.openstreetmap.org/?mlat=13.781567&amp;mlon=109.112104" TargetMode="External"/><Relationship Id="rId519" Type="http://schemas.openxmlformats.org/officeDocument/2006/relationships/hyperlink" Target="https://www.openstreetmap.org/?mlat=13.910613&amp;mlon=108.913577" TargetMode="External"/><Relationship Id="rId116" Type="http://schemas.openxmlformats.org/officeDocument/2006/relationships/hyperlink" Target="https://www.openstreetmap.org/?mlat=14.041971&amp;mlon=107.987605" TargetMode="External"/><Relationship Id="rId158" Type="http://schemas.openxmlformats.org/officeDocument/2006/relationships/hyperlink" Target="https://www.openstreetmap.org/?mlat=13.695136&amp;mlon=108.077015" TargetMode="External"/><Relationship Id="rId323" Type="http://schemas.openxmlformats.org/officeDocument/2006/relationships/hyperlink" Target="https://www.openstreetmap.org/?mlat=14.554941&amp;mlon=109.034429" TargetMode="External"/><Relationship Id="rId20" Type="http://schemas.openxmlformats.org/officeDocument/2006/relationships/hyperlink" Target="https://www.openstreetmap.org/?mlat=14.034813&amp;mlon=107.996807" TargetMode="External"/><Relationship Id="rId62" Type="http://schemas.openxmlformats.org/officeDocument/2006/relationships/hyperlink" Target="https://www.openstreetmap.org/?mlat=13.757955&amp;mlon=109.218589" TargetMode="External"/><Relationship Id="rId365" Type="http://schemas.openxmlformats.org/officeDocument/2006/relationships/hyperlink" Target="https://www.openstreetmap.org/?mlat=13.978670&amp;mlon=108.012436" TargetMode="External"/><Relationship Id="rId225" Type="http://schemas.openxmlformats.org/officeDocument/2006/relationships/hyperlink" Target="https://www.openstreetmap.org/?mlat=14.233944&amp;mlon=109.190329" TargetMode="External"/><Relationship Id="rId267" Type="http://schemas.openxmlformats.org/officeDocument/2006/relationships/hyperlink" Target="https://www.openstreetmap.org/?mlat=13.976554&amp;mlon=108.000868" TargetMode="External"/><Relationship Id="rId432" Type="http://schemas.openxmlformats.org/officeDocument/2006/relationships/hyperlink" Target="https://www.openstreetmap.org/?mlat=13.962131&amp;mlon=107.845850" TargetMode="External"/><Relationship Id="rId474" Type="http://schemas.openxmlformats.org/officeDocument/2006/relationships/hyperlink" Target="https://www.openstreetmap.org/?mlat=13.993910&amp;mlon=108.127490" TargetMode="External"/><Relationship Id="rId127" Type="http://schemas.openxmlformats.org/officeDocument/2006/relationships/hyperlink" Target="https://www.openstreetmap.org/?mlat=14.080199&amp;mlon=107.988099" TargetMode="External"/><Relationship Id="rId31" Type="http://schemas.openxmlformats.org/officeDocument/2006/relationships/hyperlink" Target="https://www.openstreetmap.org/?mlat=13.690710&amp;mlon=108.078650" TargetMode="External"/><Relationship Id="rId73" Type="http://schemas.openxmlformats.org/officeDocument/2006/relationships/hyperlink" Target="https://www.openstreetmap.org/?mlat=13.411438&amp;mlon=108.437637" TargetMode="External"/><Relationship Id="rId169" Type="http://schemas.openxmlformats.org/officeDocument/2006/relationships/hyperlink" Target="https://www.openstreetmap.org/?mlat=13.960780&amp;mlon=107.836828" TargetMode="External"/><Relationship Id="rId334" Type="http://schemas.openxmlformats.org/officeDocument/2006/relationships/hyperlink" Target="https://www.openstreetmap.org/?mlat=13.402764&amp;mlon=108.439810" TargetMode="External"/><Relationship Id="rId376" Type="http://schemas.openxmlformats.org/officeDocument/2006/relationships/hyperlink" Target="https://www.openstreetmap.org/?mlat=13.982082&amp;mlon=108.009435" TargetMode="External"/><Relationship Id="rId4" Type="http://schemas.openxmlformats.org/officeDocument/2006/relationships/hyperlink" Target="https://www.openstreetmap.org/?mlat=13.971800&amp;mlon=108.042300" TargetMode="External"/><Relationship Id="rId180" Type="http://schemas.openxmlformats.org/officeDocument/2006/relationships/hyperlink" Target="https://www.openstreetmap.org/?mlat=14.235674&amp;mlon=107.992852" TargetMode="External"/><Relationship Id="rId236" Type="http://schemas.openxmlformats.org/officeDocument/2006/relationships/hyperlink" Target="https://www.openstreetmap.org/?mlat=13.853625&amp;mlon=109.134297" TargetMode="External"/><Relationship Id="rId278" Type="http://schemas.openxmlformats.org/officeDocument/2006/relationships/hyperlink" Target="https://www.openstreetmap.org/?mlat=13.979419&amp;mlon=108.010636" TargetMode="External"/><Relationship Id="rId401" Type="http://schemas.openxmlformats.org/officeDocument/2006/relationships/hyperlink" Target="https://www.openstreetmap.org/?mlat=13.750730&amp;mlon=109.214230" TargetMode="External"/><Relationship Id="rId443" Type="http://schemas.openxmlformats.org/officeDocument/2006/relationships/hyperlink" Target="https://www.openstreetmap.org/?mlat=14.144470&amp;mlon=108.603773" TargetMode="External"/><Relationship Id="rId303" Type="http://schemas.openxmlformats.org/officeDocument/2006/relationships/hyperlink" Target="https://www.openstreetmap.org/?mlat=13.696052&amp;mlon=108.075655" TargetMode="External"/><Relationship Id="rId485" Type="http://schemas.openxmlformats.org/officeDocument/2006/relationships/hyperlink" Target="https://www.openstreetmap.org/?mlat=13.968952&amp;mlon=107.997661" TargetMode="External"/><Relationship Id="rId42" Type="http://schemas.openxmlformats.org/officeDocument/2006/relationships/hyperlink" Target="https://www.openstreetmap.org/?mlat=13.910494&amp;mlon=108.009658" TargetMode="External"/><Relationship Id="rId84" Type="http://schemas.openxmlformats.org/officeDocument/2006/relationships/hyperlink" Target="https://www.openstreetmap.org/?mlat=14.470206&amp;mlon=109.030525" TargetMode="External"/><Relationship Id="rId138" Type="http://schemas.openxmlformats.org/officeDocument/2006/relationships/hyperlink" Target="https://www.openstreetmap.org/?mlat=13.536567&amp;mlon=108.293344" TargetMode="External"/><Relationship Id="rId345" Type="http://schemas.openxmlformats.org/officeDocument/2006/relationships/hyperlink" Target="https://www.openstreetmap.org/?mlat=13.979667&amp;mlon=107.993029" TargetMode="External"/><Relationship Id="rId387" Type="http://schemas.openxmlformats.org/officeDocument/2006/relationships/hyperlink" Target="https://www.openstreetmap.org/?mlat=13.775769&amp;mlon=109.230896" TargetMode="External"/><Relationship Id="rId510" Type="http://schemas.openxmlformats.org/officeDocument/2006/relationships/hyperlink" Target="https://www.openstreetmap.org/?mlat=13.751969&amp;mlon=109.210566" TargetMode="External"/><Relationship Id="rId191" Type="http://schemas.openxmlformats.org/officeDocument/2006/relationships/hyperlink" Target="https://www.openstreetmap.org/?mlat=13.760246&amp;mlon=107.569539" TargetMode="External"/><Relationship Id="rId205" Type="http://schemas.openxmlformats.org/officeDocument/2006/relationships/hyperlink" Target="https://www.openstreetmap.org/?mlat=13.799621&amp;mlon=108.003466" TargetMode="External"/><Relationship Id="rId247" Type="http://schemas.openxmlformats.org/officeDocument/2006/relationships/hyperlink" Target="https://www.openstreetmap.org/?mlat=13.907589&amp;mlon=108.922672" TargetMode="External"/><Relationship Id="rId412" Type="http://schemas.openxmlformats.org/officeDocument/2006/relationships/hyperlink" Target="https://www.openstreetmap.org/?mlat=13.858531&amp;mlon=107.942108" TargetMode="External"/><Relationship Id="rId107" Type="http://schemas.openxmlformats.org/officeDocument/2006/relationships/hyperlink" Target="https://www.openstreetmap.org/?mlat=13.723991&amp;mlon=109.160730" TargetMode="External"/><Relationship Id="rId289" Type="http://schemas.openxmlformats.org/officeDocument/2006/relationships/hyperlink" Target="https://www.openstreetmap.org/?mlat=14.009646&amp;mlon=107.993393" TargetMode="External"/><Relationship Id="rId454" Type="http://schemas.openxmlformats.org/officeDocument/2006/relationships/hyperlink" Target="https://www.openstreetmap.org/?mlat=13.993437&amp;mlon=109.058678" TargetMode="External"/><Relationship Id="rId496" Type="http://schemas.openxmlformats.org/officeDocument/2006/relationships/hyperlink" Target="https://www.openstreetmap.org/?mlat=13.979940&amp;mlon=107.993470" TargetMode="External"/><Relationship Id="rId11" Type="http://schemas.openxmlformats.org/officeDocument/2006/relationships/hyperlink" Target="https://www.openstreetmap.org/?mlat=13.997023&amp;mlon=107.998083" TargetMode="External"/><Relationship Id="rId53" Type="http://schemas.openxmlformats.org/officeDocument/2006/relationships/hyperlink" Target="https://www.openstreetmap.org/?mlat=13.964964&amp;mlon=108.006275" TargetMode="External"/><Relationship Id="rId149" Type="http://schemas.openxmlformats.org/officeDocument/2006/relationships/hyperlink" Target="https://www.openstreetmap.org/?mlat=13.677898&amp;mlon=108.084888" TargetMode="External"/><Relationship Id="rId314" Type="http://schemas.openxmlformats.org/officeDocument/2006/relationships/hyperlink" Target="https://www.openstreetmap.org/?mlat=13.969860&amp;mlon=107.994462" TargetMode="External"/><Relationship Id="rId356" Type="http://schemas.openxmlformats.org/officeDocument/2006/relationships/hyperlink" Target="https://www.openstreetmap.org/?mlat=13.971235&amp;mlon=108.031073" TargetMode="External"/><Relationship Id="rId398" Type="http://schemas.openxmlformats.org/officeDocument/2006/relationships/hyperlink" Target="https://www.openstreetmap.org/?mlat=13.762705&amp;mlon=109.213068" TargetMode="External"/><Relationship Id="rId521" Type="http://schemas.openxmlformats.org/officeDocument/2006/relationships/hyperlink" Target="https://www.openstreetmap.org/?mlat=13.614802&amp;mlon=108.992216" TargetMode="External"/><Relationship Id="rId95" Type="http://schemas.openxmlformats.org/officeDocument/2006/relationships/hyperlink" Target="https://www.openstreetmap.org/?mlat=13.929572&amp;mlon=108.007448" TargetMode="External"/><Relationship Id="rId160" Type="http://schemas.openxmlformats.org/officeDocument/2006/relationships/hyperlink" Target="https://www.openstreetmap.org/?mlat=14.021781&amp;mlon=109.237942" TargetMode="External"/><Relationship Id="rId216" Type="http://schemas.openxmlformats.org/officeDocument/2006/relationships/hyperlink" Target="https://www.openstreetmap.org/?mlat=14.190846&amp;mlon=109.042795" TargetMode="External"/><Relationship Id="rId423" Type="http://schemas.openxmlformats.org/officeDocument/2006/relationships/hyperlink" Target="https://www.openstreetmap.org/?mlat=13.696548&amp;mlon=108.075525" TargetMode="External"/><Relationship Id="rId258" Type="http://schemas.openxmlformats.org/officeDocument/2006/relationships/hyperlink" Target="https://www.openstreetmap.org/?mlat=13.813859&amp;mlon=107.712302" TargetMode="External"/><Relationship Id="rId465" Type="http://schemas.openxmlformats.org/officeDocument/2006/relationships/hyperlink" Target="https://www.openstreetmap.org/?mlat=13.906251&amp;mlon=108.922126" TargetMode="External"/><Relationship Id="rId22" Type="http://schemas.openxmlformats.org/officeDocument/2006/relationships/hyperlink" Target="https://www.openstreetmap.org/?mlat=14.196200&amp;mlon=107.832200" TargetMode="External"/><Relationship Id="rId64" Type="http://schemas.openxmlformats.org/officeDocument/2006/relationships/hyperlink" Target="https://www.openstreetmap.org/?mlat=14.011948&amp;mlon=109.055956" TargetMode="External"/><Relationship Id="rId118" Type="http://schemas.openxmlformats.org/officeDocument/2006/relationships/hyperlink" Target="https://www.openstreetmap.org/?mlat=14.027680&amp;mlon=107.989579" TargetMode="External"/><Relationship Id="rId325" Type="http://schemas.openxmlformats.org/officeDocument/2006/relationships/hyperlink" Target="https://www.openstreetmap.org/?mlat=13.982935&amp;mlon=108.005989" TargetMode="External"/><Relationship Id="rId367" Type="http://schemas.openxmlformats.org/officeDocument/2006/relationships/hyperlink" Target="https://www.openstreetmap.org/?mlat=13.977266&amp;mlon=108.001279" TargetMode="External"/><Relationship Id="rId171" Type="http://schemas.openxmlformats.org/officeDocument/2006/relationships/hyperlink" Target="https://www.openstreetmap.org/?mlat=13.472653&amp;mlon=108.381194" TargetMode="External"/><Relationship Id="rId227" Type="http://schemas.openxmlformats.org/officeDocument/2006/relationships/hyperlink" Target="https://www.openstreetmap.org/?mlat=14.223540&amp;mlon=109.161932" TargetMode="External"/><Relationship Id="rId269" Type="http://schemas.openxmlformats.org/officeDocument/2006/relationships/hyperlink" Target="https://www.openstreetmap.org/?mlat=13.979965&amp;mlon=107.998626" TargetMode="External"/><Relationship Id="rId434" Type="http://schemas.openxmlformats.org/officeDocument/2006/relationships/hyperlink" Target="https://www.openstreetmap.org/?mlat=14.046989&amp;mlon=107.860608" TargetMode="External"/><Relationship Id="rId476" Type="http://schemas.openxmlformats.org/officeDocument/2006/relationships/hyperlink" Target="https://www.openstreetmap.org/?mlat=13.995150&amp;mlon=108.114456" TargetMode="External"/><Relationship Id="rId33" Type="http://schemas.openxmlformats.org/officeDocument/2006/relationships/hyperlink" Target="https://www.openstreetmap.org/?mlat=13.197214&amp;mlon=108.686133" TargetMode="External"/><Relationship Id="rId129" Type="http://schemas.openxmlformats.org/officeDocument/2006/relationships/hyperlink" Target="https://www.openstreetmap.org/?mlat=13.815743&amp;mlon=107.879923" TargetMode="External"/><Relationship Id="rId280" Type="http://schemas.openxmlformats.org/officeDocument/2006/relationships/hyperlink" Target="https://www.openstreetmap.org/?mlat=13.981437&amp;mlon=108.000195" TargetMode="External"/><Relationship Id="rId336" Type="http://schemas.openxmlformats.org/officeDocument/2006/relationships/hyperlink" Target="https://www.openstreetmap.org/?mlat=13.402764&amp;mlon=108.439810" TargetMode="External"/><Relationship Id="rId501" Type="http://schemas.openxmlformats.org/officeDocument/2006/relationships/hyperlink" Target="https://www.openstreetmap.org/?mlat=13.775999&amp;mlon=109.232429" TargetMode="External"/><Relationship Id="rId75" Type="http://schemas.openxmlformats.org/officeDocument/2006/relationships/hyperlink" Target="https://www.openstreetmap.org/?mlat=14.399132&amp;mlon=109.016684" TargetMode="External"/><Relationship Id="rId140" Type="http://schemas.openxmlformats.org/officeDocument/2006/relationships/hyperlink" Target="https://www.openstreetmap.org/?mlat=14.118360&amp;mlon=107.955435" TargetMode="External"/><Relationship Id="rId182" Type="http://schemas.openxmlformats.org/officeDocument/2006/relationships/hyperlink" Target="https://www.openstreetmap.org/?mlat=13.836425&amp;mlon=107.794689" TargetMode="External"/><Relationship Id="rId378" Type="http://schemas.openxmlformats.org/officeDocument/2006/relationships/hyperlink" Target="https://www.openstreetmap.org/?mlat=13.775968&amp;mlon=109.223721" TargetMode="External"/><Relationship Id="rId403" Type="http://schemas.openxmlformats.org/officeDocument/2006/relationships/hyperlink" Target="https://www.openstreetmap.org/?mlat=13.831210&amp;mlon=109.269462" TargetMode="External"/><Relationship Id="rId6" Type="http://schemas.openxmlformats.org/officeDocument/2006/relationships/hyperlink" Target="https://www.openstreetmap.org/?mlat=13.984145&amp;mlon=107.993733" TargetMode="External"/><Relationship Id="rId238" Type="http://schemas.openxmlformats.org/officeDocument/2006/relationships/hyperlink" Target="https://www.openstreetmap.org/?mlat=13.825272&amp;mlon=109.157592" TargetMode="External"/><Relationship Id="rId445" Type="http://schemas.openxmlformats.org/officeDocument/2006/relationships/hyperlink" Target="https://www.openstreetmap.org/?mlat=13.777129&amp;mlon=108.527252" TargetMode="External"/><Relationship Id="rId487" Type="http://schemas.openxmlformats.org/officeDocument/2006/relationships/hyperlink" Target="https://www.openstreetmap.org/?mlat=13.952124&amp;mlon=108.657912" TargetMode="External"/><Relationship Id="rId291" Type="http://schemas.openxmlformats.org/officeDocument/2006/relationships/hyperlink" Target="https://www.openstreetmap.org/?mlat=14.004752&amp;mlon=107.994981" TargetMode="External"/><Relationship Id="rId305" Type="http://schemas.openxmlformats.org/officeDocument/2006/relationships/hyperlink" Target="https://www.openstreetmap.org/?mlat=13.962127&amp;mlon=107.845972" TargetMode="External"/><Relationship Id="rId347" Type="http://schemas.openxmlformats.org/officeDocument/2006/relationships/hyperlink" Target="https://www.openstreetmap.org/?mlat=13.980355&amp;mlon=107.995495" TargetMode="External"/><Relationship Id="rId512" Type="http://schemas.openxmlformats.org/officeDocument/2006/relationships/hyperlink" Target="https://www.openstreetmap.org/?mlat=14.028142&amp;mlon=107.989501" TargetMode="External"/><Relationship Id="rId44" Type="http://schemas.openxmlformats.org/officeDocument/2006/relationships/hyperlink" Target="https://www.openstreetmap.org/?mlat=13.984357&amp;mlon=108.008750" TargetMode="External"/><Relationship Id="rId86" Type="http://schemas.openxmlformats.org/officeDocument/2006/relationships/hyperlink" Target="https://www.openstreetmap.org/?mlat=14.462668&amp;mlon=109.099145" TargetMode="External"/><Relationship Id="rId151" Type="http://schemas.openxmlformats.org/officeDocument/2006/relationships/hyperlink" Target="https://www.openstreetmap.org/?mlat=13.689239&amp;mlon=108.083302" TargetMode="External"/><Relationship Id="rId389" Type="http://schemas.openxmlformats.org/officeDocument/2006/relationships/hyperlink" Target="https://www.openstreetmap.org/?mlat=13.769960&amp;mlon=109.221118" TargetMode="External"/><Relationship Id="rId193" Type="http://schemas.openxmlformats.org/officeDocument/2006/relationships/hyperlink" Target="https://www.openstreetmap.org/?mlat=13.782532&amp;mlon=107.619933" TargetMode="External"/><Relationship Id="rId207" Type="http://schemas.openxmlformats.org/officeDocument/2006/relationships/hyperlink" Target="https://www.openstreetmap.org/?mlat=13.875541&amp;mlon=108.008584" TargetMode="External"/><Relationship Id="rId249" Type="http://schemas.openxmlformats.org/officeDocument/2006/relationships/hyperlink" Target="https://www.openstreetmap.org/?mlat=13.339455&amp;mlon=108.538382" TargetMode="External"/><Relationship Id="rId414" Type="http://schemas.openxmlformats.org/officeDocument/2006/relationships/hyperlink" Target="https://www.openstreetmap.org/?mlat=13.755952&amp;mlon=107.890508" TargetMode="External"/><Relationship Id="rId456" Type="http://schemas.openxmlformats.org/officeDocument/2006/relationships/hyperlink" Target="https://www.openstreetmap.org/?mlat=13.528129&amp;mlon=108.321581" TargetMode="External"/><Relationship Id="rId498" Type="http://schemas.openxmlformats.org/officeDocument/2006/relationships/hyperlink" Target="https://www.openstreetmap.org/?mlat=13.978745&amp;mlon=108.012487" TargetMode="External"/><Relationship Id="rId13" Type="http://schemas.openxmlformats.org/officeDocument/2006/relationships/hyperlink" Target="https://www.openstreetmap.org/?mlat=13.756587&amp;mlon=107.889618" TargetMode="External"/><Relationship Id="rId109" Type="http://schemas.openxmlformats.org/officeDocument/2006/relationships/hyperlink" Target="https://www.openstreetmap.org/?mlat=13.772334&amp;mlon=109.290517" TargetMode="External"/><Relationship Id="rId260" Type="http://schemas.openxmlformats.org/officeDocument/2006/relationships/hyperlink" Target="https://www.openstreetmap.org/?mlat=14.046859&amp;mlon=107.996007" TargetMode="External"/><Relationship Id="rId316" Type="http://schemas.openxmlformats.org/officeDocument/2006/relationships/hyperlink" Target="https://www.openstreetmap.org/?mlat=13.968487&amp;mlon=107.992127" TargetMode="External"/><Relationship Id="rId523" Type="http://schemas.openxmlformats.org/officeDocument/2006/relationships/hyperlink" Target="https://www.openstreetmap.org/?mlat=13.994398&amp;mlon=108.112695" TargetMode="External"/><Relationship Id="rId55" Type="http://schemas.openxmlformats.org/officeDocument/2006/relationships/hyperlink" Target="https://www.openstreetmap.org/?mlat=13.987300&amp;mlon=108.015800" TargetMode="External"/><Relationship Id="rId97" Type="http://schemas.openxmlformats.org/officeDocument/2006/relationships/hyperlink" Target="https://www.openstreetmap.org/?mlat=13.978069&amp;mlon=108.025781" TargetMode="External"/><Relationship Id="rId120" Type="http://schemas.openxmlformats.org/officeDocument/2006/relationships/hyperlink" Target="https://www.openstreetmap.org/?mlat=14.152006&amp;mlon=109.153568" TargetMode="External"/><Relationship Id="rId358" Type="http://schemas.openxmlformats.org/officeDocument/2006/relationships/hyperlink" Target="https://www.openstreetmap.org/?mlat=13.964068&amp;mlon=108.017085" TargetMode="External"/><Relationship Id="rId162" Type="http://schemas.openxmlformats.org/officeDocument/2006/relationships/hyperlink" Target="https://www.openstreetmap.org/?mlat=13.944241&amp;mlon=109.232625" TargetMode="External"/><Relationship Id="rId218" Type="http://schemas.openxmlformats.org/officeDocument/2006/relationships/hyperlink" Target="https://www.openstreetmap.org/?mlat=14.373808&amp;mlon=109.111165" TargetMode="External"/><Relationship Id="rId425" Type="http://schemas.openxmlformats.org/officeDocument/2006/relationships/hyperlink" Target="https://www.openstreetmap.org/?mlat=13.695861&amp;mlon=108.076064" TargetMode="External"/><Relationship Id="rId467" Type="http://schemas.openxmlformats.org/officeDocument/2006/relationships/hyperlink" Target="https://www.openstreetmap.org/?mlat=13.964483&amp;mlon=109.159235" TargetMode="External"/><Relationship Id="rId271" Type="http://schemas.openxmlformats.org/officeDocument/2006/relationships/hyperlink" Target="https://www.openstreetmap.org/?mlat=13.964694&amp;mlon=108.017303" TargetMode="External"/><Relationship Id="rId24" Type="http://schemas.openxmlformats.org/officeDocument/2006/relationships/hyperlink" Target="https://www.openstreetmap.org/?mlat=13.985172&amp;mlon=108.018771" TargetMode="External"/><Relationship Id="rId66" Type="http://schemas.openxmlformats.org/officeDocument/2006/relationships/hyperlink" Target="https://www.openstreetmap.org/?mlat=13.799877&amp;mlon=107.693566" TargetMode="External"/><Relationship Id="rId131" Type="http://schemas.openxmlformats.org/officeDocument/2006/relationships/hyperlink" Target="https://www.openstreetmap.org/?mlat=13.855373&amp;mlon=107.920382" TargetMode="External"/><Relationship Id="rId327" Type="http://schemas.openxmlformats.org/officeDocument/2006/relationships/hyperlink" Target="https://www.openstreetmap.org/?mlat=13.960747&amp;mlon=108.638777" TargetMode="External"/><Relationship Id="rId369" Type="http://schemas.openxmlformats.org/officeDocument/2006/relationships/hyperlink" Target="https://www.openstreetmap.org/?mlat=13.972270&amp;mlon=108.014785" TargetMode="External"/><Relationship Id="rId173" Type="http://schemas.openxmlformats.org/officeDocument/2006/relationships/hyperlink" Target="https://www.openstreetmap.org/?mlat=13.633248&amp;mlon=108.111281" TargetMode="External"/><Relationship Id="rId229" Type="http://schemas.openxmlformats.org/officeDocument/2006/relationships/hyperlink" Target="https://www.openstreetmap.org/?mlat=13.528797&amp;mlon=108.317647" TargetMode="External"/><Relationship Id="rId380" Type="http://schemas.openxmlformats.org/officeDocument/2006/relationships/hyperlink" Target="https://www.openstreetmap.org/?mlat=13.776245&amp;mlon=109.228166" TargetMode="External"/><Relationship Id="rId436" Type="http://schemas.openxmlformats.org/officeDocument/2006/relationships/hyperlink" Target="https://www.openstreetmap.org/?mlat=14.216444&amp;mlon=107.846539" TargetMode="External"/><Relationship Id="rId240" Type="http://schemas.openxmlformats.org/officeDocument/2006/relationships/hyperlink" Target="https://www.openstreetmap.org/?mlat=13.852446&amp;mlon=109.134898" TargetMode="External"/><Relationship Id="rId478" Type="http://schemas.openxmlformats.org/officeDocument/2006/relationships/hyperlink" Target="https://www.openstreetmap.org/?mlat=13.809650&amp;mlon=107.702965" TargetMode="External"/><Relationship Id="rId35" Type="http://schemas.openxmlformats.org/officeDocument/2006/relationships/hyperlink" Target="https://www.openstreetmap.org/?mlat=13.975385&amp;mlon=108.671841" TargetMode="External"/><Relationship Id="rId77" Type="http://schemas.openxmlformats.org/officeDocument/2006/relationships/hyperlink" Target="https://www.openstreetmap.org/?mlat=13.977032&amp;mlon=108.000195" TargetMode="External"/><Relationship Id="rId100" Type="http://schemas.openxmlformats.org/officeDocument/2006/relationships/hyperlink" Target="https://www.openstreetmap.org/?mlat=13.793768&amp;mlon=109.163365" TargetMode="External"/><Relationship Id="rId282" Type="http://schemas.openxmlformats.org/officeDocument/2006/relationships/hyperlink" Target="https://www.openstreetmap.org/?mlat=13.978644&amp;mlon=108.011233" TargetMode="External"/><Relationship Id="rId338" Type="http://schemas.openxmlformats.org/officeDocument/2006/relationships/hyperlink" Target="https://www.openstreetmap.org/?mlat=13.888510&amp;mlon=109.118279" TargetMode="External"/><Relationship Id="rId503" Type="http://schemas.openxmlformats.org/officeDocument/2006/relationships/hyperlink" Target="https://www.openstreetmap.org/?mlat=13.770082&amp;mlon=109.221047" TargetMode="External"/><Relationship Id="rId8" Type="http://schemas.openxmlformats.org/officeDocument/2006/relationships/hyperlink" Target="https://www.openstreetmap.org/?mlat=13.978780&amp;mlon=107.997549" TargetMode="External"/><Relationship Id="rId142" Type="http://schemas.openxmlformats.org/officeDocument/2006/relationships/hyperlink" Target="https://www.openstreetmap.org/?mlat=14.166397&amp;mlon=107.956403" TargetMode="External"/><Relationship Id="rId184" Type="http://schemas.openxmlformats.org/officeDocument/2006/relationships/hyperlink" Target="https://www.openstreetmap.org/?mlat=13.839785&amp;mlon=107.816265" TargetMode="External"/><Relationship Id="rId391" Type="http://schemas.openxmlformats.org/officeDocument/2006/relationships/hyperlink" Target="https://www.openstreetmap.org/?mlat=13.781590&amp;mlon=109.148745" TargetMode="External"/><Relationship Id="rId405" Type="http://schemas.openxmlformats.org/officeDocument/2006/relationships/hyperlink" Target="https://www.openstreetmap.org/?mlat=14.015366&amp;mlon=107.992624" TargetMode="External"/><Relationship Id="rId447" Type="http://schemas.openxmlformats.org/officeDocument/2006/relationships/hyperlink" Target="https://www.openstreetmap.org/?mlat=13.777129&amp;mlon=108.527252" TargetMode="External"/><Relationship Id="rId251" Type="http://schemas.openxmlformats.org/officeDocument/2006/relationships/hyperlink" Target="https://www.openstreetmap.org/?mlat=13.317988&amp;mlon=108.587806" TargetMode="External"/><Relationship Id="rId489" Type="http://schemas.openxmlformats.org/officeDocument/2006/relationships/hyperlink" Target="https://www.openstreetmap.org/?mlat=13.924588&amp;mlon=109.089076" TargetMode="External"/><Relationship Id="rId46" Type="http://schemas.openxmlformats.org/officeDocument/2006/relationships/hyperlink" Target="https://www.openstreetmap.org/?mlat=13.760638&amp;mlon=107.887069" TargetMode="External"/><Relationship Id="rId293" Type="http://schemas.openxmlformats.org/officeDocument/2006/relationships/hyperlink" Target="https://www.openstreetmap.org/?mlat=13.889095&amp;mlon=109.113241" TargetMode="External"/><Relationship Id="rId307" Type="http://schemas.openxmlformats.org/officeDocument/2006/relationships/hyperlink" Target="https://www.openstreetmap.org/?mlat=14.040833&amp;mlon=108.252419" TargetMode="External"/><Relationship Id="rId349" Type="http://schemas.openxmlformats.org/officeDocument/2006/relationships/hyperlink" Target="https://www.openstreetmap.org/?mlat=13.980355&amp;mlon=107.995495" TargetMode="External"/><Relationship Id="rId514" Type="http://schemas.openxmlformats.org/officeDocument/2006/relationships/hyperlink" Target="https://www.openstreetmap.org/?mlat=14.557775&amp;mlon=108.900970" TargetMode="External"/><Relationship Id="rId88" Type="http://schemas.openxmlformats.org/officeDocument/2006/relationships/hyperlink" Target="https://www.openstreetmap.org/?mlat=13.959062&amp;mlon=108.016094" TargetMode="External"/><Relationship Id="rId111" Type="http://schemas.openxmlformats.org/officeDocument/2006/relationships/hyperlink" Target="https://www.openstreetmap.org/?mlat=13.816458&amp;mlon=109.256592" TargetMode="External"/><Relationship Id="rId153" Type="http://schemas.openxmlformats.org/officeDocument/2006/relationships/hyperlink" Target="https://www.openstreetmap.org/?mlat=13.759939&amp;mlon=108.028387" TargetMode="External"/><Relationship Id="rId195" Type="http://schemas.openxmlformats.org/officeDocument/2006/relationships/hyperlink" Target="https://www.openstreetmap.org/?mlat=13.731886&amp;mlon=107.600665" TargetMode="External"/><Relationship Id="rId209" Type="http://schemas.openxmlformats.org/officeDocument/2006/relationships/hyperlink" Target="https://www.openstreetmap.org/?mlat=13.818303&amp;mlon=108.002037" TargetMode="External"/><Relationship Id="rId360" Type="http://schemas.openxmlformats.org/officeDocument/2006/relationships/hyperlink" Target="https://www.openstreetmap.org/?mlat=13.970614&amp;mlon=108.018577" TargetMode="External"/><Relationship Id="rId416" Type="http://schemas.openxmlformats.org/officeDocument/2006/relationships/hyperlink" Target="https://www.openstreetmap.org/?mlat=13.754051&amp;mlon=107.877483" TargetMode="External"/><Relationship Id="rId220" Type="http://schemas.openxmlformats.org/officeDocument/2006/relationships/hyperlink" Target="https://www.openstreetmap.org/?mlat=14.318895&amp;mlon=109.151658" TargetMode="External"/><Relationship Id="rId458" Type="http://schemas.openxmlformats.org/officeDocument/2006/relationships/hyperlink" Target="https://www.openstreetmap.org/?mlat=13.528129&amp;mlon=108.321581" TargetMode="External"/><Relationship Id="rId15" Type="http://schemas.openxmlformats.org/officeDocument/2006/relationships/hyperlink" Target="https://www.openstreetmap.org/?mlat=14.137262&amp;mlon=107.889667" TargetMode="External"/><Relationship Id="rId57" Type="http://schemas.openxmlformats.org/officeDocument/2006/relationships/hyperlink" Target="https://www.openstreetmap.org/?mlat=13.985600&amp;mlon=108.009800" TargetMode="External"/><Relationship Id="rId262" Type="http://schemas.openxmlformats.org/officeDocument/2006/relationships/hyperlink" Target="https://www.openstreetmap.org/?mlat=13.972615&amp;mlon=107.988967" TargetMode="External"/><Relationship Id="rId318" Type="http://schemas.openxmlformats.org/officeDocument/2006/relationships/hyperlink" Target="https://www.openstreetmap.org/?mlat=13.976186&amp;mlon=108.007167" TargetMode="External"/><Relationship Id="rId525" Type="http://schemas.openxmlformats.org/officeDocument/2006/relationships/hyperlink" Target="https://www.openstreetmap.org/?mlat=13.800252&amp;mlon=107.687026" TargetMode="External"/><Relationship Id="rId99" Type="http://schemas.openxmlformats.org/officeDocument/2006/relationships/hyperlink" Target="https://www.openstreetmap.org/?mlat=13.779355&amp;mlon=109.225270" TargetMode="External"/><Relationship Id="rId122" Type="http://schemas.openxmlformats.org/officeDocument/2006/relationships/hyperlink" Target="https://www.openstreetmap.org/?mlat=14.170282&amp;mlon=109.138158" TargetMode="External"/><Relationship Id="rId164" Type="http://schemas.openxmlformats.org/officeDocument/2006/relationships/hyperlink" Target="https://www.openstreetmap.org/?mlat=13.919783&amp;mlon=108.004922" TargetMode="External"/><Relationship Id="rId371" Type="http://schemas.openxmlformats.org/officeDocument/2006/relationships/hyperlink" Target="https://www.openstreetmap.org/?mlat=13.982082&amp;mlon=108.009435" TargetMode="External"/><Relationship Id="rId427" Type="http://schemas.openxmlformats.org/officeDocument/2006/relationships/hyperlink" Target="https://www.openstreetmap.org/?mlat=13.695861&amp;mlon=108.076064" TargetMode="External"/><Relationship Id="rId469" Type="http://schemas.openxmlformats.org/officeDocument/2006/relationships/hyperlink" Target="https://www.openstreetmap.org/?mlat=13.970550&amp;mlon=108.548434" TargetMode="External"/><Relationship Id="rId26" Type="http://schemas.openxmlformats.org/officeDocument/2006/relationships/hyperlink" Target="https://www.openstreetmap.org/?mlat=13.972776&amp;mlon=108.674779" TargetMode="External"/><Relationship Id="rId231" Type="http://schemas.openxmlformats.org/officeDocument/2006/relationships/hyperlink" Target="https://www.openstreetmap.org/?mlat=13.187186&amp;mlon=108.697892" TargetMode="External"/><Relationship Id="rId273" Type="http://schemas.openxmlformats.org/officeDocument/2006/relationships/hyperlink" Target="https://www.openstreetmap.org/?mlat=13.970603&amp;mlon=108.026391" TargetMode="External"/><Relationship Id="rId329" Type="http://schemas.openxmlformats.org/officeDocument/2006/relationships/hyperlink" Target="https://www.openstreetmap.org/?mlat=13.983453&amp;mlon=108.652321" TargetMode="External"/><Relationship Id="rId480" Type="http://schemas.openxmlformats.org/officeDocument/2006/relationships/hyperlink" Target="https://www.openstreetmap.org/?mlat=13.799806&amp;mlon=107.693319" TargetMode="External"/><Relationship Id="rId68" Type="http://schemas.openxmlformats.org/officeDocument/2006/relationships/hyperlink" Target="https://www.openstreetmap.org/?mlat=13.853014&amp;mlon=109.075113" TargetMode="External"/><Relationship Id="rId133" Type="http://schemas.openxmlformats.org/officeDocument/2006/relationships/hyperlink" Target="https://www.openstreetmap.org/?mlat=13.857898&amp;mlon=107.928122" TargetMode="External"/><Relationship Id="rId175" Type="http://schemas.openxmlformats.org/officeDocument/2006/relationships/hyperlink" Target="https://www.openstreetmap.org/?mlat=13.643117&amp;mlon=108.106219" TargetMode="External"/><Relationship Id="rId340" Type="http://schemas.openxmlformats.org/officeDocument/2006/relationships/hyperlink" Target="https://www.openstreetmap.org/?mlat=14.430120&amp;mlon=109.016862" TargetMode="External"/><Relationship Id="rId200" Type="http://schemas.openxmlformats.org/officeDocument/2006/relationships/hyperlink" Target="https://www.openstreetmap.org/?mlat=14.089803&amp;mlon=107.849848" TargetMode="External"/><Relationship Id="rId382" Type="http://schemas.openxmlformats.org/officeDocument/2006/relationships/hyperlink" Target="https://www.openstreetmap.org/?mlat=13.770762&amp;mlon=109.234438" TargetMode="External"/><Relationship Id="rId438" Type="http://schemas.openxmlformats.org/officeDocument/2006/relationships/hyperlink" Target="https://www.openstreetmap.org/?mlat=13.369193&amp;mlon=108.593812" TargetMode="External"/><Relationship Id="rId242" Type="http://schemas.openxmlformats.org/officeDocument/2006/relationships/hyperlink" Target="https://www.openstreetmap.org/?mlat=13.836962&amp;mlon=109.141157" TargetMode="External"/><Relationship Id="rId284" Type="http://schemas.openxmlformats.org/officeDocument/2006/relationships/hyperlink" Target="https://www.openstreetmap.org/?mlat=13.970573&amp;mlon=108.015729" TargetMode="External"/><Relationship Id="rId491" Type="http://schemas.openxmlformats.org/officeDocument/2006/relationships/hyperlink" Target="https://www.openstreetmap.org/?mlat=13.888947&amp;mlon=109.114903" TargetMode="External"/><Relationship Id="rId505" Type="http://schemas.openxmlformats.org/officeDocument/2006/relationships/hyperlink" Target="https://www.openstreetmap.org/?mlat=13.796266&amp;mlon=109.147442" TargetMode="External"/><Relationship Id="rId37" Type="http://schemas.openxmlformats.org/officeDocument/2006/relationships/hyperlink" Target="https://www.openstreetmap.org/?mlat=13.409506&amp;mlon=108.441579" TargetMode="External"/><Relationship Id="rId79" Type="http://schemas.openxmlformats.org/officeDocument/2006/relationships/hyperlink" Target="https://www.openstreetmap.org/?mlat=14.515977&amp;mlon=109.077656" TargetMode="External"/><Relationship Id="rId102" Type="http://schemas.openxmlformats.org/officeDocument/2006/relationships/hyperlink" Target="https://www.openstreetmap.org/?mlat=13.794198&amp;mlon=109.159308" TargetMode="External"/><Relationship Id="rId144" Type="http://schemas.openxmlformats.org/officeDocument/2006/relationships/hyperlink" Target="https://www.openstreetmap.org/?mlat=13.502075&amp;mlon=108.102583" TargetMode="External"/><Relationship Id="rId90" Type="http://schemas.openxmlformats.org/officeDocument/2006/relationships/hyperlink" Target="https://www.openstreetmap.org/?mlat=13.902620&amp;mlon=108.017526" TargetMode="External"/><Relationship Id="rId186" Type="http://schemas.openxmlformats.org/officeDocument/2006/relationships/hyperlink" Target="https://www.openstreetmap.org/?mlat=13.456141&amp;mlon=108.092186" TargetMode="External"/><Relationship Id="rId351" Type="http://schemas.openxmlformats.org/officeDocument/2006/relationships/hyperlink" Target="https://www.openstreetmap.org/?mlat=13.979797&amp;mlon=107.993359" TargetMode="External"/><Relationship Id="rId393" Type="http://schemas.openxmlformats.org/officeDocument/2006/relationships/hyperlink" Target="https://www.openstreetmap.org/?mlat=13.781590&amp;mlon=109.148745" TargetMode="External"/><Relationship Id="rId407" Type="http://schemas.openxmlformats.org/officeDocument/2006/relationships/hyperlink" Target="https://www.openstreetmap.org/?mlat=14.028108&amp;mlon=107.989695" TargetMode="External"/><Relationship Id="rId449" Type="http://schemas.openxmlformats.org/officeDocument/2006/relationships/hyperlink" Target="https://www.openstreetmap.org/?mlat=14.040767&amp;mlon=108.252687" TargetMode="External"/><Relationship Id="rId211" Type="http://schemas.openxmlformats.org/officeDocument/2006/relationships/hyperlink" Target="https://www.openstreetmap.org/?mlat=13.796079&amp;mlon=108.003366" TargetMode="External"/><Relationship Id="rId253" Type="http://schemas.openxmlformats.org/officeDocument/2006/relationships/hyperlink" Target="https://www.openstreetmap.org/?mlat=14.089430&amp;mlon=108.784657" TargetMode="External"/><Relationship Id="rId295" Type="http://schemas.openxmlformats.org/officeDocument/2006/relationships/hyperlink" Target="https://www.openstreetmap.org/?mlat=13.985977&amp;mlon=108.007370" TargetMode="External"/><Relationship Id="rId309" Type="http://schemas.openxmlformats.org/officeDocument/2006/relationships/hyperlink" Target="https://www.openstreetmap.org/?mlat=14.173918&amp;mlon=109.051076" TargetMode="External"/><Relationship Id="rId460" Type="http://schemas.openxmlformats.org/officeDocument/2006/relationships/hyperlink" Target="https://www.openstreetmap.org/?mlat=13.195795&amp;mlon=108.690122" TargetMode="External"/><Relationship Id="rId516" Type="http://schemas.openxmlformats.org/officeDocument/2006/relationships/hyperlink" Target="https://www.openstreetmap.org/?mlat=13.961335&amp;mlon=107.846486" TargetMode="External"/><Relationship Id="rId48" Type="http://schemas.openxmlformats.org/officeDocument/2006/relationships/hyperlink" Target="https://www.openstreetmap.org/?mlat=13.697988&amp;mlon=108.071398" TargetMode="External"/><Relationship Id="rId113" Type="http://schemas.openxmlformats.org/officeDocument/2006/relationships/hyperlink" Target="https://www.openstreetmap.org/?mlat=14.553922&amp;mlon=109.042895" TargetMode="External"/><Relationship Id="rId320" Type="http://schemas.openxmlformats.org/officeDocument/2006/relationships/hyperlink" Target="https://www.openstreetmap.org/?mlat=13.973896&amp;mlon=108.015126" TargetMode="External"/><Relationship Id="rId155" Type="http://schemas.openxmlformats.org/officeDocument/2006/relationships/hyperlink" Target="https://www.openstreetmap.org/?mlat=13.728538&amp;mlon=108.054636" TargetMode="External"/><Relationship Id="rId197" Type="http://schemas.openxmlformats.org/officeDocument/2006/relationships/hyperlink" Target="https://www.openstreetmap.org/?mlat=13.965612&amp;mlon=107.515675" TargetMode="External"/><Relationship Id="rId362" Type="http://schemas.openxmlformats.org/officeDocument/2006/relationships/hyperlink" Target="https://www.openstreetmap.org/?mlat=13.970614&amp;mlon=108.018577" TargetMode="External"/><Relationship Id="rId418" Type="http://schemas.openxmlformats.org/officeDocument/2006/relationships/hyperlink" Target="https://www.openstreetmap.org/?mlat=14.101558&amp;mlon=107.969608" TargetMode="External"/><Relationship Id="rId222" Type="http://schemas.openxmlformats.org/officeDocument/2006/relationships/hyperlink" Target="https://www.openstreetmap.org/?mlat=14.232638&amp;mlon=109.189398" TargetMode="External"/><Relationship Id="rId264" Type="http://schemas.openxmlformats.org/officeDocument/2006/relationships/hyperlink" Target="https://www.openstreetmap.org/?mlat=13.983239&amp;mlon=107.991046" TargetMode="External"/><Relationship Id="rId471" Type="http://schemas.openxmlformats.org/officeDocument/2006/relationships/hyperlink" Target="https://www.openstreetmap.org/?mlat=13.992905&amp;mlon=108.110215" TargetMode="External"/><Relationship Id="rId17" Type="http://schemas.openxmlformats.org/officeDocument/2006/relationships/hyperlink" Target="https://www.openstreetmap.org/?mlat=13.777405&amp;mlon=108.524011" TargetMode="External"/><Relationship Id="rId59" Type="http://schemas.openxmlformats.org/officeDocument/2006/relationships/hyperlink" Target="https://www.openstreetmap.org/?mlat=14.031500&amp;mlon=108.239800" TargetMode="External"/><Relationship Id="rId124" Type="http://schemas.openxmlformats.org/officeDocument/2006/relationships/hyperlink" Target="https://www.openstreetmap.org/?mlat=14.089625&amp;mlon=107.981072" TargetMode="External"/><Relationship Id="rId70" Type="http://schemas.openxmlformats.org/officeDocument/2006/relationships/hyperlink" Target="https://www.openstreetmap.org/?mlat=13.893230&amp;mlon=109.099507" TargetMode="External"/><Relationship Id="rId166" Type="http://schemas.openxmlformats.org/officeDocument/2006/relationships/hyperlink" Target="https://www.openstreetmap.org/?mlat=13.798580&amp;mlon=107.643836" TargetMode="External"/><Relationship Id="rId331" Type="http://schemas.openxmlformats.org/officeDocument/2006/relationships/hyperlink" Target="https://www.openstreetmap.org/?mlat=13.953411&amp;mlon=108.661212" TargetMode="External"/><Relationship Id="rId373" Type="http://schemas.openxmlformats.org/officeDocument/2006/relationships/hyperlink" Target="https://www.openstreetmap.org/?mlat=13.977120&amp;mlon=108.005601" TargetMode="External"/><Relationship Id="rId429" Type="http://schemas.openxmlformats.org/officeDocument/2006/relationships/hyperlink" Target="https://www.openstreetmap.org/?mlat=14.029875&amp;mlon=109.053099" TargetMode="External"/><Relationship Id="rId1" Type="http://schemas.openxmlformats.org/officeDocument/2006/relationships/hyperlink" Target="https://www.openstreetmap.org/?mlat=14.061869&amp;mlon=108.009918" TargetMode="External"/><Relationship Id="rId233" Type="http://schemas.openxmlformats.org/officeDocument/2006/relationships/hyperlink" Target="https://www.openstreetmap.org/?mlat=13.213804&amp;mlon=108.675532" TargetMode="External"/><Relationship Id="rId440" Type="http://schemas.openxmlformats.org/officeDocument/2006/relationships/hyperlink" Target="https://www.openstreetmap.org/?mlat=13.394771&amp;mlon=108.462280" TargetMode="External"/><Relationship Id="rId28" Type="http://schemas.openxmlformats.org/officeDocument/2006/relationships/hyperlink" Target="https://www.openstreetmap.org/?mlat=13.952169&amp;mlon=108.657763" TargetMode="External"/><Relationship Id="rId275" Type="http://schemas.openxmlformats.org/officeDocument/2006/relationships/hyperlink" Target="https://www.openstreetmap.org/?mlat=13.979496&amp;mlon=107.999217" TargetMode="External"/><Relationship Id="rId300" Type="http://schemas.openxmlformats.org/officeDocument/2006/relationships/hyperlink" Target="https://www.openstreetmap.org/?mlat=13.696572&amp;mlon=108.075336" TargetMode="External"/><Relationship Id="rId482" Type="http://schemas.openxmlformats.org/officeDocument/2006/relationships/hyperlink" Target="https://www.openstreetmap.org/?mlat=13.978982&amp;mlon=107.996099" TargetMode="External"/><Relationship Id="rId81" Type="http://schemas.openxmlformats.org/officeDocument/2006/relationships/hyperlink" Target="https://www.openstreetmap.org/?mlat=14.557905&amp;mlon=109.049076" TargetMode="External"/><Relationship Id="rId135" Type="http://schemas.openxmlformats.org/officeDocument/2006/relationships/hyperlink" Target="https://www.openstreetmap.org/?mlat=14.291527&amp;mlon=109.078678" TargetMode="External"/><Relationship Id="rId177" Type="http://schemas.openxmlformats.org/officeDocument/2006/relationships/hyperlink" Target="https://www.openstreetmap.org/?mlat=13.590662&amp;mlon=108.101838" TargetMode="External"/><Relationship Id="rId342" Type="http://schemas.openxmlformats.org/officeDocument/2006/relationships/hyperlink" Target="https://www.openstreetmap.org/?mlat=14.436797&amp;mlon=109.018098" TargetMode="External"/><Relationship Id="rId384" Type="http://schemas.openxmlformats.org/officeDocument/2006/relationships/hyperlink" Target="https://www.openstreetmap.org/?mlat=13.775997&amp;mlon=109.232437" TargetMode="External"/><Relationship Id="rId202" Type="http://schemas.openxmlformats.org/officeDocument/2006/relationships/hyperlink" Target="https://www.openstreetmap.org/?mlat=13.250360&amp;mlon=108.630814" TargetMode="External"/><Relationship Id="rId244" Type="http://schemas.openxmlformats.org/officeDocument/2006/relationships/hyperlink" Target="https://www.openstreetmap.org/?mlat=13.896329&amp;mlon=109.257087" TargetMode="External"/><Relationship Id="rId39" Type="http://schemas.openxmlformats.org/officeDocument/2006/relationships/hyperlink" Target="https://www.openstreetmap.org/?mlat=13.426310&amp;mlon=108.426994" TargetMode="External"/><Relationship Id="rId286" Type="http://schemas.openxmlformats.org/officeDocument/2006/relationships/hyperlink" Target="https://www.openstreetmap.org/?mlat=13.975266&amp;mlon=108.015095" TargetMode="External"/><Relationship Id="rId451" Type="http://schemas.openxmlformats.org/officeDocument/2006/relationships/hyperlink" Target="https://www.openstreetmap.org/?mlat=13.947007&amp;mlon=109.060297" TargetMode="External"/><Relationship Id="rId493" Type="http://schemas.openxmlformats.org/officeDocument/2006/relationships/hyperlink" Target="https://www.openstreetmap.org/?mlat=14.430150&amp;mlon=109.014700" TargetMode="External"/><Relationship Id="rId507" Type="http://schemas.openxmlformats.org/officeDocument/2006/relationships/hyperlink" Target="https://www.openstreetmap.org/?mlat=13.771539&amp;mlon=109.220151" TargetMode="External"/><Relationship Id="rId50" Type="http://schemas.openxmlformats.org/officeDocument/2006/relationships/hyperlink" Target="https://www.openstreetmap.org/?mlat=13.812252&amp;mlon=107.705591" TargetMode="External"/><Relationship Id="rId104" Type="http://schemas.openxmlformats.org/officeDocument/2006/relationships/hyperlink" Target="https://www.openstreetmap.org/?mlat=13.767440&amp;mlon=109.197455" TargetMode="External"/><Relationship Id="rId146" Type="http://schemas.openxmlformats.org/officeDocument/2006/relationships/hyperlink" Target="https://www.openstreetmap.org/?mlat=13.519976&amp;mlon=108.103163" TargetMode="External"/><Relationship Id="rId188" Type="http://schemas.openxmlformats.org/officeDocument/2006/relationships/hyperlink" Target="https://www.openstreetmap.org/?mlat=13.479516&amp;mlon=108.098050" TargetMode="External"/><Relationship Id="rId311" Type="http://schemas.openxmlformats.org/officeDocument/2006/relationships/hyperlink" Target="https://www.openstreetmap.org/?mlat=13.808651&amp;mlon=109.146959" TargetMode="External"/><Relationship Id="rId353" Type="http://schemas.openxmlformats.org/officeDocument/2006/relationships/hyperlink" Target="https://www.openstreetmap.org/?mlat=13.977775&amp;mlon=107.995581" TargetMode="External"/><Relationship Id="rId395" Type="http://schemas.openxmlformats.org/officeDocument/2006/relationships/hyperlink" Target="https://www.openstreetmap.org/?mlat=13.762101&amp;mlon=109.218813" TargetMode="External"/><Relationship Id="rId409" Type="http://schemas.openxmlformats.org/officeDocument/2006/relationships/hyperlink" Target="https://www.openstreetmap.org/?mlat=14.557861&amp;mlon=108.901000" TargetMode="External"/><Relationship Id="rId92" Type="http://schemas.openxmlformats.org/officeDocument/2006/relationships/hyperlink" Target="https://www.openstreetmap.org/?mlat=13.924707&amp;mlon=108.006163" TargetMode="External"/><Relationship Id="rId213" Type="http://schemas.openxmlformats.org/officeDocument/2006/relationships/hyperlink" Target="https://www.openstreetmap.org/?mlat=14.015830&amp;mlon=109.054691" TargetMode="External"/><Relationship Id="rId420" Type="http://schemas.openxmlformats.org/officeDocument/2006/relationships/hyperlink" Target="https://www.openstreetmap.org/?mlat=13.547330&amp;mlon=108.099672" TargetMode="External"/><Relationship Id="rId255" Type="http://schemas.openxmlformats.org/officeDocument/2006/relationships/hyperlink" Target="https://www.openstreetmap.org/?mlat=14.129296&amp;mlon=109.169857" TargetMode="External"/><Relationship Id="rId297" Type="http://schemas.openxmlformats.org/officeDocument/2006/relationships/hyperlink" Target="https://www.openstreetmap.org/?mlat=13.767369&amp;mlon=109.220755" TargetMode="External"/><Relationship Id="rId462" Type="http://schemas.openxmlformats.org/officeDocument/2006/relationships/hyperlink" Target="https://www.openstreetmap.org/?mlat=13.803278&amp;mlon=109.147802" TargetMode="External"/><Relationship Id="rId518" Type="http://schemas.openxmlformats.org/officeDocument/2006/relationships/hyperlink" Target="https://www.openstreetmap.org/?mlat=13.803286&amp;mlon=109.147701" TargetMode="External"/><Relationship Id="rId115" Type="http://schemas.openxmlformats.org/officeDocument/2006/relationships/hyperlink" Target="https://www.openstreetmap.org/?mlat=14.015716&amp;mlon=107.991876" TargetMode="External"/><Relationship Id="rId157" Type="http://schemas.openxmlformats.org/officeDocument/2006/relationships/hyperlink" Target="https://www.openstreetmap.org/?mlat=13.703099&amp;mlon=108.070998" TargetMode="External"/><Relationship Id="rId322" Type="http://schemas.openxmlformats.org/officeDocument/2006/relationships/hyperlink" Target="https://www.openstreetmap.org/?mlat=13.978438&amp;mlon=108.012272" TargetMode="External"/><Relationship Id="rId364" Type="http://schemas.openxmlformats.org/officeDocument/2006/relationships/hyperlink" Target="https://www.openstreetmap.org/?mlat=13.971860&amp;mlon=108.030581" TargetMode="External"/><Relationship Id="rId61" Type="http://schemas.openxmlformats.org/officeDocument/2006/relationships/hyperlink" Target="https://www.openstreetmap.org/?mlat=13.756939&amp;mlon=109.218009" TargetMode="External"/><Relationship Id="rId199" Type="http://schemas.openxmlformats.org/officeDocument/2006/relationships/hyperlink" Target="https://www.openstreetmap.org/?mlat=14.145278&amp;mlon=107.887055" TargetMode="External"/><Relationship Id="rId19" Type="http://schemas.openxmlformats.org/officeDocument/2006/relationships/hyperlink" Target="https://www.openstreetmap.org/?mlat=13.972151&amp;mlon=108.022385" TargetMode="External"/><Relationship Id="rId224" Type="http://schemas.openxmlformats.org/officeDocument/2006/relationships/hyperlink" Target="https://www.openstreetmap.org/?mlat=14.274659&amp;mlon=109.173987" TargetMode="External"/><Relationship Id="rId266" Type="http://schemas.openxmlformats.org/officeDocument/2006/relationships/hyperlink" Target="https://www.openstreetmap.org/?mlat=13.980267&amp;mlon=107.989479" TargetMode="External"/><Relationship Id="rId431" Type="http://schemas.openxmlformats.org/officeDocument/2006/relationships/hyperlink" Target="https://www.openstreetmap.org/?mlat=13.962131&amp;mlon=107.845850" TargetMode="External"/><Relationship Id="rId473" Type="http://schemas.openxmlformats.org/officeDocument/2006/relationships/hyperlink" Target="https://www.openstreetmap.org/?mlat=13.992905&amp;mlon=108.110215" TargetMode="External"/><Relationship Id="rId30" Type="http://schemas.openxmlformats.org/officeDocument/2006/relationships/hyperlink" Target="https://www.openstreetmap.org/?mlat=13.398173&amp;mlon=108.437923" TargetMode="External"/><Relationship Id="rId126" Type="http://schemas.openxmlformats.org/officeDocument/2006/relationships/hyperlink" Target="https://www.openstreetmap.org/?mlat=14.092750&amp;mlon=107.978184" TargetMode="External"/><Relationship Id="rId168" Type="http://schemas.openxmlformats.org/officeDocument/2006/relationships/hyperlink" Target="https://www.openstreetmap.org/?mlat=13.965552&amp;mlon=107.868136" TargetMode="External"/><Relationship Id="rId333" Type="http://schemas.openxmlformats.org/officeDocument/2006/relationships/hyperlink" Target="https://www.openstreetmap.org/?mlat=13.402764&amp;mlon=108.439810" TargetMode="External"/><Relationship Id="rId72" Type="http://schemas.openxmlformats.org/officeDocument/2006/relationships/hyperlink" Target="https://www.openstreetmap.org/?mlat=13.422649&amp;mlon=108.428058" TargetMode="External"/><Relationship Id="rId375" Type="http://schemas.openxmlformats.org/officeDocument/2006/relationships/hyperlink" Target="https://www.openstreetmap.org/?mlat=13.988047&amp;mlon=108.008083" TargetMode="External"/><Relationship Id="rId3" Type="http://schemas.openxmlformats.org/officeDocument/2006/relationships/hyperlink" Target="https://www.openstreetmap.org/?mlat=13.948200&amp;mlon=108.134800" TargetMode="External"/><Relationship Id="rId235" Type="http://schemas.openxmlformats.org/officeDocument/2006/relationships/hyperlink" Target="https://www.openstreetmap.org/?mlat=13.800359&amp;mlon=109.144275" TargetMode="External"/><Relationship Id="rId277" Type="http://schemas.openxmlformats.org/officeDocument/2006/relationships/hyperlink" Target="https://www.openstreetmap.org/?mlat=13.978379&amp;mlon=108.014446" TargetMode="External"/><Relationship Id="rId400" Type="http://schemas.openxmlformats.org/officeDocument/2006/relationships/hyperlink" Target="https://www.openstreetmap.org/?mlat=13.753575&amp;mlon=109.207882" TargetMode="External"/><Relationship Id="rId442" Type="http://schemas.openxmlformats.org/officeDocument/2006/relationships/hyperlink" Target="https://www.openstreetmap.org/?mlat=14.144470&amp;mlon=108.603773" TargetMode="External"/><Relationship Id="rId484" Type="http://schemas.openxmlformats.org/officeDocument/2006/relationships/hyperlink" Target="https://www.openstreetmap.org/?mlat=13.962651&amp;mlon=107.840356" TargetMode="External"/><Relationship Id="rId137" Type="http://schemas.openxmlformats.org/officeDocument/2006/relationships/hyperlink" Target="https://www.openstreetmap.org/?mlat=13.549202&amp;mlon=108.260796" TargetMode="External"/><Relationship Id="rId302" Type="http://schemas.openxmlformats.org/officeDocument/2006/relationships/hyperlink" Target="https://www.openstreetmap.org/?mlat=13.696231&amp;mlon=108.075673" TargetMode="External"/><Relationship Id="rId344" Type="http://schemas.openxmlformats.org/officeDocument/2006/relationships/hyperlink" Target="https://www.openstreetmap.org/?mlat=13.979667&amp;mlon=107.993029" TargetMode="External"/><Relationship Id="rId41" Type="http://schemas.openxmlformats.org/officeDocument/2006/relationships/hyperlink" Target="https://www.openstreetmap.org/?mlat=13.950515&amp;mlon=108.014056" TargetMode="External"/><Relationship Id="rId83" Type="http://schemas.openxmlformats.org/officeDocument/2006/relationships/hyperlink" Target="https://www.openstreetmap.org/?mlat=14.574763&amp;mlon=109.058025" TargetMode="External"/><Relationship Id="rId179" Type="http://schemas.openxmlformats.org/officeDocument/2006/relationships/hyperlink" Target="https://www.openstreetmap.org/?mlat=14.236632&amp;mlon=107.992550" TargetMode="External"/><Relationship Id="rId386" Type="http://schemas.openxmlformats.org/officeDocument/2006/relationships/hyperlink" Target="https://www.openstreetmap.org/?mlat=13.769960&amp;mlon=109.221118" TargetMode="External"/><Relationship Id="rId190" Type="http://schemas.openxmlformats.org/officeDocument/2006/relationships/hyperlink" Target="https://www.openstreetmap.org/?mlat=13.383169&amp;mlon=107.688715" TargetMode="External"/><Relationship Id="rId204" Type="http://schemas.openxmlformats.org/officeDocument/2006/relationships/hyperlink" Target="https://www.openstreetmap.org/?mlat=13.367956&amp;mlon=108.465987" TargetMode="External"/><Relationship Id="rId246" Type="http://schemas.openxmlformats.org/officeDocument/2006/relationships/hyperlink" Target="https://www.openstreetmap.org/?mlat=13.926691&amp;mlon=108.923037" TargetMode="External"/><Relationship Id="rId288" Type="http://schemas.openxmlformats.org/officeDocument/2006/relationships/hyperlink" Target="https://www.openstreetmap.org/?mlat=13.970082&amp;mlon=108.014993" TargetMode="External"/><Relationship Id="rId411" Type="http://schemas.openxmlformats.org/officeDocument/2006/relationships/hyperlink" Target="https://www.openstreetmap.org/?mlat=14.036728&amp;mlon=108.014311" TargetMode="External"/><Relationship Id="rId453" Type="http://schemas.openxmlformats.org/officeDocument/2006/relationships/hyperlink" Target="https://www.openstreetmap.org/?mlat=13.997684&amp;mlon=109.059168" TargetMode="External"/><Relationship Id="rId509" Type="http://schemas.openxmlformats.org/officeDocument/2006/relationships/hyperlink" Target="https://www.openstreetmap.org/?mlat=13.762536&amp;mlon=109.213135" TargetMode="External"/><Relationship Id="rId106" Type="http://schemas.openxmlformats.org/officeDocument/2006/relationships/hyperlink" Target="https://www.openstreetmap.org/?mlat=13.751449&amp;mlon=109.208334" TargetMode="External"/><Relationship Id="rId313" Type="http://schemas.openxmlformats.org/officeDocument/2006/relationships/hyperlink" Target="https://www.openstreetmap.org/?mlat=14.097778&amp;mlon=108.786774" TargetMode="External"/><Relationship Id="rId495" Type="http://schemas.openxmlformats.org/officeDocument/2006/relationships/hyperlink" Target="https://www.openstreetmap.org/?mlat=13.979940&amp;mlon=107.993470" TargetMode="External"/><Relationship Id="rId10" Type="http://schemas.openxmlformats.org/officeDocument/2006/relationships/hyperlink" Target="https://www.openstreetmap.org/?mlat=13.988266&amp;mlon=108.011451" TargetMode="External"/><Relationship Id="rId52" Type="http://schemas.openxmlformats.org/officeDocument/2006/relationships/hyperlink" Target="https://www.openstreetmap.org/?mlat=13.983700&amp;mlon=108.034500" TargetMode="External"/><Relationship Id="rId94" Type="http://schemas.openxmlformats.org/officeDocument/2006/relationships/hyperlink" Target="https://www.openstreetmap.org/?mlat=13.914047&amp;mlon=108.005668" TargetMode="External"/><Relationship Id="rId148" Type="http://schemas.openxmlformats.org/officeDocument/2006/relationships/hyperlink" Target="https://www.openstreetmap.org/?mlat=13.543796&amp;mlon=108.100894" TargetMode="External"/><Relationship Id="rId355" Type="http://schemas.openxmlformats.org/officeDocument/2006/relationships/hyperlink" Target="https://www.openstreetmap.org/?mlat=13.964466&amp;mlon=108.017029" TargetMode="External"/><Relationship Id="rId397" Type="http://schemas.openxmlformats.org/officeDocument/2006/relationships/hyperlink" Target="https://www.openstreetmap.org/?mlat=13.756456&amp;mlon=109.218592" TargetMode="External"/><Relationship Id="rId520" Type="http://schemas.openxmlformats.org/officeDocument/2006/relationships/hyperlink" Target="https://www.openstreetmap.org/?mlat=13.892818&amp;mlon=108.974205" TargetMode="External"/><Relationship Id="rId215" Type="http://schemas.openxmlformats.org/officeDocument/2006/relationships/hyperlink" Target="https://www.openstreetmap.org/?mlat=14.202374&amp;mlon=109.061216" TargetMode="External"/><Relationship Id="rId257" Type="http://schemas.openxmlformats.org/officeDocument/2006/relationships/hyperlink" Target="https://www.openstreetmap.org/?mlat=13.800779&amp;mlon=107.687452" TargetMode="External"/><Relationship Id="rId422" Type="http://schemas.openxmlformats.org/officeDocument/2006/relationships/hyperlink" Target="https://www.openstreetmap.org/?mlat=13.696548&amp;mlon=108.075525" TargetMode="External"/><Relationship Id="rId464" Type="http://schemas.openxmlformats.org/officeDocument/2006/relationships/hyperlink" Target="https://www.openstreetmap.org/?mlat=13.892817&amp;mlon=108.974242" TargetMode="External"/><Relationship Id="rId299" Type="http://schemas.openxmlformats.org/officeDocument/2006/relationships/hyperlink" Target="https://www.openstreetmap.org/?mlat=13.995564&amp;mlon=107.998273" TargetMode="External"/><Relationship Id="rId63" Type="http://schemas.openxmlformats.org/officeDocument/2006/relationships/hyperlink" Target="https://www.openstreetmap.org/?mlat=13.756881&amp;mlon=109.217981" TargetMode="External"/><Relationship Id="rId159" Type="http://schemas.openxmlformats.org/officeDocument/2006/relationships/hyperlink" Target="https://www.openstreetmap.org/?mlat=14.079647&amp;mlon=109.192584" TargetMode="External"/><Relationship Id="rId366" Type="http://schemas.openxmlformats.org/officeDocument/2006/relationships/hyperlink" Target="https://www.openstreetmap.org/?mlat=13.983910&amp;mlon=108.028153" TargetMode="External"/><Relationship Id="rId226" Type="http://schemas.openxmlformats.org/officeDocument/2006/relationships/hyperlink" Target="https://www.openstreetmap.org/?mlat=14.279573&amp;mlon=109.174842" TargetMode="External"/><Relationship Id="rId433" Type="http://schemas.openxmlformats.org/officeDocument/2006/relationships/hyperlink" Target="https://www.openstreetmap.org/?mlat=13.962131&amp;mlon=107.8458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5" x14ac:dyDescent="0.25"/>
  <cols>
    <col min="1" max="1" width="115" customWidth="1"/>
  </cols>
  <sheetData>
    <row r="1" spans="1:1" ht="18" x14ac:dyDescent="0.25">
      <c r="A1" s="1" t="s">
        <v>0</v>
      </c>
    </row>
    <row r="2" spans="1:1" x14ac:dyDescent="0.25">
      <c r="A2" s="2"/>
    </row>
    <row r="3" spans="1:1" ht="26.25" x14ac:dyDescent="0.25">
      <c r="A3" s="2" t="s">
        <v>1</v>
      </c>
    </row>
    <row r="4" spans="1:1" x14ac:dyDescent="0.25">
      <c r="A4" s="2" t="s">
        <v>2</v>
      </c>
    </row>
    <row r="5" spans="1:1" x14ac:dyDescent="0.25">
      <c r="A5" s="2" t="s">
        <v>3</v>
      </c>
    </row>
    <row r="6" spans="1:1" x14ac:dyDescent="0.25">
      <c r="A6" s="2" t="s">
        <v>4</v>
      </c>
    </row>
    <row r="7" spans="1:1" x14ac:dyDescent="0.25">
      <c r="A7" s="2"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row>
    <row r="13" spans="1:1" x14ac:dyDescent="0.25">
      <c r="A13" s="3" t="s">
        <v>10</v>
      </c>
    </row>
    <row r="14" spans="1:1" ht="26.25" x14ac:dyDescent="0.25">
      <c r="A14" s="2" t="s">
        <v>11</v>
      </c>
    </row>
    <row r="15" spans="1:1" x14ac:dyDescent="0.25">
      <c r="A15" s="2" t="s">
        <v>12</v>
      </c>
    </row>
    <row r="16" spans="1:1" x14ac:dyDescent="0.25">
      <c r="A16" s="2" t="s">
        <v>13</v>
      </c>
    </row>
    <row r="17" spans="1:1" x14ac:dyDescent="0.25">
      <c r="A17" s="2" t="s">
        <v>14</v>
      </c>
    </row>
    <row r="18" spans="1:1" x14ac:dyDescent="0.25">
      <c r="A18" s="2"/>
    </row>
    <row r="19" spans="1:1" x14ac:dyDescent="0.25">
      <c r="A19" s="3" t="s">
        <v>15</v>
      </c>
    </row>
    <row r="20" spans="1:1" ht="26.25" x14ac:dyDescent="0.25">
      <c r="A20" s="2" t="s">
        <v>16</v>
      </c>
    </row>
    <row r="21" spans="1:1" x14ac:dyDescent="0.25">
      <c r="A21"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530"/>
  <sheetViews>
    <sheetView tabSelected="1" workbookViewId="0">
      <pane xSplit="4" ySplit="4" topLeftCell="E5" activePane="bottomRight" state="frozen"/>
      <selection pane="topRight"/>
      <selection pane="bottomLeft"/>
      <selection pane="bottomRight"/>
    </sheetView>
  </sheetViews>
  <sheetFormatPr defaultRowHeight="15" x14ac:dyDescent="0.25"/>
  <cols>
    <col min="1" max="1" width="5" customWidth="1"/>
    <col min="2" max="2" width="12" customWidth="1"/>
    <col min="3" max="3" width="9" customWidth="1"/>
    <col min="4" max="4" width="32" customWidth="1"/>
    <col min="5" max="5" width="14" customWidth="1"/>
    <col min="6" max="6" width="16" customWidth="1"/>
    <col min="7" max="7" width="32" customWidth="1"/>
    <col min="8" max="8" width="16" customWidth="1"/>
    <col min="9" max="10" width="11" customWidth="1"/>
    <col min="11" max="11" width="13" customWidth="1"/>
    <col min="12" max="12" width="30" customWidth="1"/>
    <col min="13" max="13" width="10" customWidth="1"/>
    <col min="14" max="14" width="20" customWidth="1"/>
    <col min="15" max="16" width="11" customWidth="1"/>
    <col min="17" max="17" width="17" customWidth="1"/>
    <col min="18" max="18" width="11" customWidth="1"/>
    <col min="19" max="19" width="14" customWidth="1"/>
    <col min="20" max="20" width="26" customWidth="1"/>
    <col min="21" max="21" width="10" customWidth="1"/>
    <col min="22" max="22" width="30" customWidth="1"/>
  </cols>
  <sheetData>
    <row r="1" spans="1:22" ht="18" x14ac:dyDescent="0.25">
      <c r="A1" s="4" t="s">
        <v>18</v>
      </c>
    </row>
    <row r="2" spans="1:22" x14ac:dyDescent="0.25">
      <c r="A2" s="5" t="s">
        <v>19</v>
      </c>
    </row>
    <row r="4" spans="1:22" ht="33.950000000000003" customHeight="1" x14ac:dyDescent="0.25">
      <c r="A4" s="6" t="s">
        <v>20</v>
      </c>
      <c r="B4" s="6" t="s">
        <v>21</v>
      </c>
      <c r="C4" s="6" t="s">
        <v>22</v>
      </c>
      <c r="D4" s="6" t="s">
        <v>23</v>
      </c>
      <c r="E4" s="6" t="s">
        <v>24</v>
      </c>
      <c r="F4" s="6" t="s">
        <v>25</v>
      </c>
      <c r="G4" s="6" t="s">
        <v>26</v>
      </c>
      <c r="H4" s="6" t="s">
        <v>27</v>
      </c>
      <c r="I4" s="6" t="s">
        <v>28</v>
      </c>
      <c r="J4" s="6" t="s">
        <v>29</v>
      </c>
      <c r="K4" s="6" t="s">
        <v>30</v>
      </c>
      <c r="L4" s="6" t="s">
        <v>31</v>
      </c>
      <c r="M4" s="6" t="s">
        <v>32</v>
      </c>
      <c r="N4" s="7" t="s">
        <v>33</v>
      </c>
      <c r="O4" s="7" t="s">
        <v>34</v>
      </c>
      <c r="P4" s="7" t="s">
        <v>35</v>
      </c>
      <c r="Q4" s="7" t="s">
        <v>36</v>
      </c>
      <c r="R4" s="7" t="s">
        <v>37</v>
      </c>
      <c r="S4" s="7" t="s">
        <v>38</v>
      </c>
      <c r="T4" s="7" t="s">
        <v>39</v>
      </c>
      <c r="U4" s="8" t="s">
        <v>40</v>
      </c>
      <c r="V4" s="8" t="s">
        <v>41</v>
      </c>
    </row>
    <row r="5" spans="1:22" ht="38.25" x14ac:dyDescent="0.25">
      <c r="A5" s="9">
        <v>1</v>
      </c>
      <c r="B5" s="9" t="s">
        <v>42</v>
      </c>
      <c r="C5" s="9" t="s">
        <v>43</v>
      </c>
      <c r="D5" s="10" t="s">
        <v>44</v>
      </c>
      <c r="E5" s="9" t="s">
        <v>45</v>
      </c>
      <c r="F5" s="9" t="s">
        <v>46</v>
      </c>
      <c r="G5" s="10" t="s">
        <v>47</v>
      </c>
      <c r="H5" s="9" t="s">
        <v>48</v>
      </c>
      <c r="I5" s="11">
        <v>14.061869</v>
      </c>
      <c r="J5" s="11">
        <v>108.009918</v>
      </c>
      <c r="K5" s="9" t="s">
        <v>49</v>
      </c>
      <c r="L5" s="10" t="s">
        <v>50</v>
      </c>
      <c r="M5" s="12" t="s">
        <v>51</v>
      </c>
      <c r="N5" s="13" t="s">
        <v>52</v>
      </c>
      <c r="O5" s="14"/>
      <c r="P5" s="14"/>
      <c r="Q5" s="13" t="s">
        <v>53</v>
      </c>
      <c r="R5" s="15" t="s">
        <v>54</v>
      </c>
      <c r="S5" s="13" t="s">
        <v>55</v>
      </c>
      <c r="T5" s="13" t="s">
        <v>56</v>
      </c>
      <c r="U5" s="16" t="str">
        <f t="shared" ref="U5:U68" si="0">IF(AND(ISNUMBER(O5),ISNUMBER(P5)),ROUND(SQRT(((P5-J5)*111320*COS(RADIANS(I5)))^2+((O5-I5)*110540)^2),0),"")</f>
        <v/>
      </c>
      <c r="V5" s="17" t="str">
        <f t="shared" ref="V5:V68" si="1">IF(N5="","",IF(N5="Sửa vị trí",IF(OR(O5="",P5=""),"Thiếu vĩ độ / kinh độ mới",IF(OR(O5&lt;12.5,O5&gt;15,P5&lt;107,P5&gt;109.6),"Toạ độ ngoài Gia Lai (đảo vĩ/kinh độ?)",IF(Q5="","Chọn cách xác định",IF(U5&gt;20000,"Dời hơn 20 km – kiểm tra lại","OK")))),IF(AND(N5&lt;&gt;"Sửa vị trí",OR(O5&lt;&gt;"",P5&lt;&gt;"")),"Có toạ độ mới nhưng kết quả không phải Sửa vị trí","OK")))</f>
        <v>OK</v>
      </c>
    </row>
    <row r="6" spans="1:22" ht="38.25" x14ac:dyDescent="0.25">
      <c r="A6" s="9">
        <v>2</v>
      </c>
      <c r="B6" s="9" t="s">
        <v>57</v>
      </c>
      <c r="C6" s="9" t="s">
        <v>43</v>
      </c>
      <c r="D6" s="10" t="s">
        <v>58</v>
      </c>
      <c r="E6" s="9" t="s">
        <v>45</v>
      </c>
      <c r="F6" s="9" t="s">
        <v>46</v>
      </c>
      <c r="G6" s="10" t="s">
        <v>59</v>
      </c>
      <c r="H6" s="9" t="s">
        <v>60</v>
      </c>
      <c r="I6" s="11">
        <v>14.056879</v>
      </c>
      <c r="J6" s="11">
        <v>108.003073</v>
      </c>
      <c r="K6" s="9" t="s">
        <v>49</v>
      </c>
      <c r="L6" s="10" t="s">
        <v>61</v>
      </c>
      <c r="M6" s="12" t="s">
        <v>51</v>
      </c>
      <c r="N6" s="13" t="s">
        <v>62</v>
      </c>
      <c r="O6" s="14">
        <v>14.058104999999999</v>
      </c>
      <c r="P6" s="14">
        <v>108.003204</v>
      </c>
      <c r="Q6" s="13" t="s">
        <v>53</v>
      </c>
      <c r="R6" s="15" t="s">
        <v>54</v>
      </c>
      <c r="S6" s="13" t="s">
        <v>55</v>
      </c>
      <c r="T6" s="13" t="s">
        <v>63</v>
      </c>
      <c r="U6" s="16">
        <f t="shared" si="0"/>
        <v>136</v>
      </c>
      <c r="V6" s="17" t="str">
        <f t="shared" si="1"/>
        <v>OK</v>
      </c>
    </row>
    <row r="7" spans="1:22" ht="38.25" x14ac:dyDescent="0.25">
      <c r="A7" s="9">
        <v>3</v>
      </c>
      <c r="B7" s="9" t="s">
        <v>64</v>
      </c>
      <c r="C7" s="9" t="s">
        <v>43</v>
      </c>
      <c r="D7" s="10" t="s">
        <v>65</v>
      </c>
      <c r="E7" s="9" t="s">
        <v>45</v>
      </c>
      <c r="F7" s="9" t="s">
        <v>46</v>
      </c>
      <c r="G7" s="10" t="s">
        <v>66</v>
      </c>
      <c r="H7" s="9" t="s">
        <v>67</v>
      </c>
      <c r="I7" s="11">
        <v>13.9482</v>
      </c>
      <c r="J7" s="11">
        <v>108.1348</v>
      </c>
      <c r="K7" s="9" t="s">
        <v>49</v>
      </c>
      <c r="L7" s="10" t="s">
        <v>68</v>
      </c>
      <c r="M7" s="12" t="s">
        <v>51</v>
      </c>
      <c r="N7" s="13" t="s">
        <v>69</v>
      </c>
      <c r="O7" s="14"/>
      <c r="P7" s="14"/>
      <c r="Q7" s="13" t="s">
        <v>70</v>
      </c>
      <c r="R7" s="15" t="s">
        <v>54</v>
      </c>
      <c r="S7" s="13" t="s">
        <v>55</v>
      </c>
      <c r="T7" s="13" t="s">
        <v>71</v>
      </c>
      <c r="U7" s="16" t="str">
        <f t="shared" si="0"/>
        <v/>
      </c>
      <c r="V7" s="17" t="str">
        <f t="shared" si="1"/>
        <v>OK</v>
      </c>
    </row>
    <row r="8" spans="1:22" ht="38.25" x14ac:dyDescent="0.25">
      <c r="A8" s="9">
        <v>4</v>
      </c>
      <c r="B8" s="9" t="s">
        <v>72</v>
      </c>
      <c r="C8" s="9" t="s">
        <v>43</v>
      </c>
      <c r="D8" s="10" t="s">
        <v>73</v>
      </c>
      <c r="E8" s="9" t="s">
        <v>74</v>
      </c>
      <c r="F8" s="9" t="s">
        <v>46</v>
      </c>
      <c r="G8" s="10" t="s">
        <v>75</v>
      </c>
      <c r="H8" s="9" t="s">
        <v>60</v>
      </c>
      <c r="I8" s="11">
        <v>13.9718</v>
      </c>
      <c r="J8" s="11">
        <v>108.0423</v>
      </c>
      <c r="K8" s="9" t="s">
        <v>49</v>
      </c>
      <c r="L8" s="10" t="s">
        <v>76</v>
      </c>
      <c r="M8" s="12" t="s">
        <v>51</v>
      </c>
      <c r="N8" s="13" t="s">
        <v>69</v>
      </c>
      <c r="O8" s="14"/>
      <c r="P8" s="14"/>
      <c r="Q8" s="13" t="s">
        <v>70</v>
      </c>
      <c r="R8" s="15" t="s">
        <v>54</v>
      </c>
      <c r="S8" s="13" t="s">
        <v>55</v>
      </c>
      <c r="T8" s="13" t="s">
        <v>77</v>
      </c>
      <c r="U8" s="16" t="str">
        <f t="shared" si="0"/>
        <v/>
      </c>
      <c r="V8" s="17" t="str">
        <f t="shared" si="1"/>
        <v>OK</v>
      </c>
    </row>
    <row r="9" spans="1:22" ht="38.25" x14ac:dyDescent="0.25">
      <c r="A9" s="9">
        <v>5</v>
      </c>
      <c r="B9" s="9" t="s">
        <v>78</v>
      </c>
      <c r="C9" s="9" t="s">
        <v>43</v>
      </c>
      <c r="D9" s="10" t="s">
        <v>79</v>
      </c>
      <c r="E9" s="9" t="s">
        <v>74</v>
      </c>
      <c r="F9" s="9" t="s">
        <v>46</v>
      </c>
      <c r="G9" s="10" t="s">
        <v>80</v>
      </c>
      <c r="H9" s="9" t="s">
        <v>81</v>
      </c>
      <c r="I9" s="11">
        <v>13.9612</v>
      </c>
      <c r="J9" s="11">
        <v>108.0487</v>
      </c>
      <c r="K9" s="9" t="s">
        <v>49</v>
      </c>
      <c r="L9" s="10" t="s">
        <v>82</v>
      </c>
      <c r="M9" s="12" t="s">
        <v>51</v>
      </c>
      <c r="N9" s="13" t="s">
        <v>69</v>
      </c>
      <c r="O9" s="14"/>
      <c r="P9" s="14"/>
      <c r="Q9" s="13" t="s">
        <v>70</v>
      </c>
      <c r="R9" s="15" t="s">
        <v>54</v>
      </c>
      <c r="S9" s="13" t="s">
        <v>55</v>
      </c>
      <c r="T9" s="13" t="s">
        <v>83</v>
      </c>
      <c r="U9" s="16" t="str">
        <f t="shared" si="0"/>
        <v/>
      </c>
      <c r="V9" s="17" t="str">
        <f t="shared" si="1"/>
        <v>OK</v>
      </c>
    </row>
    <row r="10" spans="1:22" ht="25.5" x14ac:dyDescent="0.25">
      <c r="A10" s="9">
        <v>6</v>
      </c>
      <c r="B10" s="9" t="s">
        <v>84</v>
      </c>
      <c r="C10" s="9" t="s">
        <v>43</v>
      </c>
      <c r="D10" s="10" t="s">
        <v>85</v>
      </c>
      <c r="E10" s="9" t="s">
        <v>86</v>
      </c>
      <c r="F10" s="9" t="s">
        <v>46</v>
      </c>
      <c r="G10" s="10" t="s">
        <v>87</v>
      </c>
      <c r="H10" s="9" t="s">
        <v>88</v>
      </c>
      <c r="I10" s="11">
        <v>13.984145</v>
      </c>
      <c r="J10" s="11">
        <v>107.99373300000001</v>
      </c>
      <c r="K10" s="9" t="s">
        <v>89</v>
      </c>
      <c r="L10" s="10"/>
      <c r="M10" s="12" t="s">
        <v>51</v>
      </c>
      <c r="N10" s="13" t="s">
        <v>52</v>
      </c>
      <c r="O10" s="14"/>
      <c r="P10" s="14"/>
      <c r="Q10" s="13" t="s">
        <v>53</v>
      </c>
      <c r="R10" s="15" t="s">
        <v>54</v>
      </c>
      <c r="S10" s="13" t="s">
        <v>55</v>
      </c>
      <c r="T10" s="13" t="s">
        <v>90</v>
      </c>
      <c r="U10" s="16" t="str">
        <f t="shared" si="0"/>
        <v/>
      </c>
      <c r="V10" s="17" t="str">
        <f t="shared" si="1"/>
        <v>OK</v>
      </c>
    </row>
    <row r="11" spans="1:22" ht="25.5" x14ac:dyDescent="0.25">
      <c r="A11" s="9">
        <v>7</v>
      </c>
      <c r="B11" s="9" t="s">
        <v>91</v>
      </c>
      <c r="C11" s="9" t="s">
        <v>43</v>
      </c>
      <c r="D11" s="10" t="s">
        <v>92</v>
      </c>
      <c r="E11" s="9" t="s">
        <v>86</v>
      </c>
      <c r="F11" s="9" t="s">
        <v>46</v>
      </c>
      <c r="G11" s="10" t="s">
        <v>93</v>
      </c>
      <c r="H11" s="9" t="s">
        <v>88</v>
      </c>
      <c r="I11" s="11">
        <v>13.964108</v>
      </c>
      <c r="J11" s="11">
        <v>107.988214</v>
      </c>
      <c r="K11" s="9" t="s">
        <v>89</v>
      </c>
      <c r="L11" s="10"/>
      <c r="M11" s="12" t="s">
        <v>51</v>
      </c>
      <c r="N11" s="13" t="s">
        <v>52</v>
      </c>
      <c r="O11" s="14"/>
      <c r="P11" s="14"/>
      <c r="Q11" s="13" t="s">
        <v>53</v>
      </c>
      <c r="R11" s="15" t="s">
        <v>54</v>
      </c>
      <c r="S11" s="13" t="s">
        <v>55</v>
      </c>
      <c r="T11" s="13" t="s">
        <v>94</v>
      </c>
      <c r="U11" s="16" t="str">
        <f t="shared" si="0"/>
        <v/>
      </c>
      <c r="V11" s="17" t="str">
        <f t="shared" si="1"/>
        <v>OK</v>
      </c>
    </row>
    <row r="12" spans="1:22" ht="25.5" x14ac:dyDescent="0.25">
      <c r="A12" s="9">
        <v>8</v>
      </c>
      <c r="B12" s="9" t="s">
        <v>95</v>
      </c>
      <c r="C12" s="9" t="s">
        <v>43</v>
      </c>
      <c r="D12" s="10" t="s">
        <v>96</v>
      </c>
      <c r="E12" s="9" t="s">
        <v>86</v>
      </c>
      <c r="F12" s="9" t="s">
        <v>46</v>
      </c>
      <c r="G12" s="10" t="s">
        <v>97</v>
      </c>
      <c r="H12" s="9" t="s">
        <v>88</v>
      </c>
      <c r="I12" s="11">
        <v>13.97878</v>
      </c>
      <c r="J12" s="11">
        <v>107.99754900000001</v>
      </c>
      <c r="K12" s="9" t="s">
        <v>89</v>
      </c>
      <c r="L12" s="10"/>
      <c r="M12" s="12" t="s">
        <v>51</v>
      </c>
      <c r="N12" s="13" t="s">
        <v>52</v>
      </c>
      <c r="O12" s="14"/>
      <c r="P12" s="14"/>
      <c r="Q12" s="13" t="s">
        <v>53</v>
      </c>
      <c r="R12" s="15" t="s">
        <v>54</v>
      </c>
      <c r="S12" s="13" t="s">
        <v>55</v>
      </c>
      <c r="T12" s="13" t="s">
        <v>98</v>
      </c>
      <c r="U12" s="16" t="str">
        <f t="shared" si="0"/>
        <v/>
      </c>
      <c r="V12" s="17" t="str">
        <f t="shared" si="1"/>
        <v>OK</v>
      </c>
    </row>
    <row r="13" spans="1:22" ht="25.5" x14ac:dyDescent="0.25">
      <c r="A13" s="9">
        <v>9</v>
      </c>
      <c r="B13" s="9" t="s">
        <v>99</v>
      </c>
      <c r="C13" s="9" t="s">
        <v>43</v>
      </c>
      <c r="D13" s="10" t="s">
        <v>100</v>
      </c>
      <c r="E13" s="9" t="s">
        <v>86</v>
      </c>
      <c r="F13" s="9" t="s">
        <v>46</v>
      </c>
      <c r="G13" s="10" t="s">
        <v>101</v>
      </c>
      <c r="H13" s="9" t="s">
        <v>48</v>
      </c>
      <c r="I13" s="11">
        <v>13.954041</v>
      </c>
      <c r="J13" s="11">
        <v>108.014269</v>
      </c>
      <c r="K13" s="9" t="s">
        <v>89</v>
      </c>
      <c r="L13" s="10"/>
      <c r="M13" s="12" t="s">
        <v>51</v>
      </c>
      <c r="N13" s="13" t="s">
        <v>52</v>
      </c>
      <c r="O13" s="14"/>
      <c r="P13" s="14"/>
      <c r="Q13" s="13" t="s">
        <v>53</v>
      </c>
      <c r="R13" s="15" t="s">
        <v>54</v>
      </c>
      <c r="S13" s="13" t="s">
        <v>55</v>
      </c>
      <c r="T13" s="13" t="s">
        <v>102</v>
      </c>
      <c r="U13" s="16" t="str">
        <f t="shared" si="0"/>
        <v/>
      </c>
      <c r="V13" s="17" t="str">
        <f t="shared" si="1"/>
        <v>OK</v>
      </c>
    </row>
    <row r="14" spans="1:22" ht="25.5" x14ac:dyDescent="0.25">
      <c r="A14" s="9">
        <v>10</v>
      </c>
      <c r="B14" s="9" t="s">
        <v>103</v>
      </c>
      <c r="C14" s="9" t="s">
        <v>43</v>
      </c>
      <c r="D14" s="10" t="s">
        <v>104</v>
      </c>
      <c r="E14" s="9" t="s">
        <v>86</v>
      </c>
      <c r="F14" s="9" t="s">
        <v>46</v>
      </c>
      <c r="G14" s="10" t="s">
        <v>105</v>
      </c>
      <c r="H14" s="9" t="s">
        <v>60</v>
      </c>
      <c r="I14" s="11">
        <v>13.988265999999999</v>
      </c>
      <c r="J14" s="11">
        <v>108.01145099999999</v>
      </c>
      <c r="K14" s="9" t="s">
        <v>89</v>
      </c>
      <c r="L14" s="10"/>
      <c r="M14" s="12" t="s">
        <v>51</v>
      </c>
      <c r="N14" s="13" t="s">
        <v>52</v>
      </c>
      <c r="O14" s="14"/>
      <c r="P14" s="14"/>
      <c r="Q14" s="13" t="s">
        <v>53</v>
      </c>
      <c r="R14" s="15" t="s">
        <v>54</v>
      </c>
      <c r="S14" s="13" t="s">
        <v>55</v>
      </c>
      <c r="T14" s="13" t="s">
        <v>106</v>
      </c>
      <c r="U14" s="16" t="str">
        <f t="shared" si="0"/>
        <v/>
      </c>
      <c r="V14" s="17" t="str">
        <f t="shared" si="1"/>
        <v>OK</v>
      </c>
    </row>
    <row r="15" spans="1:22" ht="25.5" x14ac:dyDescent="0.25">
      <c r="A15" s="9">
        <v>11</v>
      </c>
      <c r="B15" s="9" t="s">
        <v>107</v>
      </c>
      <c r="C15" s="9" t="s">
        <v>43</v>
      </c>
      <c r="D15" s="10" t="s">
        <v>108</v>
      </c>
      <c r="E15" s="9" t="s">
        <v>86</v>
      </c>
      <c r="F15" s="9" t="s">
        <v>46</v>
      </c>
      <c r="G15" s="10" t="s">
        <v>109</v>
      </c>
      <c r="H15" s="9" t="s">
        <v>110</v>
      </c>
      <c r="I15" s="11">
        <v>13.997023</v>
      </c>
      <c r="J15" s="11">
        <v>107.99808299999999</v>
      </c>
      <c r="K15" s="9" t="s">
        <v>89</v>
      </c>
      <c r="L15" s="10"/>
      <c r="M15" s="12" t="s">
        <v>51</v>
      </c>
      <c r="N15" s="13" t="s">
        <v>52</v>
      </c>
      <c r="O15" s="14"/>
      <c r="P15" s="14"/>
      <c r="Q15" s="13" t="s">
        <v>53</v>
      </c>
      <c r="R15" s="15" t="s">
        <v>54</v>
      </c>
      <c r="S15" s="13" t="s">
        <v>55</v>
      </c>
      <c r="T15" s="13" t="s">
        <v>111</v>
      </c>
      <c r="U15" s="16" t="str">
        <f t="shared" si="0"/>
        <v/>
      </c>
      <c r="V15" s="17" t="str">
        <f t="shared" si="1"/>
        <v>OK</v>
      </c>
    </row>
    <row r="16" spans="1:22" ht="25.5" x14ac:dyDescent="0.25">
      <c r="A16" s="9">
        <v>12</v>
      </c>
      <c r="B16" s="9" t="s">
        <v>112</v>
      </c>
      <c r="C16" s="9" t="s">
        <v>43</v>
      </c>
      <c r="D16" s="10" t="s">
        <v>113</v>
      </c>
      <c r="E16" s="9" t="s">
        <v>86</v>
      </c>
      <c r="F16" s="9" t="s">
        <v>46</v>
      </c>
      <c r="G16" s="10" t="s">
        <v>114</v>
      </c>
      <c r="H16" s="9" t="s">
        <v>115</v>
      </c>
      <c r="I16" s="11">
        <v>14.036034000000001</v>
      </c>
      <c r="J16" s="11">
        <v>108.012214</v>
      </c>
      <c r="K16" s="9" t="s">
        <v>89</v>
      </c>
      <c r="L16" s="10"/>
      <c r="M16" s="12" t="s">
        <v>51</v>
      </c>
      <c r="N16" s="13" t="s">
        <v>52</v>
      </c>
      <c r="O16" s="14"/>
      <c r="P16" s="14"/>
      <c r="Q16" s="13" t="s">
        <v>53</v>
      </c>
      <c r="R16" s="15" t="s">
        <v>54</v>
      </c>
      <c r="S16" s="13" t="s">
        <v>55</v>
      </c>
      <c r="T16" s="13" t="s">
        <v>116</v>
      </c>
      <c r="U16" s="16" t="str">
        <f t="shared" si="0"/>
        <v/>
      </c>
      <c r="V16" s="17" t="str">
        <f t="shared" si="1"/>
        <v>OK</v>
      </c>
    </row>
    <row r="17" spans="1:22" ht="25.5" x14ac:dyDescent="0.25">
      <c r="A17" s="9">
        <v>13</v>
      </c>
      <c r="B17" s="9" t="s">
        <v>117</v>
      </c>
      <c r="C17" s="9" t="s">
        <v>43</v>
      </c>
      <c r="D17" s="10" t="s">
        <v>118</v>
      </c>
      <c r="E17" s="9" t="s">
        <v>86</v>
      </c>
      <c r="F17" s="9" t="s">
        <v>46</v>
      </c>
      <c r="G17" s="10" t="s">
        <v>119</v>
      </c>
      <c r="H17" s="9" t="s">
        <v>120</v>
      </c>
      <c r="I17" s="11">
        <v>13.756587</v>
      </c>
      <c r="J17" s="11">
        <v>107.889618</v>
      </c>
      <c r="K17" s="9" t="s">
        <v>89</v>
      </c>
      <c r="L17" s="10"/>
      <c r="M17" s="12" t="s">
        <v>51</v>
      </c>
      <c r="N17" s="13" t="s">
        <v>52</v>
      </c>
      <c r="O17" s="14"/>
      <c r="P17" s="14"/>
      <c r="Q17" s="13" t="s">
        <v>53</v>
      </c>
      <c r="R17" s="15" t="s">
        <v>54</v>
      </c>
      <c r="S17" s="13" t="s">
        <v>55</v>
      </c>
      <c r="T17" s="13" t="s">
        <v>121</v>
      </c>
      <c r="U17" s="16" t="str">
        <f t="shared" si="0"/>
        <v/>
      </c>
      <c r="V17" s="17" t="str">
        <f t="shared" si="1"/>
        <v>OK</v>
      </c>
    </row>
    <row r="18" spans="1:22" ht="25.5" x14ac:dyDescent="0.25">
      <c r="A18" s="9">
        <v>14</v>
      </c>
      <c r="B18" s="9" t="s">
        <v>122</v>
      </c>
      <c r="C18" s="9" t="s">
        <v>43</v>
      </c>
      <c r="D18" s="10" t="s">
        <v>123</v>
      </c>
      <c r="E18" s="9" t="s">
        <v>86</v>
      </c>
      <c r="F18" s="9" t="s">
        <v>46</v>
      </c>
      <c r="G18" s="10" t="s">
        <v>124</v>
      </c>
      <c r="H18" s="9" t="s">
        <v>125</v>
      </c>
      <c r="I18" s="11">
        <v>14.20687</v>
      </c>
      <c r="J18" s="11">
        <v>107.8361</v>
      </c>
      <c r="K18" s="9" t="s">
        <v>89</v>
      </c>
      <c r="L18" s="10"/>
      <c r="M18" s="12" t="s">
        <v>51</v>
      </c>
      <c r="N18" s="13" t="s">
        <v>52</v>
      </c>
      <c r="O18" s="14"/>
      <c r="P18" s="14"/>
      <c r="Q18" s="13" t="s">
        <v>53</v>
      </c>
      <c r="R18" s="15" t="s">
        <v>54</v>
      </c>
      <c r="S18" s="13" t="s">
        <v>55</v>
      </c>
      <c r="T18" s="13" t="s">
        <v>126</v>
      </c>
      <c r="U18" s="16" t="str">
        <f t="shared" si="0"/>
        <v/>
      </c>
      <c r="V18" s="17" t="str">
        <f t="shared" si="1"/>
        <v>OK</v>
      </c>
    </row>
    <row r="19" spans="1:22" ht="25.5" x14ac:dyDescent="0.25">
      <c r="A19" s="9">
        <v>15</v>
      </c>
      <c r="B19" s="9" t="s">
        <v>127</v>
      </c>
      <c r="C19" s="9" t="s">
        <v>43</v>
      </c>
      <c r="D19" s="10" t="s">
        <v>128</v>
      </c>
      <c r="E19" s="9" t="s">
        <v>86</v>
      </c>
      <c r="F19" s="9" t="s">
        <v>46</v>
      </c>
      <c r="G19" s="10" t="s">
        <v>129</v>
      </c>
      <c r="H19" s="9" t="s">
        <v>130</v>
      </c>
      <c r="I19" s="11">
        <v>14.137262</v>
      </c>
      <c r="J19" s="11">
        <v>107.889667</v>
      </c>
      <c r="K19" s="9" t="s">
        <v>89</v>
      </c>
      <c r="L19" s="10"/>
      <c r="M19" s="12" t="s">
        <v>51</v>
      </c>
      <c r="N19" s="13" t="s">
        <v>62</v>
      </c>
      <c r="O19" s="14">
        <v>14.136526</v>
      </c>
      <c r="P19" s="14">
        <v>107.889396</v>
      </c>
      <c r="Q19" s="13" t="s">
        <v>53</v>
      </c>
      <c r="R19" s="15" t="s">
        <v>54</v>
      </c>
      <c r="S19" s="13" t="s">
        <v>55</v>
      </c>
      <c r="T19" s="13" t="s">
        <v>131</v>
      </c>
      <c r="U19" s="16">
        <f t="shared" si="0"/>
        <v>86</v>
      </c>
      <c r="V19" s="17" t="str">
        <f t="shared" si="1"/>
        <v>OK</v>
      </c>
    </row>
    <row r="20" spans="1:22" ht="25.5" x14ac:dyDescent="0.25">
      <c r="A20" s="9">
        <v>16</v>
      </c>
      <c r="B20" s="9" t="s">
        <v>132</v>
      </c>
      <c r="C20" s="9" t="s">
        <v>43</v>
      </c>
      <c r="D20" s="10" t="s">
        <v>133</v>
      </c>
      <c r="E20" s="9" t="s">
        <v>86</v>
      </c>
      <c r="F20" s="9" t="s">
        <v>46</v>
      </c>
      <c r="G20" s="10" t="s">
        <v>134</v>
      </c>
      <c r="H20" s="9" t="s">
        <v>135</v>
      </c>
      <c r="I20" s="11">
        <v>14.14204</v>
      </c>
      <c r="J20" s="11">
        <v>108.59757999999999</v>
      </c>
      <c r="K20" s="9" t="s">
        <v>89</v>
      </c>
      <c r="L20" s="10"/>
      <c r="M20" s="12" t="s">
        <v>51</v>
      </c>
      <c r="N20" s="13" t="s">
        <v>62</v>
      </c>
      <c r="O20" s="14">
        <v>14.137458000000001</v>
      </c>
      <c r="P20" s="14">
        <v>108.599744</v>
      </c>
      <c r="Q20" s="13" t="s">
        <v>53</v>
      </c>
      <c r="R20" s="15" t="s">
        <v>54</v>
      </c>
      <c r="S20" s="13" t="s">
        <v>55</v>
      </c>
      <c r="T20" s="13" t="s">
        <v>136</v>
      </c>
      <c r="U20" s="16">
        <f t="shared" si="0"/>
        <v>558</v>
      </c>
      <c r="V20" s="17" t="str">
        <f t="shared" si="1"/>
        <v>OK</v>
      </c>
    </row>
    <row r="21" spans="1:22" ht="25.5" x14ac:dyDescent="0.25">
      <c r="A21" s="9">
        <v>17</v>
      </c>
      <c r="B21" s="9" t="s">
        <v>137</v>
      </c>
      <c r="C21" s="9" t="s">
        <v>43</v>
      </c>
      <c r="D21" s="10" t="s">
        <v>138</v>
      </c>
      <c r="E21" s="9" t="s">
        <v>86</v>
      </c>
      <c r="F21" s="9" t="s">
        <v>46</v>
      </c>
      <c r="G21" s="10" t="s">
        <v>139</v>
      </c>
      <c r="H21" s="9" t="s">
        <v>140</v>
      </c>
      <c r="I21" s="11">
        <v>13.777405</v>
      </c>
      <c r="J21" s="11">
        <v>108.524011</v>
      </c>
      <c r="K21" s="9" t="s">
        <v>89</v>
      </c>
      <c r="L21" s="10"/>
      <c r="M21" s="12" t="s">
        <v>51</v>
      </c>
      <c r="N21" s="13" t="s">
        <v>52</v>
      </c>
      <c r="O21" s="14"/>
      <c r="P21" s="14"/>
      <c r="Q21" s="13" t="s">
        <v>53</v>
      </c>
      <c r="R21" s="15" t="s">
        <v>54</v>
      </c>
      <c r="S21" s="13" t="s">
        <v>55</v>
      </c>
      <c r="T21" s="13" t="s">
        <v>141</v>
      </c>
      <c r="U21" s="16" t="str">
        <f t="shared" si="0"/>
        <v/>
      </c>
      <c r="V21" s="17" t="str">
        <f t="shared" si="1"/>
        <v>OK</v>
      </c>
    </row>
    <row r="22" spans="1:22" x14ac:dyDescent="0.25">
      <c r="A22" s="9">
        <v>18</v>
      </c>
      <c r="B22" s="9" t="s">
        <v>142</v>
      </c>
      <c r="C22" s="9" t="s">
        <v>43</v>
      </c>
      <c r="D22" s="10" t="s">
        <v>143</v>
      </c>
      <c r="E22" s="9" t="s">
        <v>45</v>
      </c>
      <c r="F22" s="9" t="s">
        <v>46</v>
      </c>
      <c r="G22" s="10" t="s">
        <v>144</v>
      </c>
      <c r="H22" s="9" t="s">
        <v>60</v>
      </c>
      <c r="I22" s="11">
        <v>13.9809</v>
      </c>
      <c r="J22" s="11">
        <v>108.0215</v>
      </c>
      <c r="K22" s="9" t="s">
        <v>89</v>
      </c>
      <c r="L22" s="10"/>
      <c r="M22" s="12" t="s">
        <v>51</v>
      </c>
      <c r="N22" s="13" t="s">
        <v>69</v>
      </c>
      <c r="O22" s="14"/>
      <c r="P22" s="14"/>
      <c r="Q22" s="13" t="s">
        <v>70</v>
      </c>
      <c r="R22" s="15" t="s">
        <v>54</v>
      </c>
      <c r="S22" s="13" t="s">
        <v>55</v>
      </c>
      <c r="T22" s="13" t="s">
        <v>145</v>
      </c>
      <c r="U22" s="16" t="str">
        <f t="shared" si="0"/>
        <v/>
      </c>
      <c r="V22" s="17" t="str">
        <f t="shared" si="1"/>
        <v>OK</v>
      </c>
    </row>
    <row r="23" spans="1:22" x14ac:dyDescent="0.25">
      <c r="A23" s="9">
        <v>19</v>
      </c>
      <c r="B23" s="9" t="s">
        <v>146</v>
      </c>
      <c r="C23" s="9" t="s">
        <v>43</v>
      </c>
      <c r="D23" s="10" t="s">
        <v>147</v>
      </c>
      <c r="E23" s="9" t="s">
        <v>45</v>
      </c>
      <c r="F23" s="9" t="s">
        <v>46</v>
      </c>
      <c r="G23" s="10" t="s">
        <v>148</v>
      </c>
      <c r="H23" s="9" t="s">
        <v>60</v>
      </c>
      <c r="I23" s="11">
        <v>13.972151</v>
      </c>
      <c r="J23" s="11">
        <v>108.022385</v>
      </c>
      <c r="K23" s="9" t="s">
        <v>89</v>
      </c>
      <c r="L23" s="10"/>
      <c r="M23" s="12" t="s">
        <v>51</v>
      </c>
      <c r="N23" s="13" t="s">
        <v>62</v>
      </c>
      <c r="O23" s="14">
        <v>14.128943</v>
      </c>
      <c r="P23" s="14">
        <v>108.05454899999999</v>
      </c>
      <c r="Q23" s="13" t="s">
        <v>53</v>
      </c>
      <c r="R23" s="15" t="s">
        <v>54</v>
      </c>
      <c r="S23" s="13" t="s">
        <v>55</v>
      </c>
      <c r="T23" s="13" t="s">
        <v>149</v>
      </c>
      <c r="U23" s="16">
        <f t="shared" si="0"/>
        <v>17677</v>
      </c>
      <c r="V23" s="17" t="str">
        <f t="shared" si="1"/>
        <v>OK</v>
      </c>
    </row>
    <row r="24" spans="1:22" ht="25.5" x14ac:dyDescent="0.25">
      <c r="A24" s="9">
        <v>20</v>
      </c>
      <c r="B24" s="9" t="s">
        <v>150</v>
      </c>
      <c r="C24" s="9" t="s">
        <v>43</v>
      </c>
      <c r="D24" s="10" t="s">
        <v>151</v>
      </c>
      <c r="E24" s="9" t="s">
        <v>45</v>
      </c>
      <c r="F24" s="9" t="s">
        <v>46</v>
      </c>
      <c r="G24" s="10" t="s">
        <v>152</v>
      </c>
      <c r="H24" s="9" t="s">
        <v>115</v>
      </c>
      <c r="I24" s="11">
        <v>14.034813</v>
      </c>
      <c r="J24" s="11">
        <v>107.996807</v>
      </c>
      <c r="K24" s="9" t="s">
        <v>89</v>
      </c>
      <c r="L24" s="10"/>
      <c r="M24" s="12" t="s">
        <v>51</v>
      </c>
      <c r="N24" s="13" t="s">
        <v>52</v>
      </c>
      <c r="O24" s="14"/>
      <c r="P24" s="14"/>
      <c r="Q24" s="13" t="s">
        <v>53</v>
      </c>
      <c r="R24" s="15" t="s">
        <v>54</v>
      </c>
      <c r="S24" s="13" t="s">
        <v>55</v>
      </c>
      <c r="T24" s="13" t="s">
        <v>153</v>
      </c>
      <c r="U24" s="16" t="str">
        <f t="shared" si="0"/>
        <v/>
      </c>
      <c r="V24" s="17" t="str">
        <f t="shared" si="1"/>
        <v>OK</v>
      </c>
    </row>
    <row r="25" spans="1:22" ht="25.5" x14ac:dyDescent="0.25">
      <c r="A25" s="9">
        <v>21</v>
      </c>
      <c r="B25" s="9" t="s">
        <v>154</v>
      </c>
      <c r="C25" s="9" t="s">
        <v>43</v>
      </c>
      <c r="D25" s="10" t="s">
        <v>155</v>
      </c>
      <c r="E25" s="9" t="s">
        <v>45</v>
      </c>
      <c r="F25" s="9" t="s">
        <v>46</v>
      </c>
      <c r="G25" s="10" t="s">
        <v>156</v>
      </c>
      <c r="H25" s="9" t="s">
        <v>157</v>
      </c>
      <c r="I25" s="11">
        <v>13.6852</v>
      </c>
      <c r="J25" s="11">
        <v>108.0813</v>
      </c>
      <c r="K25" s="9" t="s">
        <v>89</v>
      </c>
      <c r="L25" s="10"/>
      <c r="M25" s="12" t="s">
        <v>51</v>
      </c>
      <c r="N25" s="13" t="s">
        <v>69</v>
      </c>
      <c r="O25" s="14"/>
      <c r="P25" s="14"/>
      <c r="Q25" s="13" t="s">
        <v>70</v>
      </c>
      <c r="R25" s="15" t="s">
        <v>54</v>
      </c>
      <c r="S25" s="13" t="s">
        <v>55</v>
      </c>
      <c r="T25" s="13" t="s">
        <v>158</v>
      </c>
      <c r="U25" s="16" t="str">
        <f t="shared" si="0"/>
        <v/>
      </c>
      <c r="V25" s="17" t="str">
        <f t="shared" si="1"/>
        <v>OK</v>
      </c>
    </row>
    <row r="26" spans="1:22" x14ac:dyDescent="0.25">
      <c r="A26" s="9">
        <v>22</v>
      </c>
      <c r="B26" s="9" t="s">
        <v>159</v>
      </c>
      <c r="C26" s="9" t="s">
        <v>43</v>
      </c>
      <c r="D26" s="10" t="s">
        <v>160</v>
      </c>
      <c r="E26" s="9" t="s">
        <v>45</v>
      </c>
      <c r="F26" s="9" t="s">
        <v>46</v>
      </c>
      <c r="G26" s="10" t="s">
        <v>161</v>
      </c>
      <c r="H26" s="9" t="s">
        <v>125</v>
      </c>
      <c r="I26" s="11">
        <v>14.196199999999999</v>
      </c>
      <c r="J26" s="11">
        <v>107.8322</v>
      </c>
      <c r="K26" s="9" t="s">
        <v>89</v>
      </c>
      <c r="L26" s="10"/>
      <c r="M26" s="12" t="s">
        <v>51</v>
      </c>
      <c r="N26" s="13" t="s">
        <v>62</v>
      </c>
      <c r="O26" s="14">
        <v>14.227501</v>
      </c>
      <c r="P26" s="14">
        <v>107.829365</v>
      </c>
      <c r="Q26" s="13" t="s">
        <v>53</v>
      </c>
      <c r="R26" s="15" t="s">
        <v>54</v>
      </c>
      <c r="S26" s="13" t="s">
        <v>55</v>
      </c>
      <c r="T26" s="13" t="s">
        <v>162</v>
      </c>
      <c r="U26" s="16">
        <f t="shared" si="0"/>
        <v>3474</v>
      </c>
      <c r="V26" s="17" t="str">
        <f t="shared" si="1"/>
        <v>OK</v>
      </c>
    </row>
    <row r="27" spans="1:22" x14ac:dyDescent="0.25">
      <c r="A27" s="9">
        <v>23</v>
      </c>
      <c r="B27" s="9" t="s">
        <v>163</v>
      </c>
      <c r="C27" s="9" t="s">
        <v>43</v>
      </c>
      <c r="D27" s="10" t="s">
        <v>164</v>
      </c>
      <c r="E27" s="9" t="s">
        <v>45</v>
      </c>
      <c r="F27" s="9" t="s">
        <v>46</v>
      </c>
      <c r="G27" s="10" t="s">
        <v>165</v>
      </c>
      <c r="H27" s="9" t="s">
        <v>135</v>
      </c>
      <c r="I27" s="11">
        <v>14.190799999999999</v>
      </c>
      <c r="J27" s="11">
        <v>108.565</v>
      </c>
      <c r="K27" s="9" t="s">
        <v>89</v>
      </c>
      <c r="L27" s="10"/>
      <c r="M27" s="12" t="s">
        <v>51</v>
      </c>
      <c r="N27" s="13" t="s">
        <v>69</v>
      </c>
      <c r="O27" s="14"/>
      <c r="P27" s="14"/>
      <c r="Q27" s="13" t="s">
        <v>70</v>
      </c>
      <c r="R27" s="15" t="s">
        <v>54</v>
      </c>
      <c r="S27" s="13" t="s">
        <v>55</v>
      </c>
      <c r="T27" s="13" t="s">
        <v>166</v>
      </c>
      <c r="U27" s="16" t="str">
        <f t="shared" si="0"/>
        <v/>
      </c>
      <c r="V27" s="17" t="str">
        <f t="shared" si="1"/>
        <v>OK</v>
      </c>
    </row>
    <row r="28" spans="1:22" ht="25.5" x14ac:dyDescent="0.25">
      <c r="A28" s="9">
        <v>24</v>
      </c>
      <c r="B28" s="9" t="s">
        <v>167</v>
      </c>
      <c r="C28" s="9" t="s">
        <v>43</v>
      </c>
      <c r="D28" s="10" t="s">
        <v>168</v>
      </c>
      <c r="E28" s="9" t="s">
        <v>169</v>
      </c>
      <c r="F28" s="9" t="s">
        <v>46</v>
      </c>
      <c r="G28" s="10" t="s">
        <v>170</v>
      </c>
      <c r="H28" s="9" t="s">
        <v>60</v>
      </c>
      <c r="I28" s="11">
        <v>13.985172</v>
      </c>
      <c r="J28" s="11">
        <v>108.018771</v>
      </c>
      <c r="K28" s="9" t="s">
        <v>89</v>
      </c>
      <c r="L28" s="10"/>
      <c r="M28" s="12" t="s">
        <v>51</v>
      </c>
      <c r="N28" s="13" t="s">
        <v>52</v>
      </c>
      <c r="O28" s="14"/>
      <c r="P28" s="14"/>
      <c r="Q28" s="13" t="s">
        <v>53</v>
      </c>
      <c r="R28" s="15" t="s">
        <v>54</v>
      </c>
      <c r="S28" s="13" t="s">
        <v>55</v>
      </c>
      <c r="T28" s="13" t="s">
        <v>171</v>
      </c>
      <c r="U28" s="16" t="str">
        <f t="shared" si="0"/>
        <v/>
      </c>
      <c r="V28" s="17" t="str">
        <f t="shared" si="1"/>
        <v>OK</v>
      </c>
    </row>
    <row r="29" spans="1:22" ht="25.5" x14ac:dyDescent="0.25">
      <c r="A29" s="9">
        <v>25</v>
      </c>
      <c r="B29" s="9" t="s">
        <v>172</v>
      </c>
      <c r="C29" s="9" t="s">
        <v>43</v>
      </c>
      <c r="D29" s="10" t="s">
        <v>173</v>
      </c>
      <c r="E29" s="9" t="s">
        <v>169</v>
      </c>
      <c r="F29" s="9" t="s">
        <v>46</v>
      </c>
      <c r="G29" s="10" t="s">
        <v>174</v>
      </c>
      <c r="H29" s="9" t="s">
        <v>175</v>
      </c>
      <c r="I29" s="11">
        <v>13.996012</v>
      </c>
      <c r="J29" s="11">
        <v>107.986538</v>
      </c>
      <c r="K29" s="9" t="s">
        <v>89</v>
      </c>
      <c r="L29" s="10"/>
      <c r="M29" s="12" t="s">
        <v>51</v>
      </c>
      <c r="N29" s="13" t="s">
        <v>52</v>
      </c>
      <c r="O29" s="14"/>
      <c r="P29" s="14"/>
      <c r="Q29" s="13" t="s">
        <v>53</v>
      </c>
      <c r="R29" s="15" t="s">
        <v>54</v>
      </c>
      <c r="S29" s="13" t="s">
        <v>55</v>
      </c>
      <c r="T29" s="13" t="s">
        <v>176</v>
      </c>
      <c r="U29" s="16" t="str">
        <f t="shared" si="0"/>
        <v/>
      </c>
      <c r="V29" s="17" t="str">
        <f t="shared" si="1"/>
        <v>OK</v>
      </c>
    </row>
    <row r="30" spans="1:22" ht="25.5" x14ac:dyDescent="0.25">
      <c r="A30" s="9">
        <v>26</v>
      </c>
      <c r="B30" s="9" t="s">
        <v>177</v>
      </c>
      <c r="C30" s="9" t="s">
        <v>43</v>
      </c>
      <c r="D30" s="10" t="s">
        <v>178</v>
      </c>
      <c r="E30" s="9" t="s">
        <v>179</v>
      </c>
      <c r="F30" s="9" t="s">
        <v>46</v>
      </c>
      <c r="G30" s="10" t="s">
        <v>180</v>
      </c>
      <c r="H30" s="9" t="s">
        <v>181</v>
      </c>
      <c r="I30" s="11">
        <v>13.972776</v>
      </c>
      <c r="J30" s="11">
        <v>108.674779</v>
      </c>
      <c r="K30" s="9" t="s">
        <v>89</v>
      </c>
      <c r="L30" s="10"/>
      <c r="M30" s="12" t="s">
        <v>51</v>
      </c>
      <c r="N30" s="13" t="s">
        <v>52</v>
      </c>
      <c r="O30" s="14"/>
      <c r="P30" s="14"/>
      <c r="Q30" s="13" t="s">
        <v>53</v>
      </c>
      <c r="R30" s="15" t="s">
        <v>54</v>
      </c>
      <c r="S30" s="13" t="s">
        <v>55</v>
      </c>
      <c r="T30" s="13" t="s">
        <v>182</v>
      </c>
      <c r="U30" s="16" t="str">
        <f t="shared" si="0"/>
        <v/>
      </c>
      <c r="V30" s="17" t="str">
        <f t="shared" si="1"/>
        <v>OK</v>
      </c>
    </row>
    <row r="31" spans="1:22" ht="25.5" x14ac:dyDescent="0.25">
      <c r="A31" s="9">
        <v>27</v>
      </c>
      <c r="B31" s="9" t="s">
        <v>183</v>
      </c>
      <c r="C31" s="9" t="s">
        <v>43</v>
      </c>
      <c r="D31" s="10" t="s">
        <v>184</v>
      </c>
      <c r="E31" s="9" t="s">
        <v>179</v>
      </c>
      <c r="F31" s="9" t="s">
        <v>46</v>
      </c>
      <c r="G31" s="10" t="s">
        <v>185</v>
      </c>
      <c r="H31" s="9" t="s">
        <v>181</v>
      </c>
      <c r="I31" s="11">
        <v>13.951893</v>
      </c>
      <c r="J31" s="11">
        <v>108.658582</v>
      </c>
      <c r="K31" s="9" t="s">
        <v>89</v>
      </c>
      <c r="L31" s="10"/>
      <c r="M31" s="12" t="s">
        <v>51</v>
      </c>
      <c r="N31" s="13" t="s">
        <v>52</v>
      </c>
      <c r="O31" s="14"/>
      <c r="P31" s="14"/>
      <c r="Q31" s="13" t="s">
        <v>53</v>
      </c>
      <c r="R31" s="15" t="s">
        <v>54</v>
      </c>
      <c r="S31" s="13" t="s">
        <v>55</v>
      </c>
      <c r="T31" s="13" t="s">
        <v>186</v>
      </c>
      <c r="U31" s="16" t="str">
        <f t="shared" si="0"/>
        <v/>
      </c>
      <c r="V31" s="17" t="str">
        <f t="shared" si="1"/>
        <v>OK</v>
      </c>
    </row>
    <row r="32" spans="1:22" ht="25.5" x14ac:dyDescent="0.25">
      <c r="A32" s="9">
        <v>28</v>
      </c>
      <c r="B32" s="9" t="s">
        <v>187</v>
      </c>
      <c r="C32" s="9" t="s">
        <v>43</v>
      </c>
      <c r="D32" s="10" t="s">
        <v>188</v>
      </c>
      <c r="E32" s="9" t="s">
        <v>179</v>
      </c>
      <c r="F32" s="9" t="s">
        <v>46</v>
      </c>
      <c r="G32" s="10" t="s">
        <v>189</v>
      </c>
      <c r="H32" s="9" t="s">
        <v>181</v>
      </c>
      <c r="I32" s="11">
        <v>13.952169</v>
      </c>
      <c r="J32" s="11">
        <v>108.657763</v>
      </c>
      <c r="K32" s="9" t="s">
        <v>89</v>
      </c>
      <c r="L32" s="10"/>
      <c r="M32" s="12" t="s">
        <v>51</v>
      </c>
      <c r="N32" s="13" t="s">
        <v>52</v>
      </c>
      <c r="O32" s="14"/>
      <c r="P32" s="14"/>
      <c r="Q32" s="13" t="s">
        <v>53</v>
      </c>
      <c r="R32" s="15" t="s">
        <v>54</v>
      </c>
      <c r="S32" s="13" t="s">
        <v>55</v>
      </c>
      <c r="T32" s="13" t="s">
        <v>190</v>
      </c>
      <c r="U32" s="16" t="str">
        <f t="shared" si="0"/>
        <v/>
      </c>
      <c r="V32" s="17" t="str">
        <f t="shared" si="1"/>
        <v>OK</v>
      </c>
    </row>
    <row r="33" spans="1:22" ht="25.5" x14ac:dyDescent="0.25">
      <c r="A33" s="9">
        <v>29</v>
      </c>
      <c r="B33" s="9" t="s">
        <v>191</v>
      </c>
      <c r="C33" s="9" t="s">
        <v>43</v>
      </c>
      <c r="D33" s="10" t="s">
        <v>192</v>
      </c>
      <c r="E33" s="9" t="s">
        <v>179</v>
      </c>
      <c r="F33" s="9" t="s">
        <v>46</v>
      </c>
      <c r="G33" s="10" t="s">
        <v>193</v>
      </c>
      <c r="H33" s="9" t="s">
        <v>194</v>
      </c>
      <c r="I33" s="11">
        <v>13.97259</v>
      </c>
      <c r="J33" s="11">
        <v>108.031853</v>
      </c>
      <c r="K33" s="9" t="s">
        <v>89</v>
      </c>
      <c r="L33" s="10"/>
      <c r="M33" s="12" t="s">
        <v>51</v>
      </c>
      <c r="N33" s="13" t="s">
        <v>52</v>
      </c>
      <c r="O33" s="14"/>
      <c r="P33" s="14"/>
      <c r="Q33" s="13" t="s">
        <v>53</v>
      </c>
      <c r="R33" s="15" t="s">
        <v>54</v>
      </c>
      <c r="S33" s="13" t="s">
        <v>55</v>
      </c>
      <c r="T33" s="13" t="s">
        <v>195</v>
      </c>
      <c r="U33" s="16" t="str">
        <f t="shared" si="0"/>
        <v/>
      </c>
      <c r="V33" s="17" t="str">
        <f t="shared" si="1"/>
        <v>OK</v>
      </c>
    </row>
    <row r="34" spans="1:22" ht="25.5" x14ac:dyDescent="0.25">
      <c r="A34" s="9">
        <v>30</v>
      </c>
      <c r="B34" s="9" t="s">
        <v>196</v>
      </c>
      <c r="C34" s="9" t="s">
        <v>43</v>
      </c>
      <c r="D34" s="10" t="s">
        <v>197</v>
      </c>
      <c r="E34" s="9" t="s">
        <v>179</v>
      </c>
      <c r="F34" s="9" t="s">
        <v>46</v>
      </c>
      <c r="G34" s="10" t="s">
        <v>198</v>
      </c>
      <c r="H34" s="9" t="s">
        <v>199</v>
      </c>
      <c r="I34" s="11">
        <v>13.398173</v>
      </c>
      <c r="J34" s="11">
        <v>108.437923</v>
      </c>
      <c r="K34" s="9" t="s">
        <v>89</v>
      </c>
      <c r="L34" s="10"/>
      <c r="M34" s="12" t="s">
        <v>51</v>
      </c>
      <c r="N34" s="13" t="s">
        <v>52</v>
      </c>
      <c r="O34" s="14"/>
      <c r="P34" s="14"/>
      <c r="Q34" s="13" t="s">
        <v>53</v>
      </c>
      <c r="R34" s="15" t="s">
        <v>54</v>
      </c>
      <c r="S34" s="13" t="s">
        <v>55</v>
      </c>
      <c r="T34" s="13" t="s">
        <v>200</v>
      </c>
      <c r="U34" s="16" t="str">
        <f t="shared" si="0"/>
        <v/>
      </c>
      <c r="V34" s="17" t="str">
        <f t="shared" si="1"/>
        <v>OK</v>
      </c>
    </row>
    <row r="35" spans="1:22" ht="25.5" x14ac:dyDescent="0.25">
      <c r="A35" s="9">
        <v>31</v>
      </c>
      <c r="B35" s="9" t="s">
        <v>201</v>
      </c>
      <c r="C35" s="9" t="s">
        <v>43</v>
      </c>
      <c r="D35" s="10" t="s">
        <v>202</v>
      </c>
      <c r="E35" s="9" t="s">
        <v>179</v>
      </c>
      <c r="F35" s="9" t="s">
        <v>46</v>
      </c>
      <c r="G35" s="10" t="s">
        <v>203</v>
      </c>
      <c r="H35" s="9" t="s">
        <v>157</v>
      </c>
      <c r="I35" s="11">
        <v>13.690709999999999</v>
      </c>
      <c r="J35" s="11">
        <v>108.07865</v>
      </c>
      <c r="K35" s="9" t="s">
        <v>89</v>
      </c>
      <c r="L35" s="10"/>
      <c r="M35" s="12" t="s">
        <v>51</v>
      </c>
      <c r="N35" s="13" t="s">
        <v>52</v>
      </c>
      <c r="O35" s="14"/>
      <c r="P35" s="14"/>
      <c r="Q35" s="13" t="s">
        <v>53</v>
      </c>
      <c r="R35" s="15" t="s">
        <v>54</v>
      </c>
      <c r="S35" s="13" t="s">
        <v>55</v>
      </c>
      <c r="T35" s="13" t="s">
        <v>204</v>
      </c>
      <c r="U35" s="16" t="str">
        <f t="shared" si="0"/>
        <v/>
      </c>
      <c r="V35" s="17" t="str">
        <f t="shared" si="1"/>
        <v>OK</v>
      </c>
    </row>
    <row r="36" spans="1:22" ht="25.5" x14ac:dyDescent="0.25">
      <c r="A36" s="9">
        <v>32</v>
      </c>
      <c r="B36" s="9" t="s">
        <v>205</v>
      </c>
      <c r="C36" s="9" t="s">
        <v>43</v>
      </c>
      <c r="D36" s="10" t="s">
        <v>206</v>
      </c>
      <c r="E36" s="9" t="s">
        <v>179</v>
      </c>
      <c r="F36" s="9" t="s">
        <v>46</v>
      </c>
      <c r="G36" s="10" t="s">
        <v>207</v>
      </c>
      <c r="H36" s="9" t="s">
        <v>135</v>
      </c>
      <c r="I36" s="11">
        <v>14.142714</v>
      </c>
      <c r="J36" s="11">
        <v>108.603971</v>
      </c>
      <c r="K36" s="9" t="s">
        <v>89</v>
      </c>
      <c r="L36" s="10"/>
      <c r="M36" s="12" t="s">
        <v>51</v>
      </c>
      <c r="N36" s="13" t="s">
        <v>52</v>
      </c>
      <c r="O36" s="14"/>
      <c r="P36" s="14"/>
      <c r="Q36" s="13" t="s">
        <v>53</v>
      </c>
      <c r="R36" s="15" t="s">
        <v>54</v>
      </c>
      <c r="S36" s="13" t="s">
        <v>55</v>
      </c>
      <c r="T36" s="13" t="s">
        <v>208</v>
      </c>
      <c r="U36" s="16" t="str">
        <f t="shared" si="0"/>
        <v/>
      </c>
      <c r="V36" s="17" t="str">
        <f t="shared" si="1"/>
        <v>OK</v>
      </c>
    </row>
    <row r="37" spans="1:22" ht="25.5" x14ac:dyDescent="0.25">
      <c r="A37" s="9">
        <v>33</v>
      </c>
      <c r="B37" s="9" t="s">
        <v>209</v>
      </c>
      <c r="C37" s="9" t="s">
        <v>43</v>
      </c>
      <c r="D37" s="10" t="s">
        <v>210</v>
      </c>
      <c r="E37" s="9" t="s">
        <v>179</v>
      </c>
      <c r="F37" s="9" t="s">
        <v>46</v>
      </c>
      <c r="G37" s="10" t="s">
        <v>211</v>
      </c>
      <c r="H37" s="9" t="s">
        <v>212</v>
      </c>
      <c r="I37" s="11">
        <v>13.197214000000001</v>
      </c>
      <c r="J37" s="11">
        <v>108.686133</v>
      </c>
      <c r="K37" s="9" t="s">
        <v>89</v>
      </c>
      <c r="L37" s="10"/>
      <c r="M37" s="12" t="s">
        <v>51</v>
      </c>
      <c r="N37" s="13" t="s">
        <v>52</v>
      </c>
      <c r="O37" s="14"/>
      <c r="P37" s="14"/>
      <c r="Q37" s="13" t="s">
        <v>53</v>
      </c>
      <c r="R37" s="15" t="s">
        <v>54</v>
      </c>
      <c r="S37" s="13" t="s">
        <v>55</v>
      </c>
      <c r="T37" s="13" t="s">
        <v>213</v>
      </c>
      <c r="U37" s="16" t="str">
        <f t="shared" si="0"/>
        <v/>
      </c>
      <c r="V37" s="17" t="str">
        <f t="shared" si="1"/>
        <v>OK</v>
      </c>
    </row>
    <row r="38" spans="1:22" ht="25.5" x14ac:dyDescent="0.25">
      <c r="A38" s="9">
        <v>34</v>
      </c>
      <c r="B38" s="9" t="s">
        <v>214</v>
      </c>
      <c r="C38" s="9" t="s">
        <v>43</v>
      </c>
      <c r="D38" s="10" t="s">
        <v>215</v>
      </c>
      <c r="E38" s="9" t="s">
        <v>179</v>
      </c>
      <c r="F38" s="9" t="s">
        <v>46</v>
      </c>
      <c r="G38" s="10" t="s">
        <v>216</v>
      </c>
      <c r="H38" s="9" t="s">
        <v>217</v>
      </c>
      <c r="I38" s="11">
        <v>13.799481999999999</v>
      </c>
      <c r="J38" s="11">
        <v>107.692402</v>
      </c>
      <c r="K38" s="9" t="s">
        <v>89</v>
      </c>
      <c r="L38" s="10"/>
      <c r="M38" s="12" t="s">
        <v>51</v>
      </c>
      <c r="N38" s="13" t="s">
        <v>52</v>
      </c>
      <c r="O38" s="14"/>
      <c r="P38" s="14"/>
      <c r="Q38" s="13" t="s">
        <v>53</v>
      </c>
      <c r="R38" s="15" t="s">
        <v>54</v>
      </c>
      <c r="S38" s="13" t="s">
        <v>55</v>
      </c>
      <c r="T38" s="13" t="s">
        <v>218</v>
      </c>
      <c r="U38" s="16" t="str">
        <f t="shared" si="0"/>
        <v/>
      </c>
      <c r="V38" s="17" t="str">
        <f t="shared" si="1"/>
        <v>OK</v>
      </c>
    </row>
    <row r="39" spans="1:22" ht="25.5" x14ac:dyDescent="0.25">
      <c r="A39" s="9">
        <v>35</v>
      </c>
      <c r="B39" s="9" t="s">
        <v>219</v>
      </c>
      <c r="C39" s="9" t="s">
        <v>43</v>
      </c>
      <c r="D39" s="10" t="s">
        <v>220</v>
      </c>
      <c r="E39" s="9" t="s">
        <v>221</v>
      </c>
      <c r="F39" s="9" t="s">
        <v>46</v>
      </c>
      <c r="G39" s="10" t="s">
        <v>222</v>
      </c>
      <c r="H39" s="9" t="s">
        <v>181</v>
      </c>
      <c r="I39" s="11">
        <v>13.975384999999999</v>
      </c>
      <c r="J39" s="11">
        <v>108.671841</v>
      </c>
      <c r="K39" s="9" t="s">
        <v>89</v>
      </c>
      <c r="L39" s="10"/>
      <c r="M39" s="12" t="s">
        <v>51</v>
      </c>
      <c r="N39" s="13" t="s">
        <v>52</v>
      </c>
      <c r="O39" s="14"/>
      <c r="P39" s="14"/>
      <c r="Q39" s="13" t="s">
        <v>53</v>
      </c>
      <c r="R39" s="15" t="s">
        <v>54</v>
      </c>
      <c r="S39" s="13" t="s">
        <v>55</v>
      </c>
      <c r="T39" s="13" t="s">
        <v>223</v>
      </c>
      <c r="U39" s="16" t="str">
        <f t="shared" si="0"/>
        <v/>
      </c>
      <c r="V39" s="17" t="str">
        <f t="shared" si="1"/>
        <v>OK</v>
      </c>
    </row>
    <row r="40" spans="1:22" ht="25.5" x14ac:dyDescent="0.25">
      <c r="A40" s="9">
        <v>36</v>
      </c>
      <c r="B40" s="9" t="s">
        <v>224</v>
      </c>
      <c r="C40" s="9" t="s">
        <v>43</v>
      </c>
      <c r="D40" s="10" t="s">
        <v>225</v>
      </c>
      <c r="E40" s="9" t="s">
        <v>221</v>
      </c>
      <c r="F40" s="9" t="s">
        <v>46</v>
      </c>
      <c r="G40" s="10" t="s">
        <v>226</v>
      </c>
      <c r="H40" s="9" t="s">
        <v>181</v>
      </c>
      <c r="I40" s="11">
        <v>13.955465999999999</v>
      </c>
      <c r="J40" s="11">
        <v>108.66378899999999</v>
      </c>
      <c r="K40" s="9" t="s">
        <v>89</v>
      </c>
      <c r="L40" s="10"/>
      <c r="M40" s="12" t="s">
        <v>51</v>
      </c>
      <c r="N40" s="13" t="s">
        <v>52</v>
      </c>
      <c r="O40" s="14"/>
      <c r="P40" s="14"/>
      <c r="Q40" s="13" t="s">
        <v>53</v>
      </c>
      <c r="R40" s="15" t="s">
        <v>54</v>
      </c>
      <c r="S40" s="13" t="s">
        <v>55</v>
      </c>
      <c r="T40" s="13" t="s">
        <v>227</v>
      </c>
      <c r="U40" s="16" t="str">
        <f t="shared" si="0"/>
        <v/>
      </c>
      <c r="V40" s="17" t="str">
        <f t="shared" si="1"/>
        <v>OK</v>
      </c>
    </row>
    <row r="41" spans="1:22" ht="25.5" x14ac:dyDescent="0.25">
      <c r="A41" s="9">
        <v>37</v>
      </c>
      <c r="B41" s="9" t="s">
        <v>228</v>
      </c>
      <c r="C41" s="9" t="s">
        <v>43</v>
      </c>
      <c r="D41" s="10" t="s">
        <v>229</v>
      </c>
      <c r="E41" s="9" t="s">
        <v>221</v>
      </c>
      <c r="F41" s="9" t="s">
        <v>46</v>
      </c>
      <c r="G41" s="10" t="s">
        <v>230</v>
      </c>
      <c r="H41" s="9" t="s">
        <v>199</v>
      </c>
      <c r="I41" s="11">
        <v>13.409506</v>
      </c>
      <c r="J41" s="11">
        <v>108.441579</v>
      </c>
      <c r="K41" s="9" t="s">
        <v>89</v>
      </c>
      <c r="L41" s="10"/>
      <c r="M41" s="12" t="s">
        <v>51</v>
      </c>
      <c r="N41" s="13" t="s">
        <v>52</v>
      </c>
      <c r="O41" s="14"/>
      <c r="P41" s="14"/>
      <c r="Q41" s="13" t="s">
        <v>53</v>
      </c>
      <c r="R41" s="15" t="s">
        <v>54</v>
      </c>
      <c r="S41" s="13" t="s">
        <v>55</v>
      </c>
      <c r="T41" s="13" t="s">
        <v>231</v>
      </c>
      <c r="U41" s="16" t="str">
        <f t="shared" si="0"/>
        <v/>
      </c>
      <c r="V41" s="17" t="str">
        <f t="shared" si="1"/>
        <v>OK</v>
      </c>
    </row>
    <row r="42" spans="1:22" ht="25.5" x14ac:dyDescent="0.25">
      <c r="A42" s="9">
        <v>38</v>
      </c>
      <c r="B42" s="9" t="s">
        <v>232</v>
      </c>
      <c r="C42" s="9" t="s">
        <v>43</v>
      </c>
      <c r="D42" s="10" t="s">
        <v>233</v>
      </c>
      <c r="E42" s="9" t="s">
        <v>221</v>
      </c>
      <c r="F42" s="9" t="s">
        <v>46</v>
      </c>
      <c r="G42" s="10" t="s">
        <v>234</v>
      </c>
      <c r="H42" s="9" t="s">
        <v>199</v>
      </c>
      <c r="I42" s="11">
        <v>13.409596000000001</v>
      </c>
      <c r="J42" s="11">
        <v>108.44080200000001</v>
      </c>
      <c r="K42" s="9" t="s">
        <v>89</v>
      </c>
      <c r="L42" s="10"/>
      <c r="M42" s="12" t="s">
        <v>51</v>
      </c>
      <c r="N42" s="13" t="s">
        <v>52</v>
      </c>
      <c r="O42" s="14"/>
      <c r="P42" s="14"/>
      <c r="Q42" s="13" t="s">
        <v>53</v>
      </c>
      <c r="R42" s="15" t="s">
        <v>54</v>
      </c>
      <c r="S42" s="13" t="s">
        <v>55</v>
      </c>
      <c r="T42" s="13" t="s">
        <v>235</v>
      </c>
      <c r="U42" s="16" t="str">
        <f t="shared" si="0"/>
        <v/>
      </c>
      <c r="V42" s="17" t="str">
        <f t="shared" si="1"/>
        <v>OK</v>
      </c>
    </row>
    <row r="43" spans="1:22" ht="25.5" x14ac:dyDescent="0.25">
      <c r="A43" s="9">
        <v>39</v>
      </c>
      <c r="B43" s="9" t="s">
        <v>236</v>
      </c>
      <c r="C43" s="9" t="s">
        <v>43</v>
      </c>
      <c r="D43" s="10" t="s">
        <v>237</v>
      </c>
      <c r="E43" s="9" t="s">
        <v>221</v>
      </c>
      <c r="F43" s="9" t="s">
        <v>46</v>
      </c>
      <c r="G43" s="10" t="s">
        <v>238</v>
      </c>
      <c r="H43" s="9" t="s">
        <v>199</v>
      </c>
      <c r="I43" s="11">
        <v>13.426310000000001</v>
      </c>
      <c r="J43" s="11">
        <v>108.42699399999999</v>
      </c>
      <c r="K43" s="9" t="s">
        <v>89</v>
      </c>
      <c r="L43" s="10"/>
      <c r="M43" s="12" t="s">
        <v>51</v>
      </c>
      <c r="N43" s="13" t="s">
        <v>52</v>
      </c>
      <c r="O43" s="14"/>
      <c r="P43" s="14"/>
      <c r="Q43" s="13" t="s">
        <v>53</v>
      </c>
      <c r="R43" s="15" t="s">
        <v>54</v>
      </c>
      <c r="S43" s="13" t="s">
        <v>55</v>
      </c>
      <c r="T43" s="13" t="s">
        <v>239</v>
      </c>
      <c r="U43" s="16" t="str">
        <f t="shared" si="0"/>
        <v/>
      </c>
      <c r="V43" s="17" t="str">
        <f t="shared" si="1"/>
        <v>OK</v>
      </c>
    </row>
    <row r="44" spans="1:22" ht="25.5" x14ac:dyDescent="0.25">
      <c r="A44" s="9">
        <v>40</v>
      </c>
      <c r="B44" s="9" t="s">
        <v>240</v>
      </c>
      <c r="C44" s="9" t="s">
        <v>43</v>
      </c>
      <c r="D44" s="10" t="s">
        <v>241</v>
      </c>
      <c r="E44" s="9" t="s">
        <v>221</v>
      </c>
      <c r="F44" s="9" t="s">
        <v>46</v>
      </c>
      <c r="G44" s="10" t="s">
        <v>242</v>
      </c>
      <c r="H44" s="9" t="s">
        <v>88</v>
      </c>
      <c r="I44" s="11">
        <v>13.974527</v>
      </c>
      <c r="J44" s="11">
        <v>107.99811099999999</v>
      </c>
      <c r="K44" s="9" t="s">
        <v>89</v>
      </c>
      <c r="L44" s="10"/>
      <c r="M44" s="12" t="s">
        <v>51</v>
      </c>
      <c r="N44" s="13" t="s">
        <v>52</v>
      </c>
      <c r="O44" s="14"/>
      <c r="P44" s="14"/>
      <c r="Q44" s="13" t="s">
        <v>53</v>
      </c>
      <c r="R44" s="15" t="s">
        <v>54</v>
      </c>
      <c r="S44" s="13" t="s">
        <v>55</v>
      </c>
      <c r="T44" s="13" t="s">
        <v>243</v>
      </c>
      <c r="U44" s="16" t="str">
        <f t="shared" si="0"/>
        <v/>
      </c>
      <c r="V44" s="17" t="str">
        <f t="shared" si="1"/>
        <v>OK</v>
      </c>
    </row>
    <row r="45" spans="1:22" ht="25.5" x14ac:dyDescent="0.25">
      <c r="A45" s="9">
        <v>41</v>
      </c>
      <c r="B45" s="9" t="s">
        <v>244</v>
      </c>
      <c r="C45" s="9" t="s">
        <v>43</v>
      </c>
      <c r="D45" s="10" t="s">
        <v>245</v>
      </c>
      <c r="E45" s="9" t="s">
        <v>221</v>
      </c>
      <c r="F45" s="9" t="s">
        <v>46</v>
      </c>
      <c r="G45" s="10" t="s">
        <v>246</v>
      </c>
      <c r="H45" s="9" t="s">
        <v>48</v>
      </c>
      <c r="I45" s="11">
        <v>13.950514999999999</v>
      </c>
      <c r="J45" s="11">
        <v>108.014056</v>
      </c>
      <c r="K45" s="9" t="s">
        <v>89</v>
      </c>
      <c r="L45" s="10"/>
      <c r="M45" s="12" t="s">
        <v>51</v>
      </c>
      <c r="N45" s="13" t="s">
        <v>52</v>
      </c>
      <c r="O45" s="14"/>
      <c r="P45" s="14"/>
      <c r="Q45" s="13" t="s">
        <v>53</v>
      </c>
      <c r="R45" s="15" t="s">
        <v>54</v>
      </c>
      <c r="S45" s="13" t="s">
        <v>55</v>
      </c>
      <c r="T45" s="13" t="s">
        <v>247</v>
      </c>
      <c r="U45" s="16" t="str">
        <f t="shared" si="0"/>
        <v/>
      </c>
      <c r="V45" s="17" t="str">
        <f t="shared" si="1"/>
        <v>OK</v>
      </c>
    </row>
    <row r="46" spans="1:22" ht="25.5" x14ac:dyDescent="0.25">
      <c r="A46" s="9">
        <v>42</v>
      </c>
      <c r="B46" s="9" t="s">
        <v>248</v>
      </c>
      <c r="C46" s="9" t="s">
        <v>43</v>
      </c>
      <c r="D46" s="10" t="s">
        <v>249</v>
      </c>
      <c r="E46" s="9" t="s">
        <v>221</v>
      </c>
      <c r="F46" s="9" t="s">
        <v>46</v>
      </c>
      <c r="G46" s="10" t="s">
        <v>250</v>
      </c>
      <c r="H46" s="9" t="s">
        <v>48</v>
      </c>
      <c r="I46" s="11">
        <v>13.910494</v>
      </c>
      <c r="J46" s="11">
        <v>108.009658</v>
      </c>
      <c r="K46" s="9" t="s">
        <v>89</v>
      </c>
      <c r="L46" s="10"/>
      <c r="M46" s="12" t="s">
        <v>51</v>
      </c>
      <c r="N46" s="13" t="s">
        <v>52</v>
      </c>
      <c r="O46" s="14"/>
      <c r="P46" s="14"/>
      <c r="Q46" s="13" t="s">
        <v>53</v>
      </c>
      <c r="R46" s="15" t="s">
        <v>54</v>
      </c>
      <c r="S46" s="13" t="s">
        <v>55</v>
      </c>
      <c r="T46" s="13" t="s">
        <v>251</v>
      </c>
      <c r="U46" s="16" t="str">
        <f t="shared" si="0"/>
        <v/>
      </c>
      <c r="V46" s="17" t="str">
        <f t="shared" si="1"/>
        <v>OK</v>
      </c>
    </row>
    <row r="47" spans="1:22" ht="25.5" x14ac:dyDescent="0.25">
      <c r="A47" s="9">
        <v>43</v>
      </c>
      <c r="B47" s="9" t="s">
        <v>252</v>
      </c>
      <c r="C47" s="9" t="s">
        <v>43</v>
      </c>
      <c r="D47" s="10" t="s">
        <v>253</v>
      </c>
      <c r="E47" s="9" t="s">
        <v>221</v>
      </c>
      <c r="F47" s="9" t="s">
        <v>46</v>
      </c>
      <c r="G47" s="10" t="s">
        <v>254</v>
      </c>
      <c r="H47" s="9" t="s">
        <v>60</v>
      </c>
      <c r="I47" s="11">
        <v>13.967843999999999</v>
      </c>
      <c r="J47" s="11">
        <v>108.016891</v>
      </c>
      <c r="K47" s="9" t="s">
        <v>89</v>
      </c>
      <c r="L47" s="10"/>
      <c r="M47" s="12" t="s">
        <v>51</v>
      </c>
      <c r="N47" s="13" t="s">
        <v>52</v>
      </c>
      <c r="O47" s="14"/>
      <c r="P47" s="14"/>
      <c r="Q47" s="13" t="s">
        <v>53</v>
      </c>
      <c r="R47" s="15" t="s">
        <v>54</v>
      </c>
      <c r="S47" s="13" t="s">
        <v>55</v>
      </c>
      <c r="T47" s="13" t="s">
        <v>255</v>
      </c>
      <c r="U47" s="16" t="str">
        <f t="shared" si="0"/>
        <v/>
      </c>
      <c r="V47" s="17" t="str">
        <f t="shared" si="1"/>
        <v>OK</v>
      </c>
    </row>
    <row r="48" spans="1:22" ht="25.5" x14ac:dyDescent="0.25">
      <c r="A48" s="9">
        <v>44</v>
      </c>
      <c r="B48" s="9" t="s">
        <v>256</v>
      </c>
      <c r="C48" s="9" t="s">
        <v>43</v>
      </c>
      <c r="D48" s="10" t="s">
        <v>257</v>
      </c>
      <c r="E48" s="9" t="s">
        <v>221</v>
      </c>
      <c r="F48" s="9" t="s">
        <v>46</v>
      </c>
      <c r="G48" s="10" t="s">
        <v>258</v>
      </c>
      <c r="H48" s="9" t="s">
        <v>60</v>
      </c>
      <c r="I48" s="11">
        <v>13.984356999999999</v>
      </c>
      <c r="J48" s="11">
        <v>108.00875000000001</v>
      </c>
      <c r="K48" s="9" t="s">
        <v>89</v>
      </c>
      <c r="L48" s="10"/>
      <c r="M48" s="12" t="s">
        <v>51</v>
      </c>
      <c r="N48" s="13" t="s">
        <v>52</v>
      </c>
      <c r="O48" s="14"/>
      <c r="P48" s="14"/>
      <c r="Q48" s="13" t="s">
        <v>53</v>
      </c>
      <c r="R48" s="15" t="s">
        <v>54</v>
      </c>
      <c r="S48" s="13" t="s">
        <v>55</v>
      </c>
      <c r="T48" s="13" t="s">
        <v>259</v>
      </c>
      <c r="U48" s="16" t="str">
        <f t="shared" si="0"/>
        <v/>
      </c>
      <c r="V48" s="17" t="str">
        <f t="shared" si="1"/>
        <v>OK</v>
      </c>
    </row>
    <row r="49" spans="1:22" ht="25.5" x14ac:dyDescent="0.25">
      <c r="A49" s="9">
        <v>45</v>
      </c>
      <c r="B49" s="9" t="s">
        <v>260</v>
      </c>
      <c r="C49" s="9" t="s">
        <v>43</v>
      </c>
      <c r="D49" s="10" t="s">
        <v>261</v>
      </c>
      <c r="E49" s="9" t="s">
        <v>221</v>
      </c>
      <c r="F49" s="9" t="s">
        <v>46</v>
      </c>
      <c r="G49" s="10" t="s">
        <v>262</v>
      </c>
      <c r="H49" s="9" t="s">
        <v>110</v>
      </c>
      <c r="I49" s="11">
        <v>13.994021</v>
      </c>
      <c r="J49" s="11">
        <v>108.001402</v>
      </c>
      <c r="K49" s="9" t="s">
        <v>89</v>
      </c>
      <c r="L49" s="10"/>
      <c r="M49" s="12" t="s">
        <v>51</v>
      </c>
      <c r="N49" s="13" t="s">
        <v>52</v>
      </c>
      <c r="O49" s="14"/>
      <c r="P49" s="14"/>
      <c r="Q49" s="13" t="s">
        <v>53</v>
      </c>
      <c r="R49" s="15" t="s">
        <v>54</v>
      </c>
      <c r="S49" s="13" t="s">
        <v>55</v>
      </c>
      <c r="T49" s="13" t="s">
        <v>263</v>
      </c>
      <c r="U49" s="16" t="str">
        <f t="shared" si="0"/>
        <v/>
      </c>
      <c r="V49" s="17" t="str">
        <f t="shared" si="1"/>
        <v>OK</v>
      </c>
    </row>
    <row r="50" spans="1:22" ht="25.5" x14ac:dyDescent="0.25">
      <c r="A50" s="9">
        <v>46</v>
      </c>
      <c r="B50" s="9" t="s">
        <v>264</v>
      </c>
      <c r="C50" s="9" t="s">
        <v>43</v>
      </c>
      <c r="D50" s="10" t="s">
        <v>265</v>
      </c>
      <c r="E50" s="9" t="s">
        <v>221</v>
      </c>
      <c r="F50" s="9" t="s">
        <v>46</v>
      </c>
      <c r="G50" s="10" t="s">
        <v>266</v>
      </c>
      <c r="H50" s="9" t="s">
        <v>120</v>
      </c>
      <c r="I50" s="11">
        <v>13.760638</v>
      </c>
      <c r="J50" s="11">
        <v>107.887069</v>
      </c>
      <c r="K50" s="9" t="s">
        <v>89</v>
      </c>
      <c r="L50" s="10"/>
      <c r="M50" s="12" t="s">
        <v>51</v>
      </c>
      <c r="N50" s="13" t="s">
        <v>52</v>
      </c>
      <c r="O50" s="14"/>
      <c r="P50" s="14"/>
      <c r="Q50" s="13" t="s">
        <v>53</v>
      </c>
      <c r="R50" s="15" t="s">
        <v>54</v>
      </c>
      <c r="S50" s="13" t="s">
        <v>55</v>
      </c>
      <c r="T50" s="13" t="s">
        <v>267</v>
      </c>
      <c r="U50" s="16" t="str">
        <f t="shared" si="0"/>
        <v/>
      </c>
      <c r="V50" s="17" t="str">
        <f t="shared" si="1"/>
        <v>OK</v>
      </c>
    </row>
    <row r="51" spans="1:22" ht="25.5" x14ac:dyDescent="0.25">
      <c r="A51" s="9">
        <v>47</v>
      </c>
      <c r="B51" s="9" t="s">
        <v>268</v>
      </c>
      <c r="C51" s="9" t="s">
        <v>43</v>
      </c>
      <c r="D51" s="10" t="s">
        <v>269</v>
      </c>
      <c r="E51" s="9" t="s">
        <v>221</v>
      </c>
      <c r="F51" s="9" t="s">
        <v>46</v>
      </c>
      <c r="G51" s="10" t="s">
        <v>270</v>
      </c>
      <c r="H51" s="9" t="s">
        <v>157</v>
      </c>
      <c r="I51" s="11">
        <v>13.722132999999999</v>
      </c>
      <c r="J51" s="11">
        <v>108.064167</v>
      </c>
      <c r="K51" s="9" t="s">
        <v>89</v>
      </c>
      <c r="L51" s="10"/>
      <c r="M51" s="12" t="s">
        <v>51</v>
      </c>
      <c r="N51" s="13" t="s">
        <v>52</v>
      </c>
      <c r="O51" s="14"/>
      <c r="P51" s="14"/>
      <c r="Q51" s="13" t="s">
        <v>53</v>
      </c>
      <c r="R51" s="15" t="s">
        <v>54</v>
      </c>
      <c r="S51" s="13" t="s">
        <v>55</v>
      </c>
      <c r="T51" s="13" t="s">
        <v>271</v>
      </c>
      <c r="U51" s="16" t="str">
        <f t="shared" si="0"/>
        <v/>
      </c>
      <c r="V51" s="17" t="str">
        <f t="shared" si="1"/>
        <v>OK</v>
      </c>
    </row>
    <row r="52" spans="1:22" ht="25.5" x14ac:dyDescent="0.25">
      <c r="A52" s="9">
        <v>48</v>
      </c>
      <c r="B52" s="9" t="s">
        <v>272</v>
      </c>
      <c r="C52" s="9" t="s">
        <v>43</v>
      </c>
      <c r="D52" s="10" t="s">
        <v>273</v>
      </c>
      <c r="E52" s="9" t="s">
        <v>221</v>
      </c>
      <c r="F52" s="9" t="s">
        <v>46</v>
      </c>
      <c r="G52" s="10" t="s">
        <v>274</v>
      </c>
      <c r="H52" s="9" t="s">
        <v>157</v>
      </c>
      <c r="I52" s="11">
        <v>13.697988</v>
      </c>
      <c r="J52" s="11">
        <v>108.071398</v>
      </c>
      <c r="K52" s="9" t="s">
        <v>89</v>
      </c>
      <c r="L52" s="10"/>
      <c r="M52" s="12" t="s">
        <v>51</v>
      </c>
      <c r="N52" s="13" t="s">
        <v>52</v>
      </c>
      <c r="O52" s="14"/>
      <c r="P52" s="14"/>
      <c r="Q52" s="13" t="s">
        <v>53</v>
      </c>
      <c r="R52" s="15" t="s">
        <v>54</v>
      </c>
      <c r="S52" s="13" t="s">
        <v>55</v>
      </c>
      <c r="T52" s="13" t="s">
        <v>275</v>
      </c>
      <c r="U52" s="16" t="str">
        <f t="shared" si="0"/>
        <v/>
      </c>
      <c r="V52" s="17" t="str">
        <f t="shared" si="1"/>
        <v>OK</v>
      </c>
    </row>
    <row r="53" spans="1:22" ht="25.5" x14ac:dyDescent="0.25">
      <c r="A53" s="9">
        <v>49</v>
      </c>
      <c r="B53" s="9" t="s">
        <v>276</v>
      </c>
      <c r="C53" s="9" t="s">
        <v>43</v>
      </c>
      <c r="D53" s="10" t="s">
        <v>277</v>
      </c>
      <c r="E53" s="9" t="s">
        <v>221</v>
      </c>
      <c r="F53" s="9" t="s">
        <v>46</v>
      </c>
      <c r="G53" s="10" t="s">
        <v>278</v>
      </c>
      <c r="H53" s="9" t="s">
        <v>157</v>
      </c>
      <c r="I53" s="11">
        <v>13.671696000000001</v>
      </c>
      <c r="J53" s="11">
        <v>108.088472</v>
      </c>
      <c r="K53" s="9" t="s">
        <v>89</v>
      </c>
      <c r="L53" s="10"/>
      <c r="M53" s="12" t="s">
        <v>51</v>
      </c>
      <c r="N53" s="13" t="s">
        <v>52</v>
      </c>
      <c r="O53" s="14"/>
      <c r="P53" s="14"/>
      <c r="Q53" s="13" t="s">
        <v>53</v>
      </c>
      <c r="R53" s="15" t="s">
        <v>54</v>
      </c>
      <c r="S53" s="13" t="s">
        <v>55</v>
      </c>
      <c r="T53" s="13" t="s">
        <v>279</v>
      </c>
      <c r="U53" s="16" t="str">
        <f t="shared" si="0"/>
        <v/>
      </c>
      <c r="V53" s="17" t="str">
        <f t="shared" si="1"/>
        <v>OK</v>
      </c>
    </row>
    <row r="54" spans="1:22" ht="25.5" x14ac:dyDescent="0.25">
      <c r="A54" s="9">
        <v>50</v>
      </c>
      <c r="B54" s="9" t="s">
        <v>280</v>
      </c>
      <c r="C54" s="9" t="s">
        <v>43</v>
      </c>
      <c r="D54" s="10" t="s">
        <v>281</v>
      </c>
      <c r="E54" s="9" t="s">
        <v>221</v>
      </c>
      <c r="F54" s="9" t="s">
        <v>46</v>
      </c>
      <c r="G54" s="10" t="s">
        <v>282</v>
      </c>
      <c r="H54" s="9" t="s">
        <v>217</v>
      </c>
      <c r="I54" s="11">
        <v>13.812252000000001</v>
      </c>
      <c r="J54" s="11">
        <v>107.705591</v>
      </c>
      <c r="K54" s="9" t="s">
        <v>89</v>
      </c>
      <c r="L54" s="10"/>
      <c r="M54" s="12" t="s">
        <v>51</v>
      </c>
      <c r="N54" s="13" t="s">
        <v>52</v>
      </c>
      <c r="O54" s="14"/>
      <c r="P54" s="14"/>
      <c r="Q54" s="13" t="s">
        <v>53</v>
      </c>
      <c r="R54" s="15" t="s">
        <v>54</v>
      </c>
      <c r="S54" s="13" t="s">
        <v>55</v>
      </c>
      <c r="T54" s="13" t="s">
        <v>283</v>
      </c>
      <c r="U54" s="16" t="str">
        <f t="shared" si="0"/>
        <v/>
      </c>
      <c r="V54" s="17" t="str">
        <f t="shared" si="1"/>
        <v>OK</v>
      </c>
    </row>
    <row r="55" spans="1:22" ht="25.5" x14ac:dyDescent="0.25">
      <c r="A55" s="9">
        <v>51</v>
      </c>
      <c r="B55" s="9" t="s">
        <v>284</v>
      </c>
      <c r="C55" s="9" t="s">
        <v>43</v>
      </c>
      <c r="D55" s="10" t="s">
        <v>285</v>
      </c>
      <c r="E55" s="9" t="s">
        <v>74</v>
      </c>
      <c r="F55" s="9" t="s">
        <v>46</v>
      </c>
      <c r="G55" s="10" t="s">
        <v>286</v>
      </c>
      <c r="H55" s="9" t="s">
        <v>60</v>
      </c>
      <c r="I55" s="11">
        <v>13.9793</v>
      </c>
      <c r="J55" s="11">
        <v>108.0125</v>
      </c>
      <c r="K55" s="9" t="s">
        <v>89</v>
      </c>
      <c r="L55" s="10"/>
      <c r="M55" s="12" t="s">
        <v>51</v>
      </c>
      <c r="N55" s="13" t="s">
        <v>62</v>
      </c>
      <c r="O55" s="14">
        <v>13.985094999999999</v>
      </c>
      <c r="P55" s="14">
        <v>108.005847</v>
      </c>
      <c r="Q55" s="13" t="s">
        <v>53</v>
      </c>
      <c r="R55" s="15" t="s">
        <v>54</v>
      </c>
      <c r="S55" s="13" t="s">
        <v>55</v>
      </c>
      <c r="T55" s="13" t="s">
        <v>287</v>
      </c>
      <c r="U55" s="16">
        <f t="shared" si="0"/>
        <v>963</v>
      </c>
      <c r="V55" s="17" t="str">
        <f t="shared" si="1"/>
        <v>OK</v>
      </c>
    </row>
    <row r="56" spans="1:22" ht="25.5" x14ac:dyDescent="0.25">
      <c r="A56" s="9">
        <v>52</v>
      </c>
      <c r="B56" s="9" t="s">
        <v>288</v>
      </c>
      <c r="C56" s="9" t="s">
        <v>43</v>
      </c>
      <c r="D56" s="10" t="s">
        <v>289</v>
      </c>
      <c r="E56" s="9" t="s">
        <v>74</v>
      </c>
      <c r="F56" s="9" t="s">
        <v>46</v>
      </c>
      <c r="G56" s="10" t="s">
        <v>290</v>
      </c>
      <c r="H56" s="9" t="s">
        <v>60</v>
      </c>
      <c r="I56" s="11">
        <v>13.983700000000001</v>
      </c>
      <c r="J56" s="11">
        <v>108.03449999999999</v>
      </c>
      <c r="K56" s="9" t="s">
        <v>89</v>
      </c>
      <c r="L56" s="10"/>
      <c r="M56" s="12" t="s">
        <v>51</v>
      </c>
      <c r="N56" s="13" t="s">
        <v>62</v>
      </c>
      <c r="O56" s="14">
        <v>14.06597</v>
      </c>
      <c r="P56" s="14">
        <v>108.013462</v>
      </c>
      <c r="Q56" s="13" t="s">
        <v>53</v>
      </c>
      <c r="R56" s="15" t="s">
        <v>54</v>
      </c>
      <c r="S56" s="13" t="s">
        <v>55</v>
      </c>
      <c r="T56" s="13" t="s">
        <v>291</v>
      </c>
      <c r="U56" s="16">
        <f t="shared" si="0"/>
        <v>9374</v>
      </c>
      <c r="V56" s="17" t="str">
        <f t="shared" si="1"/>
        <v>OK</v>
      </c>
    </row>
    <row r="57" spans="1:22" ht="38.25" x14ac:dyDescent="0.25">
      <c r="A57" s="9">
        <v>53</v>
      </c>
      <c r="B57" s="9" t="s">
        <v>292</v>
      </c>
      <c r="C57" s="9" t="s">
        <v>43</v>
      </c>
      <c r="D57" s="10" t="s">
        <v>293</v>
      </c>
      <c r="E57" s="9" t="s">
        <v>74</v>
      </c>
      <c r="F57" s="9" t="s">
        <v>46</v>
      </c>
      <c r="G57" s="10" t="s">
        <v>294</v>
      </c>
      <c r="H57" s="9" t="s">
        <v>60</v>
      </c>
      <c r="I57" s="11">
        <v>13.964964</v>
      </c>
      <c r="J57" s="11">
        <v>108.006275</v>
      </c>
      <c r="K57" s="9" t="s">
        <v>89</v>
      </c>
      <c r="L57" s="10"/>
      <c r="M57" s="12" t="s">
        <v>51</v>
      </c>
      <c r="N57" s="13" t="s">
        <v>62</v>
      </c>
      <c r="O57" s="14">
        <v>13.966139</v>
      </c>
      <c r="P57" s="14">
        <v>108.004985</v>
      </c>
      <c r="Q57" s="13" t="s">
        <v>53</v>
      </c>
      <c r="R57" s="15" t="s">
        <v>54</v>
      </c>
      <c r="S57" s="13" t="s">
        <v>55</v>
      </c>
      <c r="T57" s="13" t="s">
        <v>295</v>
      </c>
      <c r="U57" s="16">
        <f t="shared" si="0"/>
        <v>191</v>
      </c>
      <c r="V57" s="17" t="str">
        <f t="shared" si="1"/>
        <v>OK</v>
      </c>
    </row>
    <row r="58" spans="1:22" ht="25.5" x14ac:dyDescent="0.25">
      <c r="A58" s="9">
        <v>54</v>
      </c>
      <c r="B58" s="9" t="s">
        <v>296</v>
      </c>
      <c r="C58" s="9" t="s">
        <v>43</v>
      </c>
      <c r="D58" s="10" t="s">
        <v>297</v>
      </c>
      <c r="E58" s="9" t="s">
        <v>74</v>
      </c>
      <c r="F58" s="9" t="s">
        <v>46</v>
      </c>
      <c r="G58" s="10" t="s">
        <v>298</v>
      </c>
      <c r="H58" s="9" t="s">
        <v>60</v>
      </c>
      <c r="I58" s="11">
        <v>13.9764</v>
      </c>
      <c r="J58" s="11">
        <v>108.0082</v>
      </c>
      <c r="K58" s="9" t="s">
        <v>89</v>
      </c>
      <c r="L58" s="10"/>
      <c r="M58" s="12" t="s">
        <v>51</v>
      </c>
      <c r="N58" s="13" t="s">
        <v>69</v>
      </c>
      <c r="O58" s="14"/>
      <c r="P58" s="14"/>
      <c r="Q58" s="13" t="s">
        <v>70</v>
      </c>
      <c r="R58" s="15" t="s">
        <v>54</v>
      </c>
      <c r="S58" s="13" t="s">
        <v>55</v>
      </c>
      <c r="T58" s="13" t="s">
        <v>299</v>
      </c>
      <c r="U58" s="16" t="str">
        <f t="shared" si="0"/>
        <v/>
      </c>
      <c r="V58" s="17" t="str">
        <f t="shared" si="1"/>
        <v>OK</v>
      </c>
    </row>
    <row r="59" spans="1:22" x14ac:dyDescent="0.25">
      <c r="A59" s="9">
        <v>55</v>
      </c>
      <c r="B59" s="9" t="s">
        <v>300</v>
      </c>
      <c r="C59" s="9" t="s">
        <v>43</v>
      </c>
      <c r="D59" s="10" t="s">
        <v>301</v>
      </c>
      <c r="E59" s="9" t="s">
        <v>74</v>
      </c>
      <c r="F59" s="9" t="s">
        <v>46</v>
      </c>
      <c r="G59" s="10" t="s">
        <v>302</v>
      </c>
      <c r="H59" s="9" t="s">
        <v>60</v>
      </c>
      <c r="I59" s="11">
        <v>13.987299999999999</v>
      </c>
      <c r="J59" s="11">
        <v>108.0158</v>
      </c>
      <c r="K59" s="9" t="s">
        <v>89</v>
      </c>
      <c r="L59" s="10"/>
      <c r="M59" s="12" t="s">
        <v>51</v>
      </c>
      <c r="N59" s="13" t="s">
        <v>69</v>
      </c>
      <c r="O59" s="14"/>
      <c r="P59" s="14"/>
      <c r="Q59" s="13" t="s">
        <v>70</v>
      </c>
      <c r="R59" s="15" t="s">
        <v>54</v>
      </c>
      <c r="S59" s="13" t="s">
        <v>55</v>
      </c>
      <c r="T59" s="13" t="s">
        <v>303</v>
      </c>
      <c r="U59" s="16" t="str">
        <f t="shared" si="0"/>
        <v/>
      </c>
      <c r="V59" s="17" t="str">
        <f t="shared" si="1"/>
        <v>OK</v>
      </c>
    </row>
    <row r="60" spans="1:22" x14ac:dyDescent="0.25">
      <c r="A60" s="9">
        <v>56</v>
      </c>
      <c r="B60" s="9" t="s">
        <v>304</v>
      </c>
      <c r="C60" s="9" t="s">
        <v>43</v>
      </c>
      <c r="D60" s="10" t="s">
        <v>305</v>
      </c>
      <c r="E60" s="9" t="s">
        <v>306</v>
      </c>
      <c r="F60" s="9" t="s">
        <v>46</v>
      </c>
      <c r="G60" s="10" t="s">
        <v>307</v>
      </c>
      <c r="H60" s="9" t="s">
        <v>181</v>
      </c>
      <c r="I60" s="11">
        <v>13.985799999999999</v>
      </c>
      <c r="J60" s="11">
        <v>108.6712</v>
      </c>
      <c r="K60" s="9" t="s">
        <v>89</v>
      </c>
      <c r="L60" s="10"/>
      <c r="M60" s="12" t="s">
        <v>51</v>
      </c>
      <c r="N60" s="13" t="s">
        <v>62</v>
      </c>
      <c r="O60" s="14">
        <v>13.995488</v>
      </c>
      <c r="P60" s="14">
        <v>108.676945</v>
      </c>
      <c r="Q60" s="13" t="s">
        <v>53</v>
      </c>
      <c r="R60" s="15" t="s">
        <v>54</v>
      </c>
      <c r="S60" s="13" t="s">
        <v>55</v>
      </c>
      <c r="T60" s="13" t="s">
        <v>308</v>
      </c>
      <c r="U60" s="16">
        <f t="shared" si="0"/>
        <v>1238</v>
      </c>
      <c r="V60" s="17" t="str">
        <f t="shared" si="1"/>
        <v>OK</v>
      </c>
    </row>
    <row r="61" spans="1:22" x14ac:dyDescent="0.25">
      <c r="A61" s="9">
        <v>57</v>
      </c>
      <c r="B61" s="9" t="s">
        <v>309</v>
      </c>
      <c r="C61" s="9" t="s">
        <v>43</v>
      </c>
      <c r="D61" s="10" t="s">
        <v>310</v>
      </c>
      <c r="E61" s="9" t="s">
        <v>306</v>
      </c>
      <c r="F61" s="9" t="s">
        <v>46</v>
      </c>
      <c r="G61" s="10" t="s">
        <v>311</v>
      </c>
      <c r="H61" s="9" t="s">
        <v>60</v>
      </c>
      <c r="I61" s="11">
        <v>13.9856</v>
      </c>
      <c r="J61" s="11">
        <v>108.0098</v>
      </c>
      <c r="K61" s="9" t="s">
        <v>89</v>
      </c>
      <c r="L61" s="10"/>
      <c r="M61" s="12" t="s">
        <v>51</v>
      </c>
      <c r="N61" s="13" t="s">
        <v>69</v>
      </c>
      <c r="O61" s="14"/>
      <c r="P61" s="14"/>
      <c r="Q61" s="13" t="s">
        <v>70</v>
      </c>
      <c r="R61" s="15" t="s">
        <v>54</v>
      </c>
      <c r="S61" s="13" t="s">
        <v>55</v>
      </c>
      <c r="T61" s="13" t="s">
        <v>312</v>
      </c>
      <c r="U61" s="16" t="str">
        <f t="shared" si="0"/>
        <v/>
      </c>
      <c r="V61" s="17" t="str">
        <f t="shared" si="1"/>
        <v>OK</v>
      </c>
    </row>
    <row r="62" spans="1:22" ht="25.5" x14ac:dyDescent="0.25">
      <c r="A62" s="9">
        <v>58</v>
      </c>
      <c r="B62" s="9" t="s">
        <v>313</v>
      </c>
      <c r="C62" s="9" t="s">
        <v>43</v>
      </c>
      <c r="D62" s="10" t="s">
        <v>314</v>
      </c>
      <c r="E62" s="9" t="s">
        <v>306</v>
      </c>
      <c r="F62" s="9" t="s">
        <v>46</v>
      </c>
      <c r="G62" s="10" t="s">
        <v>315</v>
      </c>
      <c r="H62" s="9" t="s">
        <v>120</v>
      </c>
      <c r="I62" s="11">
        <v>13.764900000000001</v>
      </c>
      <c r="J62" s="11">
        <v>107.89579999999999</v>
      </c>
      <c r="K62" s="9" t="s">
        <v>89</v>
      </c>
      <c r="L62" s="10"/>
      <c r="M62" s="12" t="s">
        <v>51</v>
      </c>
      <c r="N62" s="13" t="s">
        <v>69</v>
      </c>
      <c r="O62" s="14"/>
      <c r="P62" s="14"/>
      <c r="Q62" s="13" t="s">
        <v>70</v>
      </c>
      <c r="R62" s="15" t="s">
        <v>54</v>
      </c>
      <c r="S62" s="13" t="s">
        <v>55</v>
      </c>
      <c r="T62" s="13" t="s">
        <v>316</v>
      </c>
      <c r="U62" s="16" t="str">
        <f t="shared" si="0"/>
        <v/>
      </c>
      <c r="V62" s="17" t="str">
        <f t="shared" si="1"/>
        <v>OK</v>
      </c>
    </row>
    <row r="63" spans="1:22" ht="25.5" x14ac:dyDescent="0.25">
      <c r="A63" s="9">
        <v>59</v>
      </c>
      <c r="B63" s="9" t="s">
        <v>317</v>
      </c>
      <c r="C63" s="9" t="s">
        <v>43</v>
      </c>
      <c r="D63" s="10" t="s">
        <v>318</v>
      </c>
      <c r="E63" s="9" t="s">
        <v>306</v>
      </c>
      <c r="F63" s="9" t="s">
        <v>46</v>
      </c>
      <c r="G63" s="10" t="s">
        <v>319</v>
      </c>
      <c r="H63" s="9" t="s">
        <v>320</v>
      </c>
      <c r="I63" s="11">
        <v>14.031499999999999</v>
      </c>
      <c r="J63" s="11">
        <v>108.2398</v>
      </c>
      <c r="K63" s="9" t="s">
        <v>89</v>
      </c>
      <c r="L63" s="10"/>
      <c r="M63" s="12" t="s">
        <v>51</v>
      </c>
      <c r="N63" s="13" t="s">
        <v>69</v>
      </c>
      <c r="O63" s="14"/>
      <c r="P63" s="14"/>
      <c r="Q63" s="13" t="s">
        <v>70</v>
      </c>
      <c r="R63" s="15" t="s">
        <v>54</v>
      </c>
      <c r="S63" s="13" t="s">
        <v>55</v>
      </c>
      <c r="T63" s="13" t="s">
        <v>321</v>
      </c>
      <c r="U63" s="16" t="str">
        <f t="shared" si="0"/>
        <v/>
      </c>
      <c r="V63" s="17" t="str">
        <f t="shared" si="1"/>
        <v>OK</v>
      </c>
    </row>
    <row r="64" spans="1:22" x14ac:dyDescent="0.25">
      <c r="A64" s="9">
        <v>60</v>
      </c>
      <c r="B64" s="9" t="s">
        <v>322</v>
      </c>
      <c r="C64" s="9" t="s">
        <v>323</v>
      </c>
      <c r="D64" s="10" t="s">
        <v>324</v>
      </c>
      <c r="E64" s="9" t="s">
        <v>325</v>
      </c>
      <c r="F64" s="9" t="s">
        <v>326</v>
      </c>
      <c r="G64" s="10" t="s">
        <v>327</v>
      </c>
      <c r="H64" s="9" t="s">
        <v>328</v>
      </c>
      <c r="I64" s="11">
        <v>13.779007999999999</v>
      </c>
      <c r="J64" s="11">
        <v>109.225337</v>
      </c>
      <c r="K64" s="9" t="s">
        <v>329</v>
      </c>
      <c r="L64" s="10"/>
      <c r="M64" s="12" t="s">
        <v>51</v>
      </c>
      <c r="N64" s="13" t="s">
        <v>69</v>
      </c>
      <c r="O64" s="14"/>
      <c r="P64" s="14"/>
      <c r="Q64" s="13" t="s">
        <v>70</v>
      </c>
      <c r="R64" s="15" t="s">
        <v>54</v>
      </c>
      <c r="S64" s="13" t="s">
        <v>55</v>
      </c>
      <c r="T64" s="13" t="s">
        <v>330</v>
      </c>
      <c r="U64" s="16" t="str">
        <f t="shared" si="0"/>
        <v/>
      </c>
      <c r="V64" s="17" t="str">
        <f t="shared" si="1"/>
        <v>OK</v>
      </c>
    </row>
    <row r="65" spans="1:22" x14ac:dyDescent="0.25">
      <c r="A65" s="9">
        <v>61</v>
      </c>
      <c r="B65" s="9" t="s">
        <v>331</v>
      </c>
      <c r="C65" s="9" t="s">
        <v>323</v>
      </c>
      <c r="D65" s="10" t="s">
        <v>332</v>
      </c>
      <c r="E65" s="9" t="s">
        <v>325</v>
      </c>
      <c r="F65" s="9" t="s">
        <v>326</v>
      </c>
      <c r="G65" s="10" t="s">
        <v>333</v>
      </c>
      <c r="H65" s="9" t="s">
        <v>334</v>
      </c>
      <c r="I65" s="11">
        <v>13.756938999999999</v>
      </c>
      <c r="J65" s="11">
        <v>109.218009</v>
      </c>
      <c r="K65" s="9" t="s">
        <v>329</v>
      </c>
      <c r="L65" s="10"/>
      <c r="M65" s="12" t="s">
        <v>51</v>
      </c>
      <c r="N65" s="13" t="s">
        <v>69</v>
      </c>
      <c r="O65" s="14"/>
      <c r="P65" s="14"/>
      <c r="Q65" s="13" t="s">
        <v>70</v>
      </c>
      <c r="R65" s="15" t="s">
        <v>54</v>
      </c>
      <c r="S65" s="13" t="s">
        <v>55</v>
      </c>
      <c r="T65" s="13" t="s">
        <v>330</v>
      </c>
      <c r="U65" s="16" t="str">
        <f t="shared" si="0"/>
        <v/>
      </c>
      <c r="V65" s="17" t="str">
        <f t="shared" si="1"/>
        <v>OK</v>
      </c>
    </row>
    <row r="66" spans="1:22" x14ac:dyDescent="0.25">
      <c r="A66" s="9">
        <v>62</v>
      </c>
      <c r="B66" s="9" t="s">
        <v>335</v>
      </c>
      <c r="C66" s="9" t="s">
        <v>323</v>
      </c>
      <c r="D66" s="10" t="s">
        <v>336</v>
      </c>
      <c r="E66" s="9" t="s">
        <v>325</v>
      </c>
      <c r="F66" s="9" t="s">
        <v>326</v>
      </c>
      <c r="G66" s="10" t="s">
        <v>333</v>
      </c>
      <c r="H66" s="9" t="s">
        <v>334</v>
      </c>
      <c r="I66" s="11">
        <v>13.757955000000001</v>
      </c>
      <c r="J66" s="11">
        <v>109.21858899999999</v>
      </c>
      <c r="K66" s="9" t="s">
        <v>329</v>
      </c>
      <c r="L66" s="10"/>
      <c r="M66" s="12" t="s">
        <v>51</v>
      </c>
      <c r="N66" s="13" t="s">
        <v>69</v>
      </c>
      <c r="O66" s="14"/>
      <c r="P66" s="14"/>
      <c r="Q66" s="13" t="s">
        <v>70</v>
      </c>
      <c r="R66" s="15" t="s">
        <v>54</v>
      </c>
      <c r="S66" s="13" t="s">
        <v>55</v>
      </c>
      <c r="T66" s="13" t="s">
        <v>330</v>
      </c>
      <c r="U66" s="16" t="str">
        <f t="shared" si="0"/>
        <v/>
      </c>
      <c r="V66" s="17" t="str">
        <f t="shared" si="1"/>
        <v>OK</v>
      </c>
    </row>
    <row r="67" spans="1:22" x14ac:dyDescent="0.25">
      <c r="A67" s="9">
        <v>63</v>
      </c>
      <c r="B67" s="9" t="s">
        <v>337</v>
      </c>
      <c r="C67" s="9" t="s">
        <v>323</v>
      </c>
      <c r="D67" s="10" t="s">
        <v>338</v>
      </c>
      <c r="E67" s="9" t="s">
        <v>325</v>
      </c>
      <c r="F67" s="9" t="s">
        <v>326</v>
      </c>
      <c r="G67" s="10" t="s">
        <v>333</v>
      </c>
      <c r="H67" s="9" t="s">
        <v>334</v>
      </c>
      <c r="I67" s="11">
        <v>13.756881</v>
      </c>
      <c r="J67" s="11">
        <v>109.21798099999999</v>
      </c>
      <c r="K67" s="9" t="s">
        <v>329</v>
      </c>
      <c r="L67" s="10"/>
      <c r="M67" s="12" t="s">
        <v>51</v>
      </c>
      <c r="N67" s="13" t="s">
        <v>69</v>
      </c>
      <c r="O67" s="14"/>
      <c r="P67" s="14"/>
      <c r="Q67" s="13" t="s">
        <v>70</v>
      </c>
      <c r="R67" s="15" t="s">
        <v>54</v>
      </c>
      <c r="S67" s="13" t="s">
        <v>55</v>
      </c>
      <c r="T67" s="13" t="s">
        <v>330</v>
      </c>
      <c r="U67" s="16" t="str">
        <f t="shared" si="0"/>
        <v/>
      </c>
      <c r="V67" s="17" t="str">
        <f t="shared" si="1"/>
        <v>OK</v>
      </c>
    </row>
    <row r="68" spans="1:22" x14ac:dyDescent="0.25">
      <c r="A68" s="9">
        <v>64</v>
      </c>
      <c r="B68" s="9" t="s">
        <v>339</v>
      </c>
      <c r="C68" s="9" t="s">
        <v>323</v>
      </c>
      <c r="D68" s="10" t="s">
        <v>340</v>
      </c>
      <c r="E68" s="9" t="s">
        <v>325</v>
      </c>
      <c r="F68" s="9" t="s">
        <v>326</v>
      </c>
      <c r="G68" s="10" t="s">
        <v>341</v>
      </c>
      <c r="H68" s="9" t="s">
        <v>342</v>
      </c>
      <c r="I68" s="11">
        <v>14.011948</v>
      </c>
      <c r="J68" s="11">
        <v>109.05595599999999</v>
      </c>
      <c r="K68" s="9" t="s">
        <v>329</v>
      </c>
      <c r="L68" s="10"/>
      <c r="M68" s="12" t="s">
        <v>51</v>
      </c>
      <c r="N68" s="13" t="s">
        <v>69</v>
      </c>
      <c r="O68" s="14"/>
      <c r="P68" s="14"/>
      <c r="Q68" s="13" t="s">
        <v>70</v>
      </c>
      <c r="R68" s="15" t="s">
        <v>54</v>
      </c>
      <c r="S68" s="13" t="s">
        <v>55</v>
      </c>
      <c r="T68" s="13" t="s">
        <v>343</v>
      </c>
      <c r="U68" s="16" t="str">
        <f t="shared" si="0"/>
        <v/>
      </c>
      <c r="V68" s="17" t="str">
        <f t="shared" si="1"/>
        <v>OK</v>
      </c>
    </row>
    <row r="69" spans="1:22" x14ac:dyDescent="0.25">
      <c r="A69" s="9">
        <v>65</v>
      </c>
      <c r="B69" s="9" t="s">
        <v>344</v>
      </c>
      <c r="C69" s="9" t="s">
        <v>323</v>
      </c>
      <c r="D69" s="10" t="s">
        <v>340</v>
      </c>
      <c r="E69" s="9" t="s">
        <v>325</v>
      </c>
      <c r="F69" s="9" t="s">
        <v>326</v>
      </c>
      <c r="G69" s="10" t="s">
        <v>345</v>
      </c>
      <c r="H69" s="9" t="s">
        <v>346</v>
      </c>
      <c r="I69" s="11">
        <v>14.173829</v>
      </c>
      <c r="J69" s="11">
        <v>109.05087</v>
      </c>
      <c r="K69" s="9" t="s">
        <v>329</v>
      </c>
      <c r="L69" s="10"/>
      <c r="M69" s="12" t="s">
        <v>51</v>
      </c>
      <c r="N69" s="13" t="s">
        <v>69</v>
      </c>
      <c r="O69" s="14"/>
      <c r="P69" s="14"/>
      <c r="Q69" s="13" t="s">
        <v>70</v>
      </c>
      <c r="R69" s="15" t="s">
        <v>54</v>
      </c>
      <c r="S69" s="13" t="s">
        <v>55</v>
      </c>
      <c r="T69" s="13" t="s">
        <v>347</v>
      </c>
      <c r="U69" s="16" t="str">
        <f t="shared" ref="U69:U132" si="2">IF(AND(ISNUMBER(O69),ISNUMBER(P69)),ROUND(SQRT(((P69-J69)*111320*COS(RADIANS(I69)))^2+((O69-I69)*110540)^2),0),"")</f>
        <v/>
      </c>
      <c r="V69" s="17" t="str">
        <f t="shared" ref="V69:V132" si="3">IF(N69="","",IF(N69="Sửa vị trí",IF(OR(O69="",P69=""),"Thiếu vĩ độ / kinh độ mới",IF(OR(O69&lt;12.5,O69&gt;15,P69&lt;107,P69&gt;109.6),"Toạ độ ngoài Gia Lai (đảo vĩ/kinh độ?)",IF(Q69="","Chọn cách xác định",IF(U69&gt;20000,"Dời hơn 20 km – kiểm tra lại","OK")))),IF(AND(N69&lt;&gt;"Sửa vị trí",OR(O69&lt;&gt;"",P69&lt;&gt;"")),"Có toạ độ mới nhưng kết quả không phải Sửa vị trí","OK")))</f>
        <v>OK</v>
      </c>
    </row>
    <row r="70" spans="1:22" x14ac:dyDescent="0.25">
      <c r="A70" s="9">
        <v>66</v>
      </c>
      <c r="B70" s="9" t="s">
        <v>348</v>
      </c>
      <c r="C70" s="9" t="s">
        <v>323</v>
      </c>
      <c r="D70" s="10" t="s">
        <v>349</v>
      </c>
      <c r="E70" s="9" t="s">
        <v>325</v>
      </c>
      <c r="F70" s="9" t="s">
        <v>326</v>
      </c>
      <c r="G70" s="10" t="s">
        <v>350</v>
      </c>
      <c r="H70" s="9" t="s">
        <v>217</v>
      </c>
      <c r="I70" s="11">
        <v>13.799877</v>
      </c>
      <c r="J70" s="11">
        <v>107.693566</v>
      </c>
      <c r="K70" s="9" t="s">
        <v>329</v>
      </c>
      <c r="L70" s="10"/>
      <c r="M70" s="12" t="s">
        <v>51</v>
      </c>
      <c r="N70" s="13" t="s">
        <v>52</v>
      </c>
      <c r="O70" s="14"/>
      <c r="P70" s="14"/>
      <c r="Q70" s="13" t="s">
        <v>53</v>
      </c>
      <c r="R70" s="15" t="s">
        <v>54</v>
      </c>
      <c r="S70" s="13" t="s">
        <v>55</v>
      </c>
      <c r="T70" s="13" t="s">
        <v>351</v>
      </c>
      <c r="U70" s="16" t="str">
        <f t="shared" si="2"/>
        <v/>
      </c>
      <c r="V70" s="17" t="str">
        <f t="shared" si="3"/>
        <v>OK</v>
      </c>
    </row>
    <row r="71" spans="1:22" x14ac:dyDescent="0.25">
      <c r="A71" s="9">
        <v>67</v>
      </c>
      <c r="B71" s="9" t="s">
        <v>352</v>
      </c>
      <c r="C71" s="9" t="s">
        <v>323</v>
      </c>
      <c r="D71" s="10" t="s">
        <v>353</v>
      </c>
      <c r="E71" s="9" t="s">
        <v>354</v>
      </c>
      <c r="F71" s="9" t="s">
        <v>326</v>
      </c>
      <c r="G71" s="10" t="s">
        <v>355</v>
      </c>
      <c r="H71" s="9" t="s">
        <v>181</v>
      </c>
      <c r="I71" s="11">
        <v>13.977115</v>
      </c>
      <c r="J71" s="11">
        <v>108.69318800000001</v>
      </c>
      <c r="K71" s="9" t="s">
        <v>329</v>
      </c>
      <c r="L71" s="10"/>
      <c r="M71" s="12" t="s">
        <v>51</v>
      </c>
      <c r="N71" s="13" t="s">
        <v>69</v>
      </c>
      <c r="O71" s="14"/>
      <c r="P71" s="14"/>
      <c r="Q71" s="13" t="s">
        <v>70</v>
      </c>
      <c r="R71" s="15" t="s">
        <v>54</v>
      </c>
      <c r="S71" s="13" t="s">
        <v>55</v>
      </c>
      <c r="T71" s="13" t="s">
        <v>356</v>
      </c>
      <c r="U71" s="16" t="str">
        <f t="shared" si="2"/>
        <v/>
      </c>
      <c r="V71" s="17" t="str">
        <f t="shared" si="3"/>
        <v>OK</v>
      </c>
    </row>
    <row r="72" spans="1:22" x14ac:dyDescent="0.25">
      <c r="A72" s="9">
        <v>68</v>
      </c>
      <c r="B72" s="9" t="s">
        <v>357</v>
      </c>
      <c r="C72" s="9" t="s">
        <v>323</v>
      </c>
      <c r="D72" s="10" t="s">
        <v>358</v>
      </c>
      <c r="E72" s="9" t="s">
        <v>354</v>
      </c>
      <c r="F72" s="9" t="s">
        <v>326</v>
      </c>
      <c r="G72" s="10" t="s">
        <v>359</v>
      </c>
      <c r="H72" s="9" t="s">
        <v>360</v>
      </c>
      <c r="I72" s="11">
        <v>13.853014</v>
      </c>
      <c r="J72" s="11">
        <v>109.075113</v>
      </c>
      <c r="K72" s="9" t="s">
        <v>329</v>
      </c>
      <c r="L72" s="10"/>
      <c r="M72" s="12" t="s">
        <v>51</v>
      </c>
      <c r="N72" s="13" t="s">
        <v>69</v>
      </c>
      <c r="O72" s="14"/>
      <c r="P72" s="14"/>
      <c r="Q72" s="13" t="s">
        <v>70</v>
      </c>
      <c r="R72" s="15" t="s">
        <v>54</v>
      </c>
      <c r="S72" s="13" t="s">
        <v>55</v>
      </c>
      <c r="T72" s="13" t="s">
        <v>361</v>
      </c>
      <c r="U72" s="16" t="str">
        <f t="shared" si="2"/>
        <v/>
      </c>
      <c r="V72" s="17" t="str">
        <f t="shared" si="3"/>
        <v>OK</v>
      </c>
    </row>
    <row r="73" spans="1:22" x14ac:dyDescent="0.25">
      <c r="A73" s="9">
        <v>69</v>
      </c>
      <c r="B73" s="9" t="s">
        <v>362</v>
      </c>
      <c r="C73" s="9" t="s">
        <v>323</v>
      </c>
      <c r="D73" s="10" t="s">
        <v>363</v>
      </c>
      <c r="E73" s="9" t="s">
        <v>354</v>
      </c>
      <c r="F73" s="9" t="s">
        <v>326</v>
      </c>
      <c r="G73" s="10" t="s">
        <v>364</v>
      </c>
      <c r="H73" s="9" t="s">
        <v>365</v>
      </c>
      <c r="I73" s="11">
        <v>13.901593999999999</v>
      </c>
      <c r="J73" s="11">
        <v>109.10579799999999</v>
      </c>
      <c r="K73" s="9" t="s">
        <v>329</v>
      </c>
      <c r="L73" s="10"/>
      <c r="M73" s="12" t="s">
        <v>51</v>
      </c>
      <c r="N73" s="13" t="s">
        <v>69</v>
      </c>
      <c r="O73" s="14"/>
      <c r="P73" s="14"/>
      <c r="Q73" s="13" t="s">
        <v>70</v>
      </c>
      <c r="R73" s="15" t="s">
        <v>54</v>
      </c>
      <c r="S73" s="13" t="s">
        <v>55</v>
      </c>
      <c r="T73" s="13" t="s">
        <v>361</v>
      </c>
      <c r="U73" s="16" t="str">
        <f t="shared" si="2"/>
        <v/>
      </c>
      <c r="V73" s="17" t="str">
        <f t="shared" si="3"/>
        <v>OK</v>
      </c>
    </row>
    <row r="74" spans="1:22" x14ac:dyDescent="0.25">
      <c r="A74" s="9">
        <v>70</v>
      </c>
      <c r="B74" s="9" t="s">
        <v>366</v>
      </c>
      <c r="C74" s="9" t="s">
        <v>323</v>
      </c>
      <c r="D74" s="10" t="s">
        <v>367</v>
      </c>
      <c r="E74" s="9" t="s">
        <v>354</v>
      </c>
      <c r="F74" s="9" t="s">
        <v>326</v>
      </c>
      <c r="G74" s="10" t="s">
        <v>364</v>
      </c>
      <c r="H74" s="9" t="s">
        <v>365</v>
      </c>
      <c r="I74" s="11">
        <v>13.893230000000001</v>
      </c>
      <c r="J74" s="11">
        <v>109.099507</v>
      </c>
      <c r="K74" s="9" t="s">
        <v>329</v>
      </c>
      <c r="L74" s="10"/>
      <c r="M74" s="12" t="s">
        <v>51</v>
      </c>
      <c r="N74" s="13" t="s">
        <v>69</v>
      </c>
      <c r="O74" s="14"/>
      <c r="P74" s="14"/>
      <c r="Q74" s="13" t="s">
        <v>70</v>
      </c>
      <c r="R74" s="15" t="s">
        <v>54</v>
      </c>
      <c r="S74" s="13" t="s">
        <v>55</v>
      </c>
      <c r="T74" s="13" t="s">
        <v>361</v>
      </c>
      <c r="U74" s="16" t="str">
        <f t="shared" si="2"/>
        <v/>
      </c>
      <c r="V74" s="17" t="str">
        <f t="shared" si="3"/>
        <v>OK</v>
      </c>
    </row>
    <row r="75" spans="1:22" x14ac:dyDescent="0.25">
      <c r="A75" s="9">
        <v>71</v>
      </c>
      <c r="B75" s="9" t="s">
        <v>368</v>
      </c>
      <c r="C75" s="9" t="s">
        <v>323</v>
      </c>
      <c r="D75" s="10" t="s">
        <v>369</v>
      </c>
      <c r="E75" s="9" t="s">
        <v>354</v>
      </c>
      <c r="F75" s="9" t="s">
        <v>326</v>
      </c>
      <c r="G75" s="10" t="s">
        <v>370</v>
      </c>
      <c r="H75" s="9" t="s">
        <v>199</v>
      </c>
      <c r="I75" s="11">
        <v>13.427739000000001</v>
      </c>
      <c r="J75" s="11">
        <v>108.42478199999999</v>
      </c>
      <c r="K75" s="9" t="s">
        <v>329</v>
      </c>
      <c r="L75" s="10"/>
      <c r="M75" s="12" t="s">
        <v>51</v>
      </c>
      <c r="N75" s="13" t="s">
        <v>69</v>
      </c>
      <c r="O75" s="14"/>
      <c r="P75" s="14"/>
      <c r="Q75" s="13" t="s">
        <v>70</v>
      </c>
      <c r="R75" s="15" t="s">
        <v>54</v>
      </c>
      <c r="S75" s="13" t="s">
        <v>55</v>
      </c>
      <c r="T75" s="13" t="s">
        <v>371</v>
      </c>
      <c r="U75" s="16" t="str">
        <f t="shared" si="2"/>
        <v/>
      </c>
      <c r="V75" s="17" t="str">
        <f t="shared" si="3"/>
        <v>OK</v>
      </c>
    </row>
    <row r="76" spans="1:22" x14ac:dyDescent="0.25">
      <c r="A76" s="9">
        <v>72</v>
      </c>
      <c r="B76" s="9" t="s">
        <v>372</v>
      </c>
      <c r="C76" s="9" t="s">
        <v>323</v>
      </c>
      <c r="D76" s="10" t="s">
        <v>369</v>
      </c>
      <c r="E76" s="9" t="s">
        <v>354</v>
      </c>
      <c r="F76" s="9" t="s">
        <v>326</v>
      </c>
      <c r="G76" s="10" t="s">
        <v>370</v>
      </c>
      <c r="H76" s="9" t="s">
        <v>199</v>
      </c>
      <c r="I76" s="11">
        <v>13.422649</v>
      </c>
      <c r="J76" s="11">
        <v>108.42805799999999</v>
      </c>
      <c r="K76" s="9" t="s">
        <v>329</v>
      </c>
      <c r="L76" s="10"/>
      <c r="M76" s="12" t="s">
        <v>51</v>
      </c>
      <c r="N76" s="13" t="s">
        <v>69</v>
      </c>
      <c r="O76" s="14"/>
      <c r="P76" s="14"/>
      <c r="Q76" s="13" t="s">
        <v>70</v>
      </c>
      <c r="R76" s="15" t="s">
        <v>54</v>
      </c>
      <c r="S76" s="13" t="s">
        <v>55</v>
      </c>
      <c r="T76" s="13" t="s">
        <v>371</v>
      </c>
      <c r="U76" s="16" t="str">
        <f t="shared" si="2"/>
        <v/>
      </c>
      <c r="V76" s="17" t="str">
        <f t="shared" si="3"/>
        <v>OK</v>
      </c>
    </row>
    <row r="77" spans="1:22" x14ac:dyDescent="0.25">
      <c r="A77" s="9">
        <v>73</v>
      </c>
      <c r="B77" s="9" t="s">
        <v>373</v>
      </c>
      <c r="C77" s="9" t="s">
        <v>323</v>
      </c>
      <c r="D77" s="10" t="s">
        <v>369</v>
      </c>
      <c r="E77" s="9" t="s">
        <v>354</v>
      </c>
      <c r="F77" s="9" t="s">
        <v>326</v>
      </c>
      <c r="G77" s="10" t="s">
        <v>370</v>
      </c>
      <c r="H77" s="9" t="s">
        <v>199</v>
      </c>
      <c r="I77" s="11">
        <v>13.411438</v>
      </c>
      <c r="J77" s="11">
        <v>108.437637</v>
      </c>
      <c r="K77" s="9" t="s">
        <v>329</v>
      </c>
      <c r="L77" s="10"/>
      <c r="M77" s="12" t="s">
        <v>51</v>
      </c>
      <c r="N77" s="13" t="s">
        <v>69</v>
      </c>
      <c r="O77" s="14"/>
      <c r="P77" s="14"/>
      <c r="Q77" s="13" t="s">
        <v>70</v>
      </c>
      <c r="R77" s="15" t="s">
        <v>54</v>
      </c>
      <c r="S77" s="13" t="s">
        <v>55</v>
      </c>
      <c r="T77" s="13" t="s">
        <v>371</v>
      </c>
      <c r="U77" s="16" t="str">
        <f t="shared" si="2"/>
        <v/>
      </c>
      <c r="V77" s="17" t="str">
        <f t="shared" si="3"/>
        <v>OK</v>
      </c>
    </row>
    <row r="78" spans="1:22" x14ac:dyDescent="0.25">
      <c r="A78" s="9">
        <v>74</v>
      </c>
      <c r="B78" s="9" t="s">
        <v>374</v>
      </c>
      <c r="C78" s="9" t="s">
        <v>323</v>
      </c>
      <c r="D78" s="10" t="s">
        <v>375</v>
      </c>
      <c r="E78" s="9" t="s">
        <v>354</v>
      </c>
      <c r="F78" s="9" t="s">
        <v>326</v>
      </c>
      <c r="G78" s="10" t="s">
        <v>376</v>
      </c>
      <c r="H78" s="9" t="s">
        <v>377</v>
      </c>
      <c r="I78" s="11">
        <v>13.892616</v>
      </c>
      <c r="J78" s="11">
        <v>109.113783</v>
      </c>
      <c r="K78" s="9" t="s">
        <v>329</v>
      </c>
      <c r="L78" s="10"/>
      <c r="M78" s="12" t="s">
        <v>51</v>
      </c>
      <c r="N78" s="13" t="s">
        <v>69</v>
      </c>
      <c r="O78" s="14"/>
      <c r="P78" s="14"/>
      <c r="Q78" s="13" t="s">
        <v>70</v>
      </c>
      <c r="R78" s="15" t="s">
        <v>54</v>
      </c>
      <c r="S78" s="13" t="s">
        <v>55</v>
      </c>
      <c r="T78" s="13" t="s">
        <v>378</v>
      </c>
      <c r="U78" s="16" t="str">
        <f t="shared" si="2"/>
        <v/>
      </c>
      <c r="V78" s="17" t="str">
        <f t="shared" si="3"/>
        <v>OK</v>
      </c>
    </row>
    <row r="79" spans="1:22" x14ac:dyDescent="0.25">
      <c r="A79" s="9">
        <v>75</v>
      </c>
      <c r="B79" s="9" t="s">
        <v>379</v>
      </c>
      <c r="C79" s="9" t="s">
        <v>323</v>
      </c>
      <c r="D79" s="10" t="s">
        <v>380</v>
      </c>
      <c r="E79" s="9" t="s">
        <v>354</v>
      </c>
      <c r="F79" s="9" t="s">
        <v>326</v>
      </c>
      <c r="G79" s="10" t="s">
        <v>381</v>
      </c>
      <c r="H79" s="9" t="s">
        <v>382</v>
      </c>
      <c r="I79" s="11">
        <v>14.399132</v>
      </c>
      <c r="J79" s="11">
        <v>109.016684</v>
      </c>
      <c r="K79" s="9" t="s">
        <v>329</v>
      </c>
      <c r="L79" s="10"/>
      <c r="M79" s="12" t="s">
        <v>51</v>
      </c>
      <c r="N79" s="13" t="s">
        <v>69</v>
      </c>
      <c r="O79" s="14"/>
      <c r="P79" s="14"/>
      <c r="Q79" s="13" t="s">
        <v>70</v>
      </c>
      <c r="R79" s="15" t="s">
        <v>54</v>
      </c>
      <c r="S79" s="13" t="s">
        <v>55</v>
      </c>
      <c r="T79" s="13" t="s">
        <v>383</v>
      </c>
      <c r="U79" s="16" t="str">
        <f t="shared" si="2"/>
        <v/>
      </c>
      <c r="V79" s="17" t="str">
        <f t="shared" si="3"/>
        <v>OK</v>
      </c>
    </row>
    <row r="80" spans="1:22" x14ac:dyDescent="0.25">
      <c r="A80" s="9">
        <v>76</v>
      </c>
      <c r="B80" s="9" t="s">
        <v>384</v>
      </c>
      <c r="C80" s="9" t="s">
        <v>323</v>
      </c>
      <c r="D80" s="10" t="s">
        <v>385</v>
      </c>
      <c r="E80" s="9" t="s">
        <v>354</v>
      </c>
      <c r="F80" s="9" t="s">
        <v>326</v>
      </c>
      <c r="G80" s="10" t="s">
        <v>381</v>
      </c>
      <c r="H80" s="9" t="s">
        <v>382</v>
      </c>
      <c r="I80" s="11">
        <v>14.427819</v>
      </c>
      <c r="J80" s="11">
        <v>109.003996</v>
      </c>
      <c r="K80" s="9" t="s">
        <v>329</v>
      </c>
      <c r="L80" s="10"/>
      <c r="M80" s="12" t="s">
        <v>51</v>
      </c>
      <c r="N80" s="13" t="s">
        <v>69</v>
      </c>
      <c r="O80" s="14"/>
      <c r="P80" s="14"/>
      <c r="Q80" s="13" t="s">
        <v>70</v>
      </c>
      <c r="R80" s="15" t="s">
        <v>54</v>
      </c>
      <c r="S80" s="13" t="s">
        <v>55</v>
      </c>
      <c r="T80" s="13" t="s">
        <v>383</v>
      </c>
      <c r="U80" s="16" t="str">
        <f t="shared" si="2"/>
        <v/>
      </c>
      <c r="V80" s="17" t="str">
        <f t="shared" si="3"/>
        <v>OK</v>
      </c>
    </row>
    <row r="81" spans="1:22" x14ac:dyDescent="0.25">
      <c r="A81" s="9">
        <v>77</v>
      </c>
      <c r="B81" s="9" t="s">
        <v>386</v>
      </c>
      <c r="C81" s="9" t="s">
        <v>323</v>
      </c>
      <c r="D81" s="10" t="s">
        <v>387</v>
      </c>
      <c r="E81" s="9" t="s">
        <v>354</v>
      </c>
      <c r="F81" s="9" t="s">
        <v>326</v>
      </c>
      <c r="G81" s="10" t="s">
        <v>388</v>
      </c>
      <c r="H81" s="9" t="s">
        <v>88</v>
      </c>
      <c r="I81" s="11">
        <v>13.977031999999999</v>
      </c>
      <c r="J81" s="11">
        <v>108.00019500000001</v>
      </c>
      <c r="K81" s="9" t="s">
        <v>329</v>
      </c>
      <c r="L81" s="10"/>
      <c r="M81" s="12" t="s">
        <v>51</v>
      </c>
      <c r="N81" s="13" t="s">
        <v>69</v>
      </c>
      <c r="O81" s="14"/>
      <c r="P81" s="14"/>
      <c r="Q81" s="13" t="s">
        <v>70</v>
      </c>
      <c r="R81" s="15" t="s">
        <v>54</v>
      </c>
      <c r="S81" s="13" t="s">
        <v>55</v>
      </c>
      <c r="T81" s="13" t="s">
        <v>389</v>
      </c>
      <c r="U81" s="16" t="str">
        <f t="shared" si="2"/>
        <v/>
      </c>
      <c r="V81" s="17" t="str">
        <f t="shared" si="3"/>
        <v>OK</v>
      </c>
    </row>
    <row r="82" spans="1:22" ht="25.5" x14ac:dyDescent="0.25">
      <c r="A82" s="9">
        <v>78</v>
      </c>
      <c r="B82" s="9" t="s">
        <v>390</v>
      </c>
      <c r="C82" s="9" t="s">
        <v>323</v>
      </c>
      <c r="D82" s="10" t="s">
        <v>391</v>
      </c>
      <c r="E82" s="9" t="s">
        <v>354</v>
      </c>
      <c r="F82" s="9" t="s">
        <v>326</v>
      </c>
      <c r="G82" s="10" t="s">
        <v>388</v>
      </c>
      <c r="H82" s="9" t="s">
        <v>88</v>
      </c>
      <c r="I82" s="11">
        <v>13.977277000000001</v>
      </c>
      <c r="J82" s="11">
        <v>107.992914</v>
      </c>
      <c r="K82" s="9" t="s">
        <v>329</v>
      </c>
      <c r="L82" s="10"/>
      <c r="M82" s="12" t="s">
        <v>51</v>
      </c>
      <c r="N82" s="13" t="s">
        <v>62</v>
      </c>
      <c r="O82" s="14">
        <v>13.976467</v>
      </c>
      <c r="P82" s="14">
        <v>107.99268600000001</v>
      </c>
      <c r="Q82" s="13" t="s">
        <v>53</v>
      </c>
      <c r="R82" s="15" t="s">
        <v>54</v>
      </c>
      <c r="S82" s="13" t="s">
        <v>55</v>
      </c>
      <c r="T82" s="13" t="s">
        <v>392</v>
      </c>
      <c r="U82" s="16">
        <f t="shared" si="2"/>
        <v>93</v>
      </c>
      <c r="V82" s="17" t="str">
        <f t="shared" si="3"/>
        <v>OK</v>
      </c>
    </row>
    <row r="83" spans="1:22" x14ac:dyDescent="0.25">
      <c r="A83" s="9">
        <v>79</v>
      </c>
      <c r="B83" s="9" t="s">
        <v>393</v>
      </c>
      <c r="C83" s="9" t="s">
        <v>323</v>
      </c>
      <c r="D83" s="10" t="s">
        <v>394</v>
      </c>
      <c r="E83" s="9" t="s">
        <v>354</v>
      </c>
      <c r="F83" s="9" t="s">
        <v>326</v>
      </c>
      <c r="G83" s="10" t="s">
        <v>395</v>
      </c>
      <c r="H83" s="9" t="s">
        <v>396</v>
      </c>
      <c r="I83" s="11">
        <v>14.515976999999999</v>
      </c>
      <c r="J83" s="11">
        <v>109.077656</v>
      </c>
      <c r="K83" s="9" t="s">
        <v>329</v>
      </c>
      <c r="L83" s="10"/>
      <c r="M83" s="12" t="s">
        <v>51</v>
      </c>
      <c r="N83" s="13" t="s">
        <v>69</v>
      </c>
      <c r="O83" s="14"/>
      <c r="P83" s="14"/>
      <c r="Q83" s="13" t="s">
        <v>70</v>
      </c>
      <c r="R83" s="15" t="s">
        <v>54</v>
      </c>
      <c r="S83" s="13" t="s">
        <v>55</v>
      </c>
      <c r="T83" s="13" t="s">
        <v>397</v>
      </c>
      <c r="U83" s="16" t="str">
        <f t="shared" si="2"/>
        <v/>
      </c>
      <c r="V83" s="17" t="str">
        <f t="shared" si="3"/>
        <v>OK</v>
      </c>
    </row>
    <row r="84" spans="1:22" x14ac:dyDescent="0.25">
      <c r="A84" s="9">
        <v>80</v>
      </c>
      <c r="B84" s="9" t="s">
        <v>398</v>
      </c>
      <c r="C84" s="9" t="s">
        <v>323</v>
      </c>
      <c r="D84" s="10" t="s">
        <v>369</v>
      </c>
      <c r="E84" s="9" t="s">
        <v>354</v>
      </c>
      <c r="F84" s="9" t="s">
        <v>326</v>
      </c>
      <c r="G84" s="10" t="s">
        <v>395</v>
      </c>
      <c r="H84" s="9" t="s">
        <v>396</v>
      </c>
      <c r="I84" s="11">
        <v>14.543372</v>
      </c>
      <c r="J84" s="11">
        <v>109.07106</v>
      </c>
      <c r="K84" s="9" t="s">
        <v>329</v>
      </c>
      <c r="L84" s="10"/>
      <c r="M84" s="12" t="s">
        <v>51</v>
      </c>
      <c r="N84" s="13" t="s">
        <v>69</v>
      </c>
      <c r="O84" s="14"/>
      <c r="P84" s="14"/>
      <c r="Q84" s="13" t="s">
        <v>70</v>
      </c>
      <c r="R84" s="15" t="s">
        <v>54</v>
      </c>
      <c r="S84" s="13" t="s">
        <v>55</v>
      </c>
      <c r="T84" s="13" t="s">
        <v>397</v>
      </c>
      <c r="U84" s="16" t="str">
        <f t="shared" si="2"/>
        <v/>
      </c>
      <c r="V84" s="17" t="str">
        <f t="shared" si="3"/>
        <v>OK</v>
      </c>
    </row>
    <row r="85" spans="1:22" x14ac:dyDescent="0.25">
      <c r="A85" s="9">
        <v>81</v>
      </c>
      <c r="B85" s="9" t="s">
        <v>399</v>
      </c>
      <c r="C85" s="9" t="s">
        <v>323</v>
      </c>
      <c r="D85" s="10" t="s">
        <v>400</v>
      </c>
      <c r="E85" s="9" t="s">
        <v>354</v>
      </c>
      <c r="F85" s="9" t="s">
        <v>326</v>
      </c>
      <c r="G85" s="10" t="s">
        <v>401</v>
      </c>
      <c r="H85" s="9" t="s">
        <v>402</v>
      </c>
      <c r="I85" s="11">
        <v>14.557905</v>
      </c>
      <c r="J85" s="11">
        <v>109.049076</v>
      </c>
      <c r="K85" s="9" t="s">
        <v>329</v>
      </c>
      <c r="L85" s="10"/>
      <c r="M85" s="12" t="s">
        <v>51</v>
      </c>
      <c r="N85" s="13" t="s">
        <v>69</v>
      </c>
      <c r="O85" s="14"/>
      <c r="P85" s="14"/>
      <c r="Q85" s="13" t="s">
        <v>70</v>
      </c>
      <c r="R85" s="15" t="s">
        <v>54</v>
      </c>
      <c r="S85" s="13" t="s">
        <v>55</v>
      </c>
      <c r="T85" s="13" t="s">
        <v>397</v>
      </c>
      <c r="U85" s="16" t="str">
        <f t="shared" si="2"/>
        <v/>
      </c>
      <c r="V85" s="17" t="str">
        <f t="shared" si="3"/>
        <v>OK</v>
      </c>
    </row>
    <row r="86" spans="1:22" x14ac:dyDescent="0.25">
      <c r="A86" s="9">
        <v>82</v>
      </c>
      <c r="B86" s="9" t="s">
        <v>403</v>
      </c>
      <c r="C86" s="9" t="s">
        <v>323</v>
      </c>
      <c r="D86" s="10" t="s">
        <v>404</v>
      </c>
      <c r="E86" s="9" t="s">
        <v>354</v>
      </c>
      <c r="F86" s="9" t="s">
        <v>326</v>
      </c>
      <c r="G86" s="10" t="s">
        <v>401</v>
      </c>
      <c r="H86" s="9" t="s">
        <v>402</v>
      </c>
      <c r="I86" s="11">
        <v>14.559445</v>
      </c>
      <c r="J86" s="11">
        <v>109.066338</v>
      </c>
      <c r="K86" s="9" t="s">
        <v>329</v>
      </c>
      <c r="L86" s="10"/>
      <c r="M86" s="12" t="s">
        <v>51</v>
      </c>
      <c r="N86" s="13" t="s">
        <v>69</v>
      </c>
      <c r="O86" s="14"/>
      <c r="P86" s="14"/>
      <c r="Q86" s="13" t="s">
        <v>70</v>
      </c>
      <c r="R86" s="15" t="s">
        <v>54</v>
      </c>
      <c r="S86" s="13" t="s">
        <v>55</v>
      </c>
      <c r="T86" s="13" t="s">
        <v>397</v>
      </c>
      <c r="U86" s="16" t="str">
        <f t="shared" si="2"/>
        <v/>
      </c>
      <c r="V86" s="17" t="str">
        <f t="shared" si="3"/>
        <v>OK</v>
      </c>
    </row>
    <row r="87" spans="1:22" x14ac:dyDescent="0.25">
      <c r="A87" s="9">
        <v>83</v>
      </c>
      <c r="B87" s="9" t="s">
        <v>405</v>
      </c>
      <c r="C87" s="9" t="s">
        <v>323</v>
      </c>
      <c r="D87" s="10" t="s">
        <v>369</v>
      </c>
      <c r="E87" s="9" t="s">
        <v>354</v>
      </c>
      <c r="F87" s="9" t="s">
        <v>326</v>
      </c>
      <c r="G87" s="10" t="s">
        <v>401</v>
      </c>
      <c r="H87" s="9" t="s">
        <v>402</v>
      </c>
      <c r="I87" s="11">
        <v>14.574763000000001</v>
      </c>
      <c r="J87" s="11">
        <v>109.058025</v>
      </c>
      <c r="K87" s="9" t="s">
        <v>329</v>
      </c>
      <c r="L87" s="10"/>
      <c r="M87" s="12" t="s">
        <v>51</v>
      </c>
      <c r="N87" s="13" t="s">
        <v>69</v>
      </c>
      <c r="O87" s="14"/>
      <c r="P87" s="14"/>
      <c r="Q87" s="13" t="s">
        <v>70</v>
      </c>
      <c r="R87" s="15" t="s">
        <v>54</v>
      </c>
      <c r="S87" s="13" t="s">
        <v>55</v>
      </c>
      <c r="T87" s="13" t="s">
        <v>397</v>
      </c>
      <c r="U87" s="16" t="str">
        <f t="shared" si="2"/>
        <v/>
      </c>
      <c r="V87" s="17" t="str">
        <f t="shared" si="3"/>
        <v>OK</v>
      </c>
    </row>
    <row r="88" spans="1:22" x14ac:dyDescent="0.25">
      <c r="A88" s="9">
        <v>84</v>
      </c>
      <c r="B88" s="9" t="s">
        <v>406</v>
      </c>
      <c r="C88" s="9" t="s">
        <v>323</v>
      </c>
      <c r="D88" s="10" t="s">
        <v>407</v>
      </c>
      <c r="E88" s="9" t="s">
        <v>354</v>
      </c>
      <c r="F88" s="9" t="s">
        <v>326</v>
      </c>
      <c r="G88" s="10" t="s">
        <v>408</v>
      </c>
      <c r="H88" s="9" t="s">
        <v>409</v>
      </c>
      <c r="I88" s="11">
        <v>14.470205999999999</v>
      </c>
      <c r="J88" s="11">
        <v>109.030525</v>
      </c>
      <c r="K88" s="9" t="s">
        <v>329</v>
      </c>
      <c r="L88" s="10"/>
      <c r="M88" s="12" t="s">
        <v>51</v>
      </c>
      <c r="N88" s="13" t="s">
        <v>69</v>
      </c>
      <c r="O88" s="14"/>
      <c r="P88" s="14"/>
      <c r="Q88" s="13" t="s">
        <v>70</v>
      </c>
      <c r="R88" s="15" t="s">
        <v>54</v>
      </c>
      <c r="S88" s="13" t="s">
        <v>55</v>
      </c>
      <c r="T88" s="13" t="s">
        <v>397</v>
      </c>
      <c r="U88" s="16" t="str">
        <f t="shared" si="2"/>
        <v/>
      </c>
      <c r="V88" s="17" t="str">
        <f t="shared" si="3"/>
        <v>OK</v>
      </c>
    </row>
    <row r="89" spans="1:22" ht="25.5" x14ac:dyDescent="0.25">
      <c r="A89" s="9">
        <v>85</v>
      </c>
      <c r="B89" s="9" t="s">
        <v>410</v>
      </c>
      <c r="C89" s="9" t="s">
        <v>323</v>
      </c>
      <c r="D89" s="10" t="s">
        <v>411</v>
      </c>
      <c r="E89" s="9" t="s">
        <v>354</v>
      </c>
      <c r="F89" s="9" t="s">
        <v>326</v>
      </c>
      <c r="G89" s="10" t="s">
        <v>412</v>
      </c>
      <c r="H89" s="9" t="s">
        <v>413</v>
      </c>
      <c r="I89" s="11">
        <v>14.493691</v>
      </c>
      <c r="J89" s="11">
        <v>109.08872599999999</v>
      </c>
      <c r="K89" s="9" t="s">
        <v>329</v>
      </c>
      <c r="L89" s="10"/>
      <c r="M89" s="12" t="s">
        <v>51</v>
      </c>
      <c r="N89" s="13" t="s">
        <v>69</v>
      </c>
      <c r="O89" s="14"/>
      <c r="P89" s="14"/>
      <c r="Q89" s="13" t="s">
        <v>70</v>
      </c>
      <c r="R89" s="15" t="s">
        <v>54</v>
      </c>
      <c r="S89" s="13" t="s">
        <v>55</v>
      </c>
      <c r="T89" s="13" t="s">
        <v>397</v>
      </c>
      <c r="U89" s="16" t="str">
        <f t="shared" si="2"/>
        <v/>
      </c>
      <c r="V89" s="17" t="str">
        <f t="shared" si="3"/>
        <v>OK</v>
      </c>
    </row>
    <row r="90" spans="1:22" x14ac:dyDescent="0.25">
      <c r="A90" s="9">
        <v>86</v>
      </c>
      <c r="B90" s="9" t="s">
        <v>414</v>
      </c>
      <c r="C90" s="9" t="s">
        <v>323</v>
      </c>
      <c r="D90" s="10" t="s">
        <v>353</v>
      </c>
      <c r="E90" s="9" t="s">
        <v>354</v>
      </c>
      <c r="F90" s="9" t="s">
        <v>326</v>
      </c>
      <c r="G90" s="10" t="s">
        <v>412</v>
      </c>
      <c r="H90" s="9" t="s">
        <v>413</v>
      </c>
      <c r="I90" s="11">
        <v>14.462668000000001</v>
      </c>
      <c r="J90" s="11">
        <v>109.09914499999999</v>
      </c>
      <c r="K90" s="9" t="s">
        <v>329</v>
      </c>
      <c r="L90" s="10"/>
      <c r="M90" s="12" t="s">
        <v>51</v>
      </c>
      <c r="N90" s="13" t="s">
        <v>69</v>
      </c>
      <c r="O90" s="14"/>
      <c r="P90" s="14"/>
      <c r="Q90" s="13" t="s">
        <v>70</v>
      </c>
      <c r="R90" s="15" t="s">
        <v>54</v>
      </c>
      <c r="S90" s="13" t="s">
        <v>55</v>
      </c>
      <c r="T90" s="13" t="s">
        <v>397</v>
      </c>
      <c r="U90" s="16" t="str">
        <f t="shared" si="2"/>
        <v/>
      </c>
      <c r="V90" s="17" t="str">
        <f t="shared" si="3"/>
        <v>OK</v>
      </c>
    </row>
    <row r="91" spans="1:22" x14ac:dyDescent="0.25">
      <c r="A91" s="9">
        <v>87</v>
      </c>
      <c r="B91" s="9" t="s">
        <v>415</v>
      </c>
      <c r="C91" s="9" t="s">
        <v>323</v>
      </c>
      <c r="D91" s="10" t="s">
        <v>416</v>
      </c>
      <c r="E91" s="9" t="s">
        <v>354</v>
      </c>
      <c r="F91" s="9" t="s">
        <v>326</v>
      </c>
      <c r="G91" s="10" t="s">
        <v>417</v>
      </c>
      <c r="H91" s="9" t="s">
        <v>48</v>
      </c>
      <c r="I91" s="11">
        <v>13.940143000000001</v>
      </c>
      <c r="J91" s="11">
        <v>108.010153</v>
      </c>
      <c r="K91" s="9" t="s">
        <v>329</v>
      </c>
      <c r="L91" s="10"/>
      <c r="M91" s="12" t="s">
        <v>51</v>
      </c>
      <c r="N91" s="13" t="s">
        <v>62</v>
      </c>
      <c r="O91" s="14">
        <v>13.966589000000001</v>
      </c>
      <c r="P91" s="14">
        <v>108.021092</v>
      </c>
      <c r="Q91" s="13" t="s">
        <v>53</v>
      </c>
      <c r="R91" s="15" t="s">
        <v>54</v>
      </c>
      <c r="S91" s="13" t="s">
        <v>55</v>
      </c>
      <c r="T91" s="13" t="s">
        <v>418</v>
      </c>
      <c r="U91" s="16">
        <f t="shared" si="2"/>
        <v>3153</v>
      </c>
      <c r="V91" s="17" t="str">
        <f t="shared" si="3"/>
        <v>OK</v>
      </c>
    </row>
    <row r="92" spans="1:22" x14ac:dyDescent="0.25">
      <c r="A92" s="9">
        <v>88</v>
      </c>
      <c r="B92" s="9" t="s">
        <v>419</v>
      </c>
      <c r="C92" s="9" t="s">
        <v>323</v>
      </c>
      <c r="D92" s="10" t="s">
        <v>416</v>
      </c>
      <c r="E92" s="9" t="s">
        <v>354</v>
      </c>
      <c r="F92" s="9" t="s">
        <v>326</v>
      </c>
      <c r="G92" s="10" t="s">
        <v>417</v>
      </c>
      <c r="H92" s="9" t="s">
        <v>48</v>
      </c>
      <c r="I92" s="11">
        <v>13.959061999999999</v>
      </c>
      <c r="J92" s="11">
        <v>108.016094</v>
      </c>
      <c r="K92" s="9" t="s">
        <v>329</v>
      </c>
      <c r="L92" s="10"/>
      <c r="M92" s="12" t="s">
        <v>51</v>
      </c>
      <c r="N92" s="13" t="s">
        <v>62</v>
      </c>
      <c r="O92" s="14">
        <v>13.966589000000001</v>
      </c>
      <c r="P92" s="14">
        <v>108.021092</v>
      </c>
      <c r="Q92" s="13" t="s">
        <v>53</v>
      </c>
      <c r="R92" s="15" t="s">
        <v>54</v>
      </c>
      <c r="S92" s="13" t="s">
        <v>55</v>
      </c>
      <c r="T92" s="13" t="s">
        <v>420</v>
      </c>
      <c r="U92" s="16">
        <f t="shared" si="2"/>
        <v>992</v>
      </c>
      <c r="V92" s="17" t="str">
        <f t="shared" si="3"/>
        <v>OK</v>
      </c>
    </row>
    <row r="93" spans="1:22" x14ac:dyDescent="0.25">
      <c r="A93" s="9">
        <v>89</v>
      </c>
      <c r="B93" s="9" t="s">
        <v>421</v>
      </c>
      <c r="C93" s="9" t="s">
        <v>323</v>
      </c>
      <c r="D93" s="10" t="s">
        <v>369</v>
      </c>
      <c r="E93" s="9" t="s">
        <v>354</v>
      </c>
      <c r="F93" s="9" t="s">
        <v>326</v>
      </c>
      <c r="G93" s="10" t="s">
        <v>417</v>
      </c>
      <c r="H93" s="9" t="s">
        <v>48</v>
      </c>
      <c r="I93" s="11">
        <v>13.938404</v>
      </c>
      <c r="J93" s="11">
        <v>108.00928</v>
      </c>
      <c r="K93" s="9" t="s">
        <v>329</v>
      </c>
      <c r="L93" s="10"/>
      <c r="M93" s="12" t="s">
        <v>51</v>
      </c>
      <c r="N93" s="13" t="s">
        <v>62</v>
      </c>
      <c r="O93" s="14">
        <v>13.902621999999999</v>
      </c>
      <c r="P93" s="14">
        <v>108.017498</v>
      </c>
      <c r="Q93" s="13" t="s">
        <v>53</v>
      </c>
      <c r="R93" s="15" t="s">
        <v>54</v>
      </c>
      <c r="S93" s="13" t="s">
        <v>55</v>
      </c>
      <c r="T93" s="13" t="s">
        <v>422</v>
      </c>
      <c r="U93" s="16">
        <f t="shared" si="2"/>
        <v>4054</v>
      </c>
      <c r="V93" s="17" t="str">
        <f t="shared" si="3"/>
        <v>OK</v>
      </c>
    </row>
    <row r="94" spans="1:22" x14ac:dyDescent="0.25">
      <c r="A94" s="9">
        <v>90</v>
      </c>
      <c r="B94" s="9" t="s">
        <v>423</v>
      </c>
      <c r="C94" s="9" t="s">
        <v>323</v>
      </c>
      <c r="D94" s="10" t="s">
        <v>369</v>
      </c>
      <c r="E94" s="9" t="s">
        <v>354</v>
      </c>
      <c r="F94" s="9" t="s">
        <v>326</v>
      </c>
      <c r="G94" s="10" t="s">
        <v>417</v>
      </c>
      <c r="H94" s="9" t="s">
        <v>48</v>
      </c>
      <c r="I94" s="11">
        <v>13.902620000000001</v>
      </c>
      <c r="J94" s="11">
        <v>108.017526</v>
      </c>
      <c r="K94" s="9" t="s">
        <v>329</v>
      </c>
      <c r="L94" s="10"/>
      <c r="M94" s="12" t="s">
        <v>51</v>
      </c>
      <c r="N94" s="13" t="s">
        <v>52</v>
      </c>
      <c r="O94" s="14"/>
      <c r="P94" s="14"/>
      <c r="Q94" s="13" t="s">
        <v>53</v>
      </c>
      <c r="R94" s="15" t="s">
        <v>54</v>
      </c>
      <c r="S94" s="13" t="s">
        <v>55</v>
      </c>
      <c r="T94" s="13" t="s">
        <v>424</v>
      </c>
      <c r="U94" s="16" t="str">
        <f t="shared" si="2"/>
        <v/>
      </c>
      <c r="V94" s="17" t="str">
        <f t="shared" si="3"/>
        <v>OK</v>
      </c>
    </row>
    <row r="95" spans="1:22" x14ac:dyDescent="0.25">
      <c r="A95" s="9">
        <v>91</v>
      </c>
      <c r="B95" s="9" t="s">
        <v>425</v>
      </c>
      <c r="C95" s="9" t="s">
        <v>323</v>
      </c>
      <c r="D95" s="10" t="s">
        <v>369</v>
      </c>
      <c r="E95" s="9" t="s">
        <v>354</v>
      </c>
      <c r="F95" s="9" t="s">
        <v>326</v>
      </c>
      <c r="G95" s="10" t="s">
        <v>417</v>
      </c>
      <c r="H95" s="9" t="s">
        <v>48</v>
      </c>
      <c r="I95" s="11">
        <v>13.906643000000001</v>
      </c>
      <c r="J95" s="11">
        <v>108.015942</v>
      </c>
      <c r="K95" s="9" t="s">
        <v>329</v>
      </c>
      <c r="L95" s="10"/>
      <c r="M95" s="12" t="s">
        <v>51</v>
      </c>
      <c r="N95" s="13" t="s">
        <v>62</v>
      </c>
      <c r="O95" s="14">
        <v>13.902621999999999</v>
      </c>
      <c r="P95" s="14">
        <v>108.017498</v>
      </c>
      <c r="Q95" s="13" t="s">
        <v>53</v>
      </c>
      <c r="R95" s="15" t="s">
        <v>54</v>
      </c>
      <c r="S95" s="13" t="s">
        <v>55</v>
      </c>
      <c r="T95" s="13" t="s">
        <v>426</v>
      </c>
      <c r="U95" s="16">
        <f t="shared" si="2"/>
        <v>475</v>
      </c>
      <c r="V95" s="17" t="str">
        <f t="shared" si="3"/>
        <v>OK</v>
      </c>
    </row>
    <row r="96" spans="1:22" x14ac:dyDescent="0.25">
      <c r="A96" s="9">
        <v>92</v>
      </c>
      <c r="B96" s="9" t="s">
        <v>427</v>
      </c>
      <c r="C96" s="9" t="s">
        <v>323</v>
      </c>
      <c r="D96" s="10" t="s">
        <v>369</v>
      </c>
      <c r="E96" s="9" t="s">
        <v>354</v>
      </c>
      <c r="F96" s="9" t="s">
        <v>326</v>
      </c>
      <c r="G96" s="10" t="s">
        <v>417</v>
      </c>
      <c r="H96" s="9" t="s">
        <v>48</v>
      </c>
      <c r="I96" s="11">
        <v>13.924707</v>
      </c>
      <c r="J96" s="11">
        <v>108.006163</v>
      </c>
      <c r="K96" s="9" t="s">
        <v>329</v>
      </c>
      <c r="L96" s="10"/>
      <c r="M96" s="12" t="s">
        <v>51</v>
      </c>
      <c r="N96" s="13" t="s">
        <v>62</v>
      </c>
      <c r="O96" s="14">
        <v>13.902621999999999</v>
      </c>
      <c r="P96" s="14">
        <v>108.017498</v>
      </c>
      <c r="Q96" s="13" t="s">
        <v>53</v>
      </c>
      <c r="R96" s="15" t="s">
        <v>54</v>
      </c>
      <c r="S96" s="13" t="s">
        <v>55</v>
      </c>
      <c r="T96" s="13" t="s">
        <v>428</v>
      </c>
      <c r="U96" s="16">
        <f t="shared" si="2"/>
        <v>2731</v>
      </c>
      <c r="V96" s="17" t="str">
        <f t="shared" si="3"/>
        <v>OK</v>
      </c>
    </row>
    <row r="97" spans="1:22" x14ac:dyDescent="0.25">
      <c r="A97" s="9">
        <v>93</v>
      </c>
      <c r="B97" s="9" t="s">
        <v>429</v>
      </c>
      <c r="C97" s="9" t="s">
        <v>323</v>
      </c>
      <c r="D97" s="10" t="s">
        <v>353</v>
      </c>
      <c r="E97" s="9" t="s">
        <v>354</v>
      </c>
      <c r="F97" s="9" t="s">
        <v>326</v>
      </c>
      <c r="G97" s="10" t="s">
        <v>417</v>
      </c>
      <c r="H97" s="9" t="s">
        <v>48</v>
      </c>
      <c r="I97" s="11">
        <v>13.957503000000001</v>
      </c>
      <c r="J97" s="11">
        <v>108.01552599999999</v>
      </c>
      <c r="K97" s="9" t="s">
        <v>329</v>
      </c>
      <c r="L97" s="10"/>
      <c r="M97" s="12" t="s">
        <v>51</v>
      </c>
      <c r="N97" s="13" t="s">
        <v>62</v>
      </c>
      <c r="O97" s="14">
        <v>13.966589000000001</v>
      </c>
      <c r="P97" s="14">
        <v>108.021092</v>
      </c>
      <c r="Q97" s="13" t="s">
        <v>53</v>
      </c>
      <c r="R97" s="15" t="s">
        <v>54</v>
      </c>
      <c r="S97" s="13" t="s">
        <v>55</v>
      </c>
      <c r="T97" s="13" t="s">
        <v>430</v>
      </c>
      <c r="U97" s="16">
        <f t="shared" si="2"/>
        <v>1171</v>
      </c>
      <c r="V97" s="17" t="str">
        <f t="shared" si="3"/>
        <v>OK</v>
      </c>
    </row>
    <row r="98" spans="1:22" x14ac:dyDescent="0.25">
      <c r="A98" s="9">
        <v>94</v>
      </c>
      <c r="B98" s="9" t="s">
        <v>431</v>
      </c>
      <c r="C98" s="9" t="s">
        <v>323</v>
      </c>
      <c r="D98" s="10" t="s">
        <v>353</v>
      </c>
      <c r="E98" s="9" t="s">
        <v>354</v>
      </c>
      <c r="F98" s="9" t="s">
        <v>326</v>
      </c>
      <c r="G98" s="10" t="s">
        <v>417</v>
      </c>
      <c r="H98" s="9" t="s">
        <v>48</v>
      </c>
      <c r="I98" s="11">
        <v>13.914047</v>
      </c>
      <c r="J98" s="11">
        <v>108.005668</v>
      </c>
      <c r="K98" s="9" t="s">
        <v>329</v>
      </c>
      <c r="L98" s="10"/>
      <c r="M98" s="12" t="s">
        <v>51</v>
      </c>
      <c r="N98" s="13" t="s">
        <v>62</v>
      </c>
      <c r="O98" s="14">
        <v>13.966589000000001</v>
      </c>
      <c r="P98" s="14">
        <v>108.021092</v>
      </c>
      <c r="Q98" s="13" t="s">
        <v>53</v>
      </c>
      <c r="R98" s="15" t="s">
        <v>54</v>
      </c>
      <c r="S98" s="13" t="s">
        <v>55</v>
      </c>
      <c r="T98" s="13" t="s">
        <v>432</v>
      </c>
      <c r="U98" s="16">
        <f t="shared" si="2"/>
        <v>6042</v>
      </c>
      <c r="V98" s="17" t="str">
        <f t="shared" si="3"/>
        <v>OK</v>
      </c>
    </row>
    <row r="99" spans="1:22" x14ac:dyDescent="0.25">
      <c r="A99" s="9">
        <v>95</v>
      </c>
      <c r="B99" s="9" t="s">
        <v>433</v>
      </c>
      <c r="C99" s="9" t="s">
        <v>323</v>
      </c>
      <c r="D99" s="10" t="s">
        <v>353</v>
      </c>
      <c r="E99" s="9" t="s">
        <v>354</v>
      </c>
      <c r="F99" s="9" t="s">
        <v>326</v>
      </c>
      <c r="G99" s="10" t="s">
        <v>417</v>
      </c>
      <c r="H99" s="9" t="s">
        <v>48</v>
      </c>
      <c r="I99" s="11">
        <v>13.929572</v>
      </c>
      <c r="J99" s="11">
        <v>108.007448</v>
      </c>
      <c r="K99" s="9" t="s">
        <v>329</v>
      </c>
      <c r="L99" s="10"/>
      <c r="M99" s="12" t="s">
        <v>51</v>
      </c>
      <c r="N99" s="13" t="s">
        <v>62</v>
      </c>
      <c r="O99" s="14">
        <v>13.966589000000001</v>
      </c>
      <c r="P99" s="14">
        <v>108.021092</v>
      </c>
      <c r="Q99" s="13" t="s">
        <v>53</v>
      </c>
      <c r="R99" s="15" t="s">
        <v>54</v>
      </c>
      <c r="S99" s="13" t="s">
        <v>55</v>
      </c>
      <c r="T99" s="13" t="s">
        <v>434</v>
      </c>
      <c r="U99" s="16">
        <f t="shared" si="2"/>
        <v>4349</v>
      </c>
      <c r="V99" s="17" t="str">
        <f t="shared" si="3"/>
        <v>OK</v>
      </c>
    </row>
    <row r="100" spans="1:22" x14ac:dyDescent="0.25">
      <c r="A100" s="9">
        <v>96</v>
      </c>
      <c r="B100" s="9" t="s">
        <v>435</v>
      </c>
      <c r="C100" s="9" t="s">
        <v>323</v>
      </c>
      <c r="D100" s="10" t="s">
        <v>436</v>
      </c>
      <c r="E100" s="9" t="s">
        <v>354</v>
      </c>
      <c r="F100" s="9" t="s">
        <v>326</v>
      </c>
      <c r="G100" s="10" t="s">
        <v>417</v>
      </c>
      <c r="H100" s="9" t="s">
        <v>48</v>
      </c>
      <c r="I100" s="11">
        <v>13.947055000000001</v>
      </c>
      <c r="J100" s="11">
        <v>108.01192899999999</v>
      </c>
      <c r="K100" s="9" t="s">
        <v>329</v>
      </c>
      <c r="L100" s="10"/>
      <c r="M100" s="12" t="s">
        <v>51</v>
      </c>
      <c r="N100" s="13" t="s">
        <v>62</v>
      </c>
      <c r="O100" s="14">
        <v>13.972753000000001</v>
      </c>
      <c r="P100" s="14">
        <v>108.007586</v>
      </c>
      <c r="Q100" s="13" t="s">
        <v>53</v>
      </c>
      <c r="R100" s="15" t="s">
        <v>54</v>
      </c>
      <c r="S100" s="13" t="s">
        <v>55</v>
      </c>
      <c r="T100" s="13" t="s">
        <v>437</v>
      </c>
      <c r="U100" s="16">
        <f t="shared" si="2"/>
        <v>2879</v>
      </c>
      <c r="V100" s="17" t="str">
        <f t="shared" si="3"/>
        <v>OK</v>
      </c>
    </row>
    <row r="101" spans="1:22" x14ac:dyDescent="0.25">
      <c r="A101" s="9">
        <v>97</v>
      </c>
      <c r="B101" s="9" t="s">
        <v>438</v>
      </c>
      <c r="C101" s="9" t="s">
        <v>323</v>
      </c>
      <c r="D101" s="10" t="s">
        <v>439</v>
      </c>
      <c r="E101" s="9" t="s">
        <v>354</v>
      </c>
      <c r="F101" s="9" t="s">
        <v>326</v>
      </c>
      <c r="G101" s="10" t="s">
        <v>148</v>
      </c>
      <c r="H101" s="9" t="s">
        <v>60</v>
      </c>
      <c r="I101" s="11">
        <v>13.978069</v>
      </c>
      <c r="J101" s="11">
        <v>108.02578099999999</v>
      </c>
      <c r="K101" s="9" t="s">
        <v>329</v>
      </c>
      <c r="L101" s="10"/>
      <c r="M101" s="12" t="s">
        <v>51</v>
      </c>
      <c r="N101" s="13" t="s">
        <v>62</v>
      </c>
      <c r="O101" s="14">
        <v>13.991478000000001</v>
      </c>
      <c r="P101" s="14">
        <v>108.00303099999999</v>
      </c>
      <c r="Q101" s="13" t="s">
        <v>53</v>
      </c>
      <c r="R101" s="15" t="s">
        <v>54</v>
      </c>
      <c r="S101" s="13" t="s">
        <v>55</v>
      </c>
      <c r="T101" s="13" t="s">
        <v>440</v>
      </c>
      <c r="U101" s="16">
        <f t="shared" si="2"/>
        <v>2870</v>
      </c>
      <c r="V101" s="17" t="str">
        <f t="shared" si="3"/>
        <v>OK</v>
      </c>
    </row>
    <row r="102" spans="1:22" ht="25.5" x14ac:dyDescent="0.25">
      <c r="A102" s="9">
        <v>98</v>
      </c>
      <c r="B102" s="9" t="s">
        <v>441</v>
      </c>
      <c r="C102" s="9" t="s">
        <v>323</v>
      </c>
      <c r="D102" s="10" t="s">
        <v>353</v>
      </c>
      <c r="E102" s="9" t="s">
        <v>354</v>
      </c>
      <c r="F102" s="9" t="s">
        <v>326</v>
      </c>
      <c r="G102" s="10" t="s">
        <v>442</v>
      </c>
      <c r="H102" s="9" t="s">
        <v>60</v>
      </c>
      <c r="I102" s="11">
        <v>13.991702</v>
      </c>
      <c r="J102" s="11">
        <v>108.00273900000001</v>
      </c>
      <c r="K102" s="9" t="s">
        <v>329</v>
      </c>
      <c r="L102" s="10"/>
      <c r="M102" s="12" t="s">
        <v>51</v>
      </c>
      <c r="N102" s="13" t="s">
        <v>62</v>
      </c>
      <c r="O102" s="14">
        <v>13.977802000000001</v>
      </c>
      <c r="P102" s="14">
        <v>107.998859</v>
      </c>
      <c r="Q102" s="13" t="s">
        <v>53</v>
      </c>
      <c r="R102" s="15" t="s">
        <v>54</v>
      </c>
      <c r="S102" s="13" t="s">
        <v>55</v>
      </c>
      <c r="T102" s="13" t="s">
        <v>443</v>
      </c>
      <c r="U102" s="16">
        <f t="shared" si="2"/>
        <v>1593</v>
      </c>
      <c r="V102" s="17" t="str">
        <f t="shared" si="3"/>
        <v>OK</v>
      </c>
    </row>
    <row r="103" spans="1:22" x14ac:dyDescent="0.25">
      <c r="A103" s="9">
        <v>99</v>
      </c>
      <c r="B103" s="9" t="s">
        <v>444</v>
      </c>
      <c r="C103" s="9" t="s">
        <v>323</v>
      </c>
      <c r="D103" s="10" t="s">
        <v>353</v>
      </c>
      <c r="E103" s="9" t="s">
        <v>354</v>
      </c>
      <c r="F103" s="9" t="s">
        <v>326</v>
      </c>
      <c r="G103" s="10" t="s">
        <v>327</v>
      </c>
      <c r="H103" s="9" t="s">
        <v>328</v>
      </c>
      <c r="I103" s="11">
        <v>13.779355000000001</v>
      </c>
      <c r="J103" s="11">
        <v>109.22526999999999</v>
      </c>
      <c r="K103" s="9" t="s">
        <v>329</v>
      </c>
      <c r="L103" s="10"/>
      <c r="M103" s="12" t="s">
        <v>51</v>
      </c>
      <c r="N103" s="13" t="s">
        <v>69</v>
      </c>
      <c r="O103" s="14"/>
      <c r="P103" s="14"/>
      <c r="Q103" s="13" t="s">
        <v>70</v>
      </c>
      <c r="R103" s="15" t="s">
        <v>54</v>
      </c>
      <c r="S103" s="13" t="s">
        <v>55</v>
      </c>
      <c r="T103" s="13" t="s">
        <v>330</v>
      </c>
      <c r="U103" s="16" t="str">
        <f t="shared" si="2"/>
        <v/>
      </c>
      <c r="V103" s="17" t="str">
        <f t="shared" si="3"/>
        <v>OK</v>
      </c>
    </row>
    <row r="104" spans="1:22" x14ac:dyDescent="0.25">
      <c r="A104" s="9">
        <v>100</v>
      </c>
      <c r="B104" s="9" t="s">
        <v>445</v>
      </c>
      <c r="C104" s="9" t="s">
        <v>323</v>
      </c>
      <c r="D104" s="10" t="s">
        <v>446</v>
      </c>
      <c r="E104" s="9" t="s">
        <v>354</v>
      </c>
      <c r="F104" s="9" t="s">
        <v>326</v>
      </c>
      <c r="G104" s="10" t="s">
        <v>447</v>
      </c>
      <c r="H104" s="9" t="s">
        <v>448</v>
      </c>
      <c r="I104" s="11">
        <v>13.793768</v>
      </c>
      <c r="J104" s="11">
        <v>109.163365</v>
      </c>
      <c r="K104" s="9" t="s">
        <v>329</v>
      </c>
      <c r="L104" s="10"/>
      <c r="M104" s="12" t="s">
        <v>51</v>
      </c>
      <c r="N104" s="13" t="s">
        <v>69</v>
      </c>
      <c r="O104" s="14"/>
      <c r="P104" s="14"/>
      <c r="Q104" s="13" t="s">
        <v>70</v>
      </c>
      <c r="R104" s="15" t="s">
        <v>54</v>
      </c>
      <c r="S104" s="13" t="s">
        <v>55</v>
      </c>
      <c r="T104" s="13" t="s">
        <v>330</v>
      </c>
      <c r="U104" s="16" t="str">
        <f t="shared" si="2"/>
        <v/>
      </c>
      <c r="V104" s="17" t="str">
        <f t="shared" si="3"/>
        <v>OK</v>
      </c>
    </row>
    <row r="105" spans="1:22" x14ac:dyDescent="0.25">
      <c r="A105" s="9">
        <v>101</v>
      </c>
      <c r="B105" s="9" t="s">
        <v>449</v>
      </c>
      <c r="C105" s="9" t="s">
        <v>323</v>
      </c>
      <c r="D105" s="10" t="s">
        <v>446</v>
      </c>
      <c r="E105" s="9" t="s">
        <v>354</v>
      </c>
      <c r="F105" s="9" t="s">
        <v>326</v>
      </c>
      <c r="G105" s="10" t="s">
        <v>447</v>
      </c>
      <c r="H105" s="9" t="s">
        <v>448</v>
      </c>
      <c r="I105" s="11">
        <v>13.794262</v>
      </c>
      <c r="J105" s="11">
        <v>109.16054</v>
      </c>
      <c r="K105" s="9" t="s">
        <v>329</v>
      </c>
      <c r="L105" s="10"/>
      <c r="M105" s="12" t="s">
        <v>51</v>
      </c>
      <c r="N105" s="13" t="s">
        <v>69</v>
      </c>
      <c r="O105" s="14"/>
      <c r="P105" s="14"/>
      <c r="Q105" s="13" t="s">
        <v>70</v>
      </c>
      <c r="R105" s="15" t="s">
        <v>54</v>
      </c>
      <c r="S105" s="13" t="s">
        <v>55</v>
      </c>
      <c r="T105" s="13" t="s">
        <v>330</v>
      </c>
      <c r="U105" s="16" t="str">
        <f t="shared" si="2"/>
        <v/>
      </c>
      <c r="V105" s="17" t="str">
        <f t="shared" si="3"/>
        <v>OK</v>
      </c>
    </row>
    <row r="106" spans="1:22" x14ac:dyDescent="0.25">
      <c r="A106" s="9">
        <v>102</v>
      </c>
      <c r="B106" s="9" t="s">
        <v>450</v>
      </c>
      <c r="C106" s="9" t="s">
        <v>323</v>
      </c>
      <c r="D106" s="10" t="s">
        <v>446</v>
      </c>
      <c r="E106" s="9" t="s">
        <v>354</v>
      </c>
      <c r="F106" s="9" t="s">
        <v>326</v>
      </c>
      <c r="G106" s="10" t="s">
        <v>447</v>
      </c>
      <c r="H106" s="9" t="s">
        <v>448</v>
      </c>
      <c r="I106" s="11">
        <v>13.794198</v>
      </c>
      <c r="J106" s="11">
        <v>109.159308</v>
      </c>
      <c r="K106" s="9" t="s">
        <v>329</v>
      </c>
      <c r="L106" s="10"/>
      <c r="M106" s="12" t="s">
        <v>51</v>
      </c>
      <c r="N106" s="13" t="s">
        <v>69</v>
      </c>
      <c r="O106" s="14"/>
      <c r="P106" s="14"/>
      <c r="Q106" s="13" t="s">
        <v>70</v>
      </c>
      <c r="R106" s="15" t="s">
        <v>54</v>
      </c>
      <c r="S106" s="13" t="s">
        <v>55</v>
      </c>
      <c r="T106" s="13" t="s">
        <v>330</v>
      </c>
      <c r="U106" s="16" t="str">
        <f t="shared" si="2"/>
        <v/>
      </c>
      <c r="V106" s="17" t="str">
        <f t="shared" si="3"/>
        <v>OK</v>
      </c>
    </row>
    <row r="107" spans="1:22" x14ac:dyDescent="0.25">
      <c r="A107" s="9">
        <v>103</v>
      </c>
      <c r="B107" s="9" t="s">
        <v>451</v>
      </c>
      <c r="C107" s="9" t="s">
        <v>323</v>
      </c>
      <c r="D107" s="10" t="s">
        <v>353</v>
      </c>
      <c r="E107" s="9" t="s">
        <v>354</v>
      </c>
      <c r="F107" s="9" t="s">
        <v>326</v>
      </c>
      <c r="G107" s="10" t="s">
        <v>447</v>
      </c>
      <c r="H107" s="9" t="s">
        <v>448</v>
      </c>
      <c r="I107" s="11">
        <v>13.795608</v>
      </c>
      <c r="J107" s="11">
        <v>109.147887</v>
      </c>
      <c r="K107" s="9" t="s">
        <v>329</v>
      </c>
      <c r="L107" s="10"/>
      <c r="M107" s="12" t="s">
        <v>51</v>
      </c>
      <c r="N107" s="13" t="s">
        <v>69</v>
      </c>
      <c r="O107" s="14"/>
      <c r="P107" s="14"/>
      <c r="Q107" s="13" t="s">
        <v>70</v>
      </c>
      <c r="R107" s="15" t="s">
        <v>54</v>
      </c>
      <c r="S107" s="13" t="s">
        <v>55</v>
      </c>
      <c r="T107" s="13" t="s">
        <v>330</v>
      </c>
      <c r="U107" s="16" t="str">
        <f t="shared" si="2"/>
        <v/>
      </c>
      <c r="V107" s="17" t="str">
        <f t="shared" si="3"/>
        <v>OK</v>
      </c>
    </row>
    <row r="108" spans="1:22" x14ac:dyDescent="0.25">
      <c r="A108" s="9">
        <v>104</v>
      </c>
      <c r="B108" s="9" t="s">
        <v>452</v>
      </c>
      <c r="C108" s="9" t="s">
        <v>323</v>
      </c>
      <c r="D108" s="10" t="s">
        <v>453</v>
      </c>
      <c r="E108" s="9" t="s">
        <v>354</v>
      </c>
      <c r="F108" s="9" t="s">
        <v>326</v>
      </c>
      <c r="G108" s="10" t="s">
        <v>333</v>
      </c>
      <c r="H108" s="9" t="s">
        <v>334</v>
      </c>
      <c r="I108" s="11">
        <v>13.767440000000001</v>
      </c>
      <c r="J108" s="11">
        <v>109.19745500000001</v>
      </c>
      <c r="K108" s="9" t="s">
        <v>329</v>
      </c>
      <c r="L108" s="10"/>
      <c r="M108" s="12" t="s">
        <v>51</v>
      </c>
      <c r="N108" s="13" t="s">
        <v>69</v>
      </c>
      <c r="O108" s="14"/>
      <c r="P108" s="14"/>
      <c r="Q108" s="13" t="s">
        <v>70</v>
      </c>
      <c r="R108" s="15" t="s">
        <v>54</v>
      </c>
      <c r="S108" s="13" t="s">
        <v>55</v>
      </c>
      <c r="T108" s="13" t="s">
        <v>330</v>
      </c>
      <c r="U108" s="16" t="str">
        <f t="shared" si="2"/>
        <v/>
      </c>
      <c r="V108" s="17" t="str">
        <f t="shared" si="3"/>
        <v>OK</v>
      </c>
    </row>
    <row r="109" spans="1:22" x14ac:dyDescent="0.25">
      <c r="A109" s="9">
        <v>105</v>
      </c>
      <c r="B109" s="9" t="s">
        <v>454</v>
      </c>
      <c r="C109" s="9" t="s">
        <v>323</v>
      </c>
      <c r="D109" s="10" t="s">
        <v>453</v>
      </c>
      <c r="E109" s="9" t="s">
        <v>354</v>
      </c>
      <c r="F109" s="9" t="s">
        <v>326</v>
      </c>
      <c r="G109" s="10" t="s">
        <v>333</v>
      </c>
      <c r="H109" s="9" t="s">
        <v>334</v>
      </c>
      <c r="I109" s="11">
        <v>13.755269</v>
      </c>
      <c r="J109" s="11">
        <v>109.20899</v>
      </c>
      <c r="K109" s="9" t="s">
        <v>329</v>
      </c>
      <c r="L109" s="10"/>
      <c r="M109" s="12" t="s">
        <v>51</v>
      </c>
      <c r="N109" s="13" t="s">
        <v>69</v>
      </c>
      <c r="O109" s="14"/>
      <c r="P109" s="14"/>
      <c r="Q109" s="13" t="s">
        <v>70</v>
      </c>
      <c r="R109" s="15" t="s">
        <v>54</v>
      </c>
      <c r="S109" s="13" t="s">
        <v>55</v>
      </c>
      <c r="T109" s="13" t="s">
        <v>330</v>
      </c>
      <c r="U109" s="16" t="str">
        <f t="shared" si="2"/>
        <v/>
      </c>
      <c r="V109" s="17" t="str">
        <f t="shared" si="3"/>
        <v>OK</v>
      </c>
    </row>
    <row r="110" spans="1:22" x14ac:dyDescent="0.25">
      <c r="A110" s="9">
        <v>106</v>
      </c>
      <c r="B110" s="9" t="s">
        <v>455</v>
      </c>
      <c r="C110" s="9" t="s">
        <v>323</v>
      </c>
      <c r="D110" s="10" t="s">
        <v>453</v>
      </c>
      <c r="E110" s="9" t="s">
        <v>354</v>
      </c>
      <c r="F110" s="9" t="s">
        <v>326</v>
      </c>
      <c r="G110" s="10" t="s">
        <v>333</v>
      </c>
      <c r="H110" s="9" t="s">
        <v>334</v>
      </c>
      <c r="I110" s="11">
        <v>13.751448999999999</v>
      </c>
      <c r="J110" s="11">
        <v>109.20833399999999</v>
      </c>
      <c r="K110" s="9" t="s">
        <v>329</v>
      </c>
      <c r="L110" s="10"/>
      <c r="M110" s="12" t="s">
        <v>51</v>
      </c>
      <c r="N110" s="13" t="s">
        <v>69</v>
      </c>
      <c r="O110" s="14"/>
      <c r="P110" s="14"/>
      <c r="Q110" s="13" t="s">
        <v>70</v>
      </c>
      <c r="R110" s="15" t="s">
        <v>54</v>
      </c>
      <c r="S110" s="13" t="s">
        <v>55</v>
      </c>
      <c r="T110" s="13" t="s">
        <v>330</v>
      </c>
      <c r="U110" s="16" t="str">
        <f t="shared" si="2"/>
        <v/>
      </c>
      <c r="V110" s="17" t="str">
        <f t="shared" si="3"/>
        <v>OK</v>
      </c>
    </row>
    <row r="111" spans="1:22" x14ac:dyDescent="0.25">
      <c r="A111" s="9">
        <v>107</v>
      </c>
      <c r="B111" s="9" t="s">
        <v>456</v>
      </c>
      <c r="C111" s="9" t="s">
        <v>323</v>
      </c>
      <c r="D111" s="10" t="s">
        <v>457</v>
      </c>
      <c r="E111" s="9" t="s">
        <v>354</v>
      </c>
      <c r="F111" s="9" t="s">
        <v>326</v>
      </c>
      <c r="G111" s="10" t="s">
        <v>458</v>
      </c>
      <c r="H111" s="9" t="s">
        <v>459</v>
      </c>
      <c r="I111" s="11">
        <v>13.723991</v>
      </c>
      <c r="J111" s="11">
        <v>109.16073</v>
      </c>
      <c r="K111" s="9" t="s">
        <v>329</v>
      </c>
      <c r="L111" s="10"/>
      <c r="M111" s="12" t="s">
        <v>51</v>
      </c>
      <c r="N111" s="13" t="s">
        <v>69</v>
      </c>
      <c r="O111" s="14"/>
      <c r="P111" s="14"/>
      <c r="Q111" s="13" t="s">
        <v>70</v>
      </c>
      <c r="R111" s="15" t="s">
        <v>54</v>
      </c>
      <c r="S111" s="13" t="s">
        <v>55</v>
      </c>
      <c r="T111" s="13" t="s">
        <v>330</v>
      </c>
      <c r="U111" s="16" t="str">
        <f t="shared" si="2"/>
        <v/>
      </c>
      <c r="V111" s="17" t="str">
        <f t="shared" si="3"/>
        <v>OK</v>
      </c>
    </row>
    <row r="112" spans="1:22" ht="25.5" x14ac:dyDescent="0.25">
      <c r="A112" s="9">
        <v>108</v>
      </c>
      <c r="B112" s="9" t="s">
        <v>460</v>
      </c>
      <c r="C112" s="9" t="s">
        <v>323</v>
      </c>
      <c r="D112" s="10" t="s">
        <v>461</v>
      </c>
      <c r="E112" s="9" t="s">
        <v>354</v>
      </c>
      <c r="F112" s="9" t="s">
        <v>326</v>
      </c>
      <c r="G112" s="10" t="s">
        <v>462</v>
      </c>
      <c r="H112" s="9" t="s">
        <v>463</v>
      </c>
      <c r="I112" s="11">
        <v>13.791480999999999</v>
      </c>
      <c r="J112" s="11">
        <v>109.19237200000001</v>
      </c>
      <c r="K112" s="9" t="s">
        <v>329</v>
      </c>
      <c r="L112" s="10"/>
      <c r="M112" s="12" t="s">
        <v>51</v>
      </c>
      <c r="N112" s="13" t="s">
        <v>69</v>
      </c>
      <c r="O112" s="14"/>
      <c r="P112" s="14"/>
      <c r="Q112" s="13" t="s">
        <v>70</v>
      </c>
      <c r="R112" s="15" t="s">
        <v>54</v>
      </c>
      <c r="S112" s="13" t="s">
        <v>55</v>
      </c>
      <c r="T112" s="13" t="s">
        <v>330</v>
      </c>
      <c r="U112" s="16" t="str">
        <f t="shared" si="2"/>
        <v/>
      </c>
      <c r="V112" s="17" t="str">
        <f t="shared" si="3"/>
        <v>OK</v>
      </c>
    </row>
    <row r="113" spans="1:22" ht="25.5" x14ac:dyDescent="0.25">
      <c r="A113" s="9">
        <v>109</v>
      </c>
      <c r="B113" s="9" t="s">
        <v>464</v>
      </c>
      <c r="C113" s="9" t="s">
        <v>323</v>
      </c>
      <c r="D113" s="10" t="s">
        <v>461</v>
      </c>
      <c r="E113" s="9" t="s">
        <v>354</v>
      </c>
      <c r="F113" s="9" t="s">
        <v>326</v>
      </c>
      <c r="G113" s="10" t="s">
        <v>462</v>
      </c>
      <c r="H113" s="9" t="s">
        <v>463</v>
      </c>
      <c r="I113" s="11">
        <v>13.772334000000001</v>
      </c>
      <c r="J113" s="11">
        <v>109.29051699999999</v>
      </c>
      <c r="K113" s="9" t="s">
        <v>329</v>
      </c>
      <c r="L113" s="10"/>
      <c r="M113" s="12" t="s">
        <v>51</v>
      </c>
      <c r="N113" s="13" t="s">
        <v>69</v>
      </c>
      <c r="O113" s="14"/>
      <c r="P113" s="14"/>
      <c r="Q113" s="13" t="s">
        <v>70</v>
      </c>
      <c r="R113" s="15" t="s">
        <v>54</v>
      </c>
      <c r="S113" s="13" t="s">
        <v>55</v>
      </c>
      <c r="T113" s="13" t="s">
        <v>330</v>
      </c>
      <c r="U113" s="16" t="str">
        <f t="shared" si="2"/>
        <v/>
      </c>
      <c r="V113" s="17" t="str">
        <f t="shared" si="3"/>
        <v>OK</v>
      </c>
    </row>
    <row r="114" spans="1:22" ht="25.5" x14ac:dyDescent="0.25">
      <c r="A114" s="9">
        <v>110</v>
      </c>
      <c r="B114" s="9" t="s">
        <v>465</v>
      </c>
      <c r="C114" s="9" t="s">
        <v>323</v>
      </c>
      <c r="D114" s="10" t="s">
        <v>461</v>
      </c>
      <c r="E114" s="9" t="s">
        <v>354</v>
      </c>
      <c r="F114" s="9" t="s">
        <v>326</v>
      </c>
      <c r="G114" s="10" t="s">
        <v>462</v>
      </c>
      <c r="H114" s="9" t="s">
        <v>463</v>
      </c>
      <c r="I114" s="11">
        <v>13.885583</v>
      </c>
      <c r="J114" s="11">
        <v>109.25895300000001</v>
      </c>
      <c r="K114" s="9" t="s">
        <v>329</v>
      </c>
      <c r="L114" s="10"/>
      <c r="M114" s="12" t="s">
        <v>51</v>
      </c>
      <c r="N114" s="13" t="s">
        <v>69</v>
      </c>
      <c r="O114" s="14"/>
      <c r="P114" s="14"/>
      <c r="Q114" s="13" t="s">
        <v>70</v>
      </c>
      <c r="R114" s="15" t="s">
        <v>54</v>
      </c>
      <c r="S114" s="13" t="s">
        <v>55</v>
      </c>
      <c r="T114" s="13" t="s">
        <v>330</v>
      </c>
      <c r="U114" s="16" t="str">
        <f t="shared" si="2"/>
        <v/>
      </c>
      <c r="V114" s="17" t="str">
        <f t="shared" si="3"/>
        <v>OK</v>
      </c>
    </row>
    <row r="115" spans="1:22" x14ac:dyDescent="0.25">
      <c r="A115" s="9">
        <v>111</v>
      </c>
      <c r="B115" s="9" t="s">
        <v>466</v>
      </c>
      <c r="C115" s="9" t="s">
        <v>323</v>
      </c>
      <c r="D115" s="10" t="s">
        <v>353</v>
      </c>
      <c r="E115" s="9" t="s">
        <v>354</v>
      </c>
      <c r="F115" s="9" t="s">
        <v>326</v>
      </c>
      <c r="G115" s="10" t="s">
        <v>462</v>
      </c>
      <c r="H115" s="9" t="s">
        <v>463</v>
      </c>
      <c r="I115" s="11">
        <v>13.816458000000001</v>
      </c>
      <c r="J115" s="11">
        <v>109.256592</v>
      </c>
      <c r="K115" s="9" t="s">
        <v>329</v>
      </c>
      <c r="L115" s="10"/>
      <c r="M115" s="12" t="s">
        <v>51</v>
      </c>
      <c r="N115" s="13" t="s">
        <v>69</v>
      </c>
      <c r="O115" s="14"/>
      <c r="P115" s="14"/>
      <c r="Q115" s="13" t="s">
        <v>70</v>
      </c>
      <c r="R115" s="15" t="s">
        <v>54</v>
      </c>
      <c r="S115" s="13" t="s">
        <v>55</v>
      </c>
      <c r="T115" s="13" t="s">
        <v>330</v>
      </c>
      <c r="U115" s="16" t="str">
        <f t="shared" si="2"/>
        <v/>
      </c>
      <c r="V115" s="17" t="str">
        <f t="shared" si="3"/>
        <v>OK</v>
      </c>
    </row>
    <row r="116" spans="1:22" x14ac:dyDescent="0.25">
      <c r="A116" s="9">
        <v>112</v>
      </c>
      <c r="B116" s="9" t="s">
        <v>467</v>
      </c>
      <c r="C116" s="9" t="s">
        <v>323</v>
      </c>
      <c r="D116" s="10" t="s">
        <v>468</v>
      </c>
      <c r="E116" s="9" t="s">
        <v>354</v>
      </c>
      <c r="F116" s="9" t="s">
        <v>326</v>
      </c>
      <c r="G116" s="10" t="s">
        <v>469</v>
      </c>
      <c r="H116" s="9" t="s">
        <v>470</v>
      </c>
      <c r="I116" s="11">
        <v>14.561966</v>
      </c>
      <c r="J116" s="11">
        <v>109.04584699999999</v>
      </c>
      <c r="K116" s="9" t="s">
        <v>329</v>
      </c>
      <c r="L116" s="10"/>
      <c r="M116" s="12" t="s">
        <v>51</v>
      </c>
      <c r="N116" s="13" t="s">
        <v>69</v>
      </c>
      <c r="O116" s="14"/>
      <c r="P116" s="14"/>
      <c r="Q116" s="13" t="s">
        <v>70</v>
      </c>
      <c r="R116" s="15" t="s">
        <v>54</v>
      </c>
      <c r="S116" s="13" t="s">
        <v>55</v>
      </c>
      <c r="T116" s="13" t="s">
        <v>471</v>
      </c>
      <c r="U116" s="16" t="str">
        <f t="shared" si="2"/>
        <v/>
      </c>
      <c r="V116" s="17" t="str">
        <f t="shared" si="3"/>
        <v>OK</v>
      </c>
    </row>
    <row r="117" spans="1:22" x14ac:dyDescent="0.25">
      <c r="A117" s="9">
        <v>113</v>
      </c>
      <c r="B117" s="9" t="s">
        <v>472</v>
      </c>
      <c r="C117" s="9" t="s">
        <v>323</v>
      </c>
      <c r="D117" s="10" t="s">
        <v>353</v>
      </c>
      <c r="E117" s="9" t="s">
        <v>354</v>
      </c>
      <c r="F117" s="9" t="s">
        <v>326</v>
      </c>
      <c r="G117" s="10" t="s">
        <v>469</v>
      </c>
      <c r="H117" s="9" t="s">
        <v>470</v>
      </c>
      <c r="I117" s="11">
        <v>14.553922</v>
      </c>
      <c r="J117" s="11">
        <v>109.042895</v>
      </c>
      <c r="K117" s="9" t="s">
        <v>329</v>
      </c>
      <c r="L117" s="10"/>
      <c r="M117" s="12" t="s">
        <v>51</v>
      </c>
      <c r="N117" s="13" t="s">
        <v>69</v>
      </c>
      <c r="O117" s="14"/>
      <c r="P117" s="14"/>
      <c r="Q117" s="13" t="s">
        <v>70</v>
      </c>
      <c r="R117" s="15" t="s">
        <v>54</v>
      </c>
      <c r="S117" s="13" t="s">
        <v>55</v>
      </c>
      <c r="T117" s="13" t="s">
        <v>471</v>
      </c>
      <c r="U117" s="16" t="str">
        <f t="shared" si="2"/>
        <v/>
      </c>
      <c r="V117" s="17" t="str">
        <f t="shared" si="3"/>
        <v>OK</v>
      </c>
    </row>
    <row r="118" spans="1:22" x14ac:dyDescent="0.25">
      <c r="A118" s="9">
        <v>114</v>
      </c>
      <c r="B118" s="9" t="s">
        <v>473</v>
      </c>
      <c r="C118" s="9" t="s">
        <v>323</v>
      </c>
      <c r="D118" s="10" t="s">
        <v>474</v>
      </c>
      <c r="E118" s="9" t="s">
        <v>354</v>
      </c>
      <c r="F118" s="9" t="s">
        <v>326</v>
      </c>
      <c r="G118" s="10" t="s">
        <v>475</v>
      </c>
      <c r="H118" s="9" t="s">
        <v>110</v>
      </c>
      <c r="I118" s="11">
        <v>13.993392</v>
      </c>
      <c r="J118" s="11">
        <v>108.000955</v>
      </c>
      <c r="K118" s="9" t="s">
        <v>329</v>
      </c>
      <c r="L118" s="10"/>
      <c r="M118" s="12" t="s">
        <v>51</v>
      </c>
      <c r="N118" s="13" t="s">
        <v>62</v>
      </c>
      <c r="O118" s="14">
        <v>14.015744</v>
      </c>
      <c r="P118" s="14">
        <v>107.985772</v>
      </c>
      <c r="Q118" s="13" t="s">
        <v>53</v>
      </c>
      <c r="R118" s="15" t="s">
        <v>54</v>
      </c>
      <c r="S118" s="13" t="s">
        <v>55</v>
      </c>
      <c r="T118" s="13" t="s">
        <v>476</v>
      </c>
      <c r="U118" s="16">
        <f t="shared" si="2"/>
        <v>2966</v>
      </c>
      <c r="V118" s="17" t="str">
        <f t="shared" si="3"/>
        <v>OK</v>
      </c>
    </row>
    <row r="119" spans="1:22" x14ac:dyDescent="0.25">
      <c r="A119" s="9">
        <v>115</v>
      </c>
      <c r="B119" s="9" t="s">
        <v>477</v>
      </c>
      <c r="C119" s="9" t="s">
        <v>323</v>
      </c>
      <c r="D119" s="10" t="s">
        <v>478</v>
      </c>
      <c r="E119" s="9" t="s">
        <v>354</v>
      </c>
      <c r="F119" s="9" t="s">
        <v>326</v>
      </c>
      <c r="G119" s="10" t="s">
        <v>475</v>
      </c>
      <c r="H119" s="9" t="s">
        <v>110</v>
      </c>
      <c r="I119" s="11">
        <v>14.015715999999999</v>
      </c>
      <c r="J119" s="11">
        <v>107.991876</v>
      </c>
      <c r="K119" s="9" t="s">
        <v>329</v>
      </c>
      <c r="L119" s="10"/>
      <c r="M119" s="12" t="s">
        <v>51</v>
      </c>
      <c r="N119" s="13" t="s">
        <v>62</v>
      </c>
      <c r="O119" s="14">
        <v>13.888643</v>
      </c>
      <c r="P119" s="14">
        <v>108.04503800000001</v>
      </c>
      <c r="Q119" s="13" t="s">
        <v>53</v>
      </c>
      <c r="R119" s="15" t="s">
        <v>54</v>
      </c>
      <c r="S119" s="13" t="s">
        <v>55</v>
      </c>
      <c r="T119" s="13" t="s">
        <v>479</v>
      </c>
      <c r="U119" s="16">
        <f t="shared" si="2"/>
        <v>15175</v>
      </c>
      <c r="V119" s="17" t="str">
        <f t="shared" si="3"/>
        <v>OK</v>
      </c>
    </row>
    <row r="120" spans="1:22" x14ac:dyDescent="0.25">
      <c r="A120" s="9">
        <v>116</v>
      </c>
      <c r="B120" s="9" t="s">
        <v>480</v>
      </c>
      <c r="C120" s="9" t="s">
        <v>323</v>
      </c>
      <c r="D120" s="10" t="s">
        <v>369</v>
      </c>
      <c r="E120" s="9" t="s">
        <v>354</v>
      </c>
      <c r="F120" s="9" t="s">
        <v>326</v>
      </c>
      <c r="G120" s="10" t="s">
        <v>475</v>
      </c>
      <c r="H120" s="9" t="s">
        <v>110</v>
      </c>
      <c r="I120" s="11">
        <v>14.041971</v>
      </c>
      <c r="J120" s="11">
        <v>107.987605</v>
      </c>
      <c r="K120" s="9" t="s">
        <v>329</v>
      </c>
      <c r="L120" s="10"/>
      <c r="M120" s="12" t="s">
        <v>51</v>
      </c>
      <c r="N120" s="13" t="s">
        <v>62</v>
      </c>
      <c r="O120" s="14">
        <v>14.034293999999999</v>
      </c>
      <c r="P120" s="14">
        <v>107.988342</v>
      </c>
      <c r="Q120" s="13" t="s">
        <v>53</v>
      </c>
      <c r="R120" s="15" t="s">
        <v>54</v>
      </c>
      <c r="S120" s="13" t="s">
        <v>55</v>
      </c>
      <c r="T120" s="13" t="s">
        <v>481</v>
      </c>
      <c r="U120" s="16">
        <f t="shared" si="2"/>
        <v>852</v>
      </c>
      <c r="V120" s="17" t="str">
        <f t="shared" si="3"/>
        <v>OK</v>
      </c>
    </row>
    <row r="121" spans="1:22" x14ac:dyDescent="0.25">
      <c r="A121" s="9">
        <v>117</v>
      </c>
      <c r="B121" s="9" t="s">
        <v>482</v>
      </c>
      <c r="C121" s="9" t="s">
        <v>323</v>
      </c>
      <c r="D121" s="10" t="s">
        <v>369</v>
      </c>
      <c r="E121" s="9" t="s">
        <v>354</v>
      </c>
      <c r="F121" s="9" t="s">
        <v>326</v>
      </c>
      <c r="G121" s="10" t="s">
        <v>475</v>
      </c>
      <c r="H121" s="9" t="s">
        <v>110</v>
      </c>
      <c r="I121" s="11">
        <v>14.034438</v>
      </c>
      <c r="J121" s="11">
        <v>107.98800199999999</v>
      </c>
      <c r="K121" s="9" t="s">
        <v>329</v>
      </c>
      <c r="L121" s="10"/>
      <c r="M121" s="12" t="s">
        <v>51</v>
      </c>
      <c r="N121" s="13" t="s">
        <v>62</v>
      </c>
      <c r="O121" s="14">
        <v>14.034293999999999</v>
      </c>
      <c r="P121" s="14">
        <v>107.988342</v>
      </c>
      <c r="Q121" s="13" t="s">
        <v>53</v>
      </c>
      <c r="R121" s="15" t="s">
        <v>54</v>
      </c>
      <c r="S121" s="13" t="s">
        <v>55</v>
      </c>
      <c r="T121" s="13" t="s">
        <v>483</v>
      </c>
      <c r="U121" s="16">
        <f t="shared" si="2"/>
        <v>40</v>
      </c>
      <c r="V121" s="17" t="str">
        <f t="shared" si="3"/>
        <v>OK</v>
      </c>
    </row>
    <row r="122" spans="1:22" x14ac:dyDescent="0.25">
      <c r="A122" s="9">
        <v>118</v>
      </c>
      <c r="B122" s="9" t="s">
        <v>484</v>
      </c>
      <c r="C122" s="9" t="s">
        <v>323</v>
      </c>
      <c r="D122" s="10" t="s">
        <v>353</v>
      </c>
      <c r="E122" s="9" t="s">
        <v>354</v>
      </c>
      <c r="F122" s="9" t="s">
        <v>326</v>
      </c>
      <c r="G122" s="10" t="s">
        <v>475</v>
      </c>
      <c r="H122" s="9" t="s">
        <v>110</v>
      </c>
      <c r="I122" s="11">
        <v>14.02768</v>
      </c>
      <c r="J122" s="11">
        <v>107.98957900000001</v>
      </c>
      <c r="K122" s="9" t="s">
        <v>329</v>
      </c>
      <c r="L122" s="10"/>
      <c r="M122" s="12" t="s">
        <v>51</v>
      </c>
      <c r="N122" s="13" t="s">
        <v>62</v>
      </c>
      <c r="O122" s="14">
        <v>14.015744</v>
      </c>
      <c r="P122" s="14">
        <v>107.985772</v>
      </c>
      <c r="Q122" s="13" t="s">
        <v>53</v>
      </c>
      <c r="R122" s="15" t="s">
        <v>54</v>
      </c>
      <c r="S122" s="13" t="s">
        <v>55</v>
      </c>
      <c r="T122" s="13" t="s">
        <v>485</v>
      </c>
      <c r="U122" s="16">
        <f t="shared" si="2"/>
        <v>1382</v>
      </c>
      <c r="V122" s="17" t="str">
        <f t="shared" si="3"/>
        <v>OK</v>
      </c>
    </row>
    <row r="123" spans="1:22" x14ac:dyDescent="0.25">
      <c r="A123" s="9">
        <v>119</v>
      </c>
      <c r="B123" s="9" t="s">
        <v>486</v>
      </c>
      <c r="C123" s="9" t="s">
        <v>323</v>
      </c>
      <c r="D123" s="10" t="s">
        <v>487</v>
      </c>
      <c r="E123" s="9" t="s">
        <v>354</v>
      </c>
      <c r="F123" s="9" t="s">
        <v>326</v>
      </c>
      <c r="G123" s="10" t="s">
        <v>488</v>
      </c>
      <c r="H123" s="9" t="s">
        <v>489</v>
      </c>
      <c r="I123" s="11">
        <v>14.607595</v>
      </c>
      <c r="J123" s="11">
        <v>108.893125</v>
      </c>
      <c r="K123" s="9" t="s">
        <v>329</v>
      </c>
      <c r="L123" s="10"/>
      <c r="M123" s="12" t="s">
        <v>51</v>
      </c>
      <c r="N123" s="13" t="s">
        <v>69</v>
      </c>
      <c r="O123" s="14"/>
      <c r="P123" s="14"/>
      <c r="Q123" s="13" t="s">
        <v>70</v>
      </c>
      <c r="R123" s="15" t="s">
        <v>54</v>
      </c>
      <c r="S123" s="13" t="s">
        <v>55</v>
      </c>
      <c r="T123" s="13" t="s">
        <v>490</v>
      </c>
      <c r="U123" s="16" t="str">
        <f t="shared" si="2"/>
        <v/>
      </c>
      <c r="V123" s="17" t="str">
        <f t="shared" si="3"/>
        <v>OK</v>
      </c>
    </row>
    <row r="124" spans="1:22" x14ac:dyDescent="0.25">
      <c r="A124" s="9">
        <v>120</v>
      </c>
      <c r="B124" s="9" t="s">
        <v>491</v>
      </c>
      <c r="C124" s="9" t="s">
        <v>323</v>
      </c>
      <c r="D124" s="10" t="s">
        <v>492</v>
      </c>
      <c r="E124" s="9" t="s">
        <v>354</v>
      </c>
      <c r="F124" s="9" t="s">
        <v>326</v>
      </c>
      <c r="G124" s="10" t="s">
        <v>493</v>
      </c>
      <c r="H124" s="9" t="s">
        <v>494</v>
      </c>
      <c r="I124" s="11">
        <v>14.152006</v>
      </c>
      <c r="J124" s="11">
        <v>109.15356800000001</v>
      </c>
      <c r="K124" s="9" t="s">
        <v>329</v>
      </c>
      <c r="L124" s="10"/>
      <c r="M124" s="12" t="s">
        <v>51</v>
      </c>
      <c r="N124" s="13" t="s">
        <v>69</v>
      </c>
      <c r="O124" s="14"/>
      <c r="P124" s="14"/>
      <c r="Q124" s="13" t="s">
        <v>70</v>
      </c>
      <c r="R124" s="15" t="s">
        <v>54</v>
      </c>
      <c r="S124" s="13" t="s">
        <v>55</v>
      </c>
      <c r="T124" s="13" t="s">
        <v>495</v>
      </c>
      <c r="U124" s="16" t="str">
        <f t="shared" si="2"/>
        <v/>
      </c>
      <c r="V124" s="17" t="str">
        <f t="shared" si="3"/>
        <v>OK</v>
      </c>
    </row>
    <row r="125" spans="1:22" x14ac:dyDescent="0.25">
      <c r="A125" s="9">
        <v>121</v>
      </c>
      <c r="B125" s="9" t="s">
        <v>496</v>
      </c>
      <c r="C125" s="9" t="s">
        <v>323</v>
      </c>
      <c r="D125" s="10" t="s">
        <v>353</v>
      </c>
      <c r="E125" s="9" t="s">
        <v>354</v>
      </c>
      <c r="F125" s="9" t="s">
        <v>326</v>
      </c>
      <c r="G125" s="10" t="s">
        <v>493</v>
      </c>
      <c r="H125" s="9" t="s">
        <v>494</v>
      </c>
      <c r="I125" s="11">
        <v>14.174694000000001</v>
      </c>
      <c r="J125" s="11">
        <v>109.147507</v>
      </c>
      <c r="K125" s="9" t="s">
        <v>329</v>
      </c>
      <c r="L125" s="10"/>
      <c r="M125" s="12" t="s">
        <v>51</v>
      </c>
      <c r="N125" s="13" t="s">
        <v>69</v>
      </c>
      <c r="O125" s="14"/>
      <c r="P125" s="14"/>
      <c r="Q125" s="13" t="s">
        <v>70</v>
      </c>
      <c r="R125" s="15" t="s">
        <v>54</v>
      </c>
      <c r="S125" s="13" t="s">
        <v>55</v>
      </c>
      <c r="T125" s="13" t="s">
        <v>495</v>
      </c>
      <c r="U125" s="16" t="str">
        <f t="shared" si="2"/>
        <v/>
      </c>
      <c r="V125" s="17" t="str">
        <f t="shared" si="3"/>
        <v>OK</v>
      </c>
    </row>
    <row r="126" spans="1:22" x14ac:dyDescent="0.25">
      <c r="A126" s="9">
        <v>122</v>
      </c>
      <c r="B126" s="9" t="s">
        <v>497</v>
      </c>
      <c r="C126" s="9" t="s">
        <v>323</v>
      </c>
      <c r="D126" s="10" t="s">
        <v>353</v>
      </c>
      <c r="E126" s="9" t="s">
        <v>354</v>
      </c>
      <c r="F126" s="9" t="s">
        <v>326</v>
      </c>
      <c r="G126" s="10" t="s">
        <v>493</v>
      </c>
      <c r="H126" s="9" t="s">
        <v>494</v>
      </c>
      <c r="I126" s="11">
        <v>14.170282</v>
      </c>
      <c r="J126" s="11">
        <v>109.138158</v>
      </c>
      <c r="K126" s="9" t="s">
        <v>329</v>
      </c>
      <c r="L126" s="10"/>
      <c r="M126" s="12" t="s">
        <v>51</v>
      </c>
      <c r="N126" s="13" t="s">
        <v>69</v>
      </c>
      <c r="O126" s="14"/>
      <c r="P126" s="14"/>
      <c r="Q126" s="13" t="s">
        <v>70</v>
      </c>
      <c r="R126" s="15" t="s">
        <v>54</v>
      </c>
      <c r="S126" s="13" t="s">
        <v>55</v>
      </c>
      <c r="T126" s="13" t="s">
        <v>495</v>
      </c>
      <c r="U126" s="16" t="str">
        <f t="shared" si="2"/>
        <v/>
      </c>
      <c r="V126" s="17" t="str">
        <f t="shared" si="3"/>
        <v>OK</v>
      </c>
    </row>
    <row r="127" spans="1:22" x14ac:dyDescent="0.25">
      <c r="A127" s="9">
        <v>123</v>
      </c>
      <c r="B127" s="9" t="s">
        <v>498</v>
      </c>
      <c r="C127" s="9" t="s">
        <v>323</v>
      </c>
      <c r="D127" s="10" t="s">
        <v>499</v>
      </c>
      <c r="E127" s="9" t="s">
        <v>354</v>
      </c>
      <c r="F127" s="9" t="s">
        <v>326</v>
      </c>
      <c r="G127" s="10" t="s">
        <v>500</v>
      </c>
      <c r="H127" s="9" t="s">
        <v>501</v>
      </c>
      <c r="I127" s="11">
        <v>13.865309999999999</v>
      </c>
      <c r="J127" s="11">
        <v>109.01202600000001</v>
      </c>
      <c r="K127" s="9" t="s">
        <v>329</v>
      </c>
      <c r="L127" s="10"/>
      <c r="M127" s="12" t="s">
        <v>51</v>
      </c>
      <c r="N127" s="13" t="s">
        <v>69</v>
      </c>
      <c r="O127" s="14"/>
      <c r="P127" s="14"/>
      <c r="Q127" s="13" t="s">
        <v>70</v>
      </c>
      <c r="R127" s="15" t="s">
        <v>54</v>
      </c>
      <c r="S127" s="13" t="s">
        <v>55</v>
      </c>
      <c r="T127" s="13" t="s">
        <v>361</v>
      </c>
      <c r="U127" s="16" t="str">
        <f t="shared" si="2"/>
        <v/>
      </c>
      <c r="V127" s="17" t="str">
        <f t="shared" si="3"/>
        <v>OK</v>
      </c>
    </row>
    <row r="128" spans="1:22" x14ac:dyDescent="0.25">
      <c r="A128" s="9">
        <v>124</v>
      </c>
      <c r="B128" s="9" t="s">
        <v>502</v>
      </c>
      <c r="C128" s="9" t="s">
        <v>323</v>
      </c>
      <c r="D128" s="10" t="s">
        <v>367</v>
      </c>
      <c r="E128" s="9" t="s">
        <v>354</v>
      </c>
      <c r="F128" s="9" t="s">
        <v>326</v>
      </c>
      <c r="G128" s="10" t="s">
        <v>503</v>
      </c>
      <c r="H128" s="9" t="s">
        <v>115</v>
      </c>
      <c r="I128" s="11">
        <v>14.089625</v>
      </c>
      <c r="J128" s="11">
        <v>107.981072</v>
      </c>
      <c r="K128" s="9" t="s">
        <v>329</v>
      </c>
      <c r="L128" s="10"/>
      <c r="M128" s="12" t="s">
        <v>51</v>
      </c>
      <c r="N128" s="13" t="s">
        <v>62</v>
      </c>
      <c r="O128" s="14">
        <v>14.092746</v>
      </c>
      <c r="P128" s="14">
        <v>107.97790000000001</v>
      </c>
      <c r="Q128" s="13" t="s">
        <v>53</v>
      </c>
      <c r="R128" s="15" t="s">
        <v>54</v>
      </c>
      <c r="S128" s="13" t="s">
        <v>55</v>
      </c>
      <c r="T128" s="13" t="s">
        <v>504</v>
      </c>
      <c r="U128" s="16">
        <f t="shared" si="2"/>
        <v>486</v>
      </c>
      <c r="V128" s="17" t="str">
        <f t="shared" si="3"/>
        <v>OK</v>
      </c>
    </row>
    <row r="129" spans="1:22" x14ac:dyDescent="0.25">
      <c r="A129" s="9">
        <v>125</v>
      </c>
      <c r="B129" s="9" t="s">
        <v>505</v>
      </c>
      <c r="C129" s="9" t="s">
        <v>323</v>
      </c>
      <c r="D129" s="10" t="s">
        <v>369</v>
      </c>
      <c r="E129" s="9" t="s">
        <v>354</v>
      </c>
      <c r="F129" s="9" t="s">
        <v>326</v>
      </c>
      <c r="G129" s="10" t="s">
        <v>503</v>
      </c>
      <c r="H129" s="9" t="s">
        <v>115</v>
      </c>
      <c r="I129" s="11">
        <v>14.046784000000001</v>
      </c>
      <c r="J129" s="11">
        <v>108.02573</v>
      </c>
      <c r="K129" s="9" t="s">
        <v>329</v>
      </c>
      <c r="L129" s="10"/>
      <c r="M129" s="12" t="s">
        <v>51</v>
      </c>
      <c r="N129" s="13" t="s">
        <v>62</v>
      </c>
      <c r="O129" s="14">
        <v>14.034293999999999</v>
      </c>
      <c r="P129" s="14">
        <v>107.988342</v>
      </c>
      <c r="Q129" s="13" t="s">
        <v>53</v>
      </c>
      <c r="R129" s="15" t="s">
        <v>54</v>
      </c>
      <c r="S129" s="13" t="s">
        <v>55</v>
      </c>
      <c r="T129" s="13" t="s">
        <v>506</v>
      </c>
      <c r="U129" s="16">
        <f t="shared" si="2"/>
        <v>4267</v>
      </c>
      <c r="V129" s="17" t="str">
        <f t="shared" si="3"/>
        <v>OK</v>
      </c>
    </row>
    <row r="130" spans="1:22" x14ac:dyDescent="0.25">
      <c r="A130" s="9">
        <v>126</v>
      </c>
      <c r="B130" s="9" t="s">
        <v>507</v>
      </c>
      <c r="C130" s="9" t="s">
        <v>323</v>
      </c>
      <c r="D130" s="10" t="s">
        <v>353</v>
      </c>
      <c r="E130" s="9" t="s">
        <v>354</v>
      </c>
      <c r="F130" s="9" t="s">
        <v>326</v>
      </c>
      <c r="G130" s="10" t="s">
        <v>503</v>
      </c>
      <c r="H130" s="9" t="s">
        <v>115</v>
      </c>
      <c r="I130" s="11">
        <v>14.092750000000001</v>
      </c>
      <c r="J130" s="11">
        <v>107.978184</v>
      </c>
      <c r="K130" s="9" t="s">
        <v>329</v>
      </c>
      <c r="L130" s="10"/>
      <c r="M130" s="12" t="s">
        <v>51</v>
      </c>
      <c r="N130" s="13" t="s">
        <v>62</v>
      </c>
      <c r="O130" s="14">
        <v>14.092746</v>
      </c>
      <c r="P130" s="14">
        <v>107.97790000000001</v>
      </c>
      <c r="Q130" s="13" t="s">
        <v>53</v>
      </c>
      <c r="R130" s="15" t="s">
        <v>54</v>
      </c>
      <c r="S130" s="13" t="s">
        <v>55</v>
      </c>
      <c r="T130" s="13" t="s">
        <v>508</v>
      </c>
      <c r="U130" s="16">
        <f t="shared" si="2"/>
        <v>31</v>
      </c>
      <c r="V130" s="17" t="str">
        <f t="shared" si="3"/>
        <v>OK</v>
      </c>
    </row>
    <row r="131" spans="1:22" x14ac:dyDescent="0.25">
      <c r="A131" s="9">
        <v>127</v>
      </c>
      <c r="B131" s="9" t="s">
        <v>509</v>
      </c>
      <c r="C131" s="9" t="s">
        <v>323</v>
      </c>
      <c r="D131" s="10" t="s">
        <v>353</v>
      </c>
      <c r="E131" s="9" t="s">
        <v>354</v>
      </c>
      <c r="F131" s="9" t="s">
        <v>326</v>
      </c>
      <c r="G131" s="10" t="s">
        <v>503</v>
      </c>
      <c r="H131" s="9" t="s">
        <v>115</v>
      </c>
      <c r="I131" s="11">
        <v>14.080199</v>
      </c>
      <c r="J131" s="11">
        <v>107.98809900000001</v>
      </c>
      <c r="K131" s="9" t="s">
        <v>329</v>
      </c>
      <c r="L131" s="10"/>
      <c r="M131" s="12" t="s">
        <v>51</v>
      </c>
      <c r="N131" s="13" t="s">
        <v>62</v>
      </c>
      <c r="O131" s="14">
        <v>14.092746</v>
      </c>
      <c r="P131" s="14">
        <v>107.97790000000001</v>
      </c>
      <c r="Q131" s="13" t="s">
        <v>53</v>
      </c>
      <c r="R131" s="15" t="s">
        <v>54</v>
      </c>
      <c r="S131" s="13" t="s">
        <v>55</v>
      </c>
      <c r="T131" s="13" t="s">
        <v>510</v>
      </c>
      <c r="U131" s="16">
        <f t="shared" si="2"/>
        <v>1771</v>
      </c>
      <c r="V131" s="17" t="str">
        <f t="shared" si="3"/>
        <v>OK</v>
      </c>
    </row>
    <row r="132" spans="1:22" x14ac:dyDescent="0.25">
      <c r="A132" s="9">
        <v>128</v>
      </c>
      <c r="B132" s="9" t="s">
        <v>511</v>
      </c>
      <c r="C132" s="9" t="s">
        <v>323</v>
      </c>
      <c r="D132" s="10" t="s">
        <v>512</v>
      </c>
      <c r="E132" s="9" t="s">
        <v>354</v>
      </c>
      <c r="F132" s="9" t="s">
        <v>326</v>
      </c>
      <c r="G132" s="10" t="s">
        <v>513</v>
      </c>
      <c r="H132" s="9" t="s">
        <v>514</v>
      </c>
      <c r="I132" s="11">
        <v>13.864452999999999</v>
      </c>
      <c r="J132" s="11">
        <v>107.966449</v>
      </c>
      <c r="K132" s="9" t="s">
        <v>329</v>
      </c>
      <c r="L132" s="10"/>
      <c r="M132" s="12" t="s">
        <v>51</v>
      </c>
      <c r="N132" s="13" t="s">
        <v>62</v>
      </c>
      <c r="O132" s="14">
        <v>13.834585000000001</v>
      </c>
      <c r="P132" s="14">
        <v>107.906964</v>
      </c>
      <c r="Q132" s="13" t="s">
        <v>53</v>
      </c>
      <c r="R132" s="15" t="s">
        <v>54</v>
      </c>
      <c r="S132" s="13" t="s">
        <v>55</v>
      </c>
      <c r="T132" s="13" t="s">
        <v>515</v>
      </c>
      <c r="U132" s="16">
        <f t="shared" si="2"/>
        <v>7227</v>
      </c>
      <c r="V132" s="17" t="str">
        <f t="shared" si="3"/>
        <v>OK</v>
      </c>
    </row>
    <row r="133" spans="1:22" x14ac:dyDescent="0.25">
      <c r="A133" s="9">
        <v>129</v>
      </c>
      <c r="B133" s="9" t="s">
        <v>516</v>
      </c>
      <c r="C133" s="9" t="s">
        <v>323</v>
      </c>
      <c r="D133" s="10" t="s">
        <v>367</v>
      </c>
      <c r="E133" s="9" t="s">
        <v>354</v>
      </c>
      <c r="F133" s="9" t="s">
        <v>326</v>
      </c>
      <c r="G133" s="10" t="s">
        <v>513</v>
      </c>
      <c r="H133" s="9" t="s">
        <v>514</v>
      </c>
      <c r="I133" s="11">
        <v>13.815742999999999</v>
      </c>
      <c r="J133" s="11">
        <v>107.87992300000001</v>
      </c>
      <c r="K133" s="9" t="s">
        <v>329</v>
      </c>
      <c r="L133" s="10"/>
      <c r="M133" s="12" t="s">
        <v>51</v>
      </c>
      <c r="N133" s="13" t="s">
        <v>62</v>
      </c>
      <c r="O133" s="14">
        <v>13.864411</v>
      </c>
      <c r="P133" s="14">
        <v>107.966494</v>
      </c>
      <c r="Q133" s="13" t="s">
        <v>53</v>
      </c>
      <c r="R133" s="15" t="s">
        <v>54</v>
      </c>
      <c r="S133" s="13" t="s">
        <v>55</v>
      </c>
      <c r="T133" s="13" t="s">
        <v>517</v>
      </c>
      <c r="U133" s="16">
        <f t="shared" ref="U133:U196" si="4">IF(AND(ISNUMBER(O133),ISNUMBER(P133)),ROUND(SQRT(((P133-J133)*111320*COS(RADIANS(I133)))^2+((O133-I133)*110540)^2),0),"")</f>
        <v>10794</v>
      </c>
      <c r="V133" s="17" t="str">
        <f t="shared" ref="V133:V196" si="5">IF(N133="","",IF(N133="Sửa vị trí",IF(OR(O133="",P133=""),"Thiếu vĩ độ / kinh độ mới",IF(OR(O133&lt;12.5,O133&gt;15,P133&lt;107,P133&gt;109.6),"Toạ độ ngoài Gia Lai (đảo vĩ/kinh độ?)",IF(Q133="","Chọn cách xác định",IF(U133&gt;20000,"Dời hơn 20 km – kiểm tra lại","OK")))),IF(AND(N133&lt;&gt;"Sửa vị trí",OR(O133&lt;&gt;"",P133&lt;&gt;"")),"Có toạ độ mới nhưng kết quả không phải Sửa vị trí","OK")))</f>
        <v>OK</v>
      </c>
    </row>
    <row r="134" spans="1:22" x14ac:dyDescent="0.25">
      <c r="A134" s="9">
        <v>130</v>
      </c>
      <c r="B134" s="9" t="s">
        <v>518</v>
      </c>
      <c r="C134" s="9" t="s">
        <v>323</v>
      </c>
      <c r="D134" s="10" t="s">
        <v>367</v>
      </c>
      <c r="E134" s="9" t="s">
        <v>354</v>
      </c>
      <c r="F134" s="9" t="s">
        <v>326</v>
      </c>
      <c r="G134" s="10" t="s">
        <v>513</v>
      </c>
      <c r="H134" s="9" t="s">
        <v>514</v>
      </c>
      <c r="I134" s="11">
        <v>13.858921</v>
      </c>
      <c r="J134" s="11">
        <v>107.949685</v>
      </c>
      <c r="K134" s="9" t="s">
        <v>329</v>
      </c>
      <c r="L134" s="10"/>
      <c r="M134" s="12" t="s">
        <v>51</v>
      </c>
      <c r="N134" s="13" t="s">
        <v>62</v>
      </c>
      <c r="O134" s="14">
        <v>13.864411</v>
      </c>
      <c r="P134" s="14">
        <v>107.966494</v>
      </c>
      <c r="Q134" s="13" t="s">
        <v>53</v>
      </c>
      <c r="R134" s="15" t="s">
        <v>54</v>
      </c>
      <c r="S134" s="13" t="s">
        <v>55</v>
      </c>
      <c r="T134" s="13" t="s">
        <v>519</v>
      </c>
      <c r="U134" s="16">
        <f t="shared" si="4"/>
        <v>1915</v>
      </c>
      <c r="V134" s="17" t="str">
        <f t="shared" si="5"/>
        <v>OK</v>
      </c>
    </row>
    <row r="135" spans="1:22" x14ac:dyDescent="0.25">
      <c r="A135" s="9">
        <v>131</v>
      </c>
      <c r="B135" s="9" t="s">
        <v>520</v>
      </c>
      <c r="C135" s="9" t="s">
        <v>323</v>
      </c>
      <c r="D135" s="10" t="s">
        <v>367</v>
      </c>
      <c r="E135" s="9" t="s">
        <v>354</v>
      </c>
      <c r="F135" s="9" t="s">
        <v>326</v>
      </c>
      <c r="G135" s="10" t="s">
        <v>513</v>
      </c>
      <c r="H135" s="9" t="s">
        <v>514</v>
      </c>
      <c r="I135" s="11">
        <v>13.855373</v>
      </c>
      <c r="J135" s="11">
        <v>107.920382</v>
      </c>
      <c r="K135" s="9" t="s">
        <v>329</v>
      </c>
      <c r="L135" s="10"/>
      <c r="M135" s="12" t="s">
        <v>51</v>
      </c>
      <c r="N135" s="13" t="s">
        <v>62</v>
      </c>
      <c r="O135" s="14">
        <v>13.864411</v>
      </c>
      <c r="P135" s="14">
        <v>107.966494</v>
      </c>
      <c r="Q135" s="13" t="s">
        <v>53</v>
      </c>
      <c r="R135" s="15" t="s">
        <v>54</v>
      </c>
      <c r="S135" s="13" t="s">
        <v>55</v>
      </c>
      <c r="T135" s="13" t="s">
        <v>521</v>
      </c>
      <c r="U135" s="16">
        <f t="shared" si="4"/>
        <v>5083</v>
      </c>
      <c r="V135" s="17" t="str">
        <f t="shared" si="5"/>
        <v>OK</v>
      </c>
    </row>
    <row r="136" spans="1:22" x14ac:dyDescent="0.25">
      <c r="A136" s="9">
        <v>132</v>
      </c>
      <c r="B136" s="9" t="s">
        <v>522</v>
      </c>
      <c r="C136" s="9" t="s">
        <v>323</v>
      </c>
      <c r="D136" s="10" t="s">
        <v>367</v>
      </c>
      <c r="E136" s="9" t="s">
        <v>354</v>
      </c>
      <c r="F136" s="9" t="s">
        <v>326</v>
      </c>
      <c r="G136" s="10" t="s">
        <v>513</v>
      </c>
      <c r="H136" s="9" t="s">
        <v>514</v>
      </c>
      <c r="I136" s="11">
        <v>13.818932</v>
      </c>
      <c r="J136" s="11">
        <v>107.872805</v>
      </c>
      <c r="K136" s="9" t="s">
        <v>329</v>
      </c>
      <c r="L136" s="10"/>
      <c r="M136" s="12" t="s">
        <v>51</v>
      </c>
      <c r="N136" s="13" t="s">
        <v>62</v>
      </c>
      <c r="O136" s="14">
        <v>13.864411</v>
      </c>
      <c r="P136" s="14">
        <v>107.966494</v>
      </c>
      <c r="Q136" s="13" t="s">
        <v>53</v>
      </c>
      <c r="R136" s="15" t="s">
        <v>54</v>
      </c>
      <c r="S136" s="13" t="s">
        <v>55</v>
      </c>
      <c r="T136" s="13" t="s">
        <v>523</v>
      </c>
      <c r="U136" s="16">
        <f t="shared" si="4"/>
        <v>11307</v>
      </c>
      <c r="V136" s="17" t="str">
        <f t="shared" si="5"/>
        <v>OK</v>
      </c>
    </row>
    <row r="137" spans="1:22" x14ac:dyDescent="0.25">
      <c r="A137" s="9">
        <v>133</v>
      </c>
      <c r="B137" s="9" t="s">
        <v>524</v>
      </c>
      <c r="C137" s="9" t="s">
        <v>323</v>
      </c>
      <c r="D137" s="10" t="s">
        <v>367</v>
      </c>
      <c r="E137" s="9" t="s">
        <v>354</v>
      </c>
      <c r="F137" s="9" t="s">
        <v>326</v>
      </c>
      <c r="G137" s="10" t="s">
        <v>513</v>
      </c>
      <c r="H137" s="9" t="s">
        <v>514</v>
      </c>
      <c r="I137" s="11">
        <v>13.857898</v>
      </c>
      <c r="J137" s="11">
        <v>107.928122</v>
      </c>
      <c r="K137" s="9" t="s">
        <v>329</v>
      </c>
      <c r="L137" s="10"/>
      <c r="M137" s="12" t="s">
        <v>51</v>
      </c>
      <c r="N137" s="13" t="s">
        <v>62</v>
      </c>
      <c r="O137" s="14">
        <v>13.864411</v>
      </c>
      <c r="P137" s="14">
        <v>107.966494</v>
      </c>
      <c r="Q137" s="13" t="s">
        <v>53</v>
      </c>
      <c r="R137" s="15" t="s">
        <v>54</v>
      </c>
      <c r="S137" s="13" t="s">
        <v>55</v>
      </c>
      <c r="T137" s="13" t="s">
        <v>525</v>
      </c>
      <c r="U137" s="16">
        <f t="shared" si="4"/>
        <v>4209</v>
      </c>
      <c r="V137" s="17" t="str">
        <f t="shared" si="5"/>
        <v>OK</v>
      </c>
    </row>
    <row r="138" spans="1:22" x14ac:dyDescent="0.25">
      <c r="A138" s="9">
        <v>134</v>
      </c>
      <c r="B138" s="9" t="s">
        <v>526</v>
      </c>
      <c r="C138" s="9" t="s">
        <v>323</v>
      </c>
      <c r="D138" s="10" t="s">
        <v>367</v>
      </c>
      <c r="E138" s="9" t="s">
        <v>354</v>
      </c>
      <c r="F138" s="9" t="s">
        <v>326</v>
      </c>
      <c r="G138" s="10" t="s">
        <v>513</v>
      </c>
      <c r="H138" s="9" t="s">
        <v>514</v>
      </c>
      <c r="I138" s="11">
        <v>13.858101</v>
      </c>
      <c r="J138" s="11">
        <v>107.94502199999999</v>
      </c>
      <c r="K138" s="9" t="s">
        <v>329</v>
      </c>
      <c r="L138" s="10"/>
      <c r="M138" s="12" t="s">
        <v>51</v>
      </c>
      <c r="N138" s="13" t="s">
        <v>62</v>
      </c>
      <c r="O138" s="14">
        <v>13.864411</v>
      </c>
      <c r="P138" s="14">
        <v>107.966494</v>
      </c>
      <c r="Q138" s="13" t="s">
        <v>53</v>
      </c>
      <c r="R138" s="15" t="s">
        <v>54</v>
      </c>
      <c r="S138" s="13" t="s">
        <v>55</v>
      </c>
      <c r="T138" s="13" t="s">
        <v>527</v>
      </c>
      <c r="U138" s="16">
        <f t="shared" si="4"/>
        <v>2423</v>
      </c>
      <c r="V138" s="17" t="str">
        <f t="shared" si="5"/>
        <v>OK</v>
      </c>
    </row>
    <row r="139" spans="1:22" x14ac:dyDescent="0.25">
      <c r="A139" s="9">
        <v>135</v>
      </c>
      <c r="B139" s="9" t="s">
        <v>528</v>
      </c>
      <c r="C139" s="9" t="s">
        <v>323</v>
      </c>
      <c r="D139" s="10" t="s">
        <v>529</v>
      </c>
      <c r="E139" s="9" t="s">
        <v>354</v>
      </c>
      <c r="F139" s="9" t="s">
        <v>326</v>
      </c>
      <c r="G139" s="10" t="s">
        <v>530</v>
      </c>
      <c r="H139" s="9" t="s">
        <v>531</v>
      </c>
      <c r="I139" s="11">
        <v>14.291527</v>
      </c>
      <c r="J139" s="11">
        <v>109.078678</v>
      </c>
      <c r="K139" s="9" t="s">
        <v>329</v>
      </c>
      <c r="L139" s="10"/>
      <c r="M139" s="12" t="s">
        <v>51</v>
      </c>
      <c r="N139" s="13" t="s">
        <v>69</v>
      </c>
      <c r="O139" s="14"/>
      <c r="P139" s="14"/>
      <c r="Q139" s="13" t="s">
        <v>70</v>
      </c>
      <c r="R139" s="15" t="s">
        <v>54</v>
      </c>
      <c r="S139" s="13" t="s">
        <v>55</v>
      </c>
      <c r="T139" s="13" t="s">
        <v>532</v>
      </c>
      <c r="U139" s="16" t="str">
        <f t="shared" si="4"/>
        <v/>
      </c>
      <c r="V139" s="17" t="str">
        <f t="shared" si="5"/>
        <v>OK</v>
      </c>
    </row>
    <row r="140" spans="1:22" ht="25.5" x14ac:dyDescent="0.25">
      <c r="A140" s="9">
        <v>136</v>
      </c>
      <c r="B140" s="9" t="s">
        <v>533</v>
      </c>
      <c r="C140" s="9" t="s">
        <v>323</v>
      </c>
      <c r="D140" s="10" t="s">
        <v>534</v>
      </c>
      <c r="E140" s="9" t="s">
        <v>354</v>
      </c>
      <c r="F140" s="9" t="s">
        <v>326</v>
      </c>
      <c r="G140" s="10" t="s">
        <v>535</v>
      </c>
      <c r="H140" s="9" t="s">
        <v>536</v>
      </c>
      <c r="I140" s="11">
        <v>13.958247</v>
      </c>
      <c r="J140" s="11">
        <v>108.828778</v>
      </c>
      <c r="K140" s="9" t="s">
        <v>329</v>
      </c>
      <c r="L140" s="10"/>
      <c r="M140" s="12" t="s">
        <v>51</v>
      </c>
      <c r="N140" s="13" t="s">
        <v>69</v>
      </c>
      <c r="O140" s="14"/>
      <c r="P140" s="14"/>
      <c r="Q140" s="13" t="s">
        <v>70</v>
      </c>
      <c r="R140" s="15" t="s">
        <v>54</v>
      </c>
      <c r="S140" s="13" t="s">
        <v>55</v>
      </c>
      <c r="T140" s="13" t="s">
        <v>378</v>
      </c>
      <c r="U140" s="16" t="str">
        <f t="shared" si="4"/>
        <v/>
      </c>
      <c r="V140" s="17" t="str">
        <f t="shared" si="5"/>
        <v>OK</v>
      </c>
    </row>
    <row r="141" spans="1:22" x14ac:dyDescent="0.25">
      <c r="A141" s="9">
        <v>137</v>
      </c>
      <c r="B141" s="9" t="s">
        <v>537</v>
      </c>
      <c r="C141" s="9" t="s">
        <v>323</v>
      </c>
      <c r="D141" s="10" t="s">
        <v>353</v>
      </c>
      <c r="E141" s="9" t="s">
        <v>354</v>
      </c>
      <c r="F141" s="9" t="s">
        <v>326</v>
      </c>
      <c r="G141" s="10" t="s">
        <v>538</v>
      </c>
      <c r="H141" s="9" t="s">
        <v>539</v>
      </c>
      <c r="I141" s="11">
        <v>13.549201999999999</v>
      </c>
      <c r="J141" s="11">
        <v>108.260796</v>
      </c>
      <c r="K141" s="9" t="s">
        <v>329</v>
      </c>
      <c r="L141" s="10"/>
      <c r="M141" s="12" t="s">
        <v>51</v>
      </c>
      <c r="N141" s="13" t="s">
        <v>62</v>
      </c>
      <c r="O141" s="14">
        <v>13.534174</v>
      </c>
      <c r="P141" s="14">
        <v>108.29862199999999</v>
      </c>
      <c r="Q141" s="13" t="s">
        <v>53</v>
      </c>
      <c r="R141" s="15" t="s">
        <v>54</v>
      </c>
      <c r="S141" s="13" t="s">
        <v>55</v>
      </c>
      <c r="T141" s="13" t="s">
        <v>540</v>
      </c>
      <c r="U141" s="16">
        <f t="shared" si="4"/>
        <v>4418</v>
      </c>
      <c r="V141" s="17" t="str">
        <f t="shared" si="5"/>
        <v>OK</v>
      </c>
    </row>
    <row r="142" spans="1:22" x14ac:dyDescent="0.25">
      <c r="A142" s="9">
        <v>138</v>
      </c>
      <c r="B142" s="9" t="s">
        <v>541</v>
      </c>
      <c r="C142" s="9" t="s">
        <v>323</v>
      </c>
      <c r="D142" s="10" t="s">
        <v>353</v>
      </c>
      <c r="E142" s="9" t="s">
        <v>354</v>
      </c>
      <c r="F142" s="9" t="s">
        <v>326</v>
      </c>
      <c r="G142" s="10" t="s">
        <v>538</v>
      </c>
      <c r="H142" s="9" t="s">
        <v>539</v>
      </c>
      <c r="I142" s="11">
        <v>13.536567</v>
      </c>
      <c r="J142" s="11">
        <v>108.293344</v>
      </c>
      <c r="K142" s="9" t="s">
        <v>329</v>
      </c>
      <c r="L142" s="10"/>
      <c r="M142" s="12" t="s">
        <v>51</v>
      </c>
      <c r="N142" s="13" t="s">
        <v>62</v>
      </c>
      <c r="O142" s="14">
        <v>13.534174</v>
      </c>
      <c r="P142" s="14">
        <v>108.29862199999999</v>
      </c>
      <c r="Q142" s="13" t="s">
        <v>53</v>
      </c>
      <c r="R142" s="15" t="s">
        <v>54</v>
      </c>
      <c r="S142" s="13" t="s">
        <v>55</v>
      </c>
      <c r="T142" s="13" t="s">
        <v>542</v>
      </c>
      <c r="U142" s="16">
        <f t="shared" si="4"/>
        <v>630</v>
      </c>
      <c r="V142" s="17" t="str">
        <f t="shared" si="5"/>
        <v>OK</v>
      </c>
    </row>
    <row r="143" spans="1:22" x14ac:dyDescent="0.25">
      <c r="A143" s="9">
        <v>139</v>
      </c>
      <c r="B143" s="9" t="s">
        <v>543</v>
      </c>
      <c r="C143" s="9" t="s">
        <v>323</v>
      </c>
      <c r="D143" s="10" t="s">
        <v>353</v>
      </c>
      <c r="E143" s="9" t="s">
        <v>354</v>
      </c>
      <c r="F143" s="9" t="s">
        <v>326</v>
      </c>
      <c r="G143" s="10" t="s">
        <v>538</v>
      </c>
      <c r="H143" s="9" t="s">
        <v>539</v>
      </c>
      <c r="I143" s="11">
        <v>13.534416</v>
      </c>
      <c r="J143" s="11">
        <v>108.298394</v>
      </c>
      <c r="K143" s="9" t="s">
        <v>329</v>
      </c>
      <c r="L143" s="10"/>
      <c r="M143" s="12" t="s">
        <v>51</v>
      </c>
      <c r="N143" s="13" t="s">
        <v>62</v>
      </c>
      <c r="O143" s="14">
        <v>13.534174</v>
      </c>
      <c r="P143" s="14">
        <v>108.29862199999999</v>
      </c>
      <c r="Q143" s="13" t="s">
        <v>53</v>
      </c>
      <c r="R143" s="15" t="s">
        <v>54</v>
      </c>
      <c r="S143" s="13" t="s">
        <v>55</v>
      </c>
      <c r="T143" s="13" t="s">
        <v>544</v>
      </c>
      <c r="U143" s="16">
        <f t="shared" si="4"/>
        <v>36</v>
      </c>
      <c r="V143" s="17" t="str">
        <f t="shared" si="5"/>
        <v>OK</v>
      </c>
    </row>
    <row r="144" spans="1:22" x14ac:dyDescent="0.25">
      <c r="A144" s="9">
        <v>140</v>
      </c>
      <c r="B144" s="9" t="s">
        <v>545</v>
      </c>
      <c r="C144" s="9" t="s">
        <v>323</v>
      </c>
      <c r="D144" s="10" t="s">
        <v>546</v>
      </c>
      <c r="E144" s="9" t="s">
        <v>354</v>
      </c>
      <c r="F144" s="9" t="s">
        <v>326</v>
      </c>
      <c r="G144" s="10" t="s">
        <v>547</v>
      </c>
      <c r="H144" s="9" t="s">
        <v>548</v>
      </c>
      <c r="I144" s="11">
        <v>14.118359999999999</v>
      </c>
      <c r="J144" s="11">
        <v>107.95543499999999</v>
      </c>
      <c r="K144" s="9" t="s">
        <v>329</v>
      </c>
      <c r="L144" s="10"/>
      <c r="M144" s="12" t="s">
        <v>51</v>
      </c>
      <c r="N144" s="13" t="s">
        <v>62</v>
      </c>
      <c r="O144" s="14">
        <v>13.985462</v>
      </c>
      <c r="P144" s="14">
        <v>107.936851</v>
      </c>
      <c r="Q144" s="13" t="s">
        <v>53</v>
      </c>
      <c r="R144" s="15" t="s">
        <v>54</v>
      </c>
      <c r="S144" s="13" t="s">
        <v>55</v>
      </c>
      <c r="T144" s="13" t="s">
        <v>549</v>
      </c>
      <c r="U144" s="16">
        <f t="shared" si="4"/>
        <v>14827</v>
      </c>
      <c r="V144" s="17" t="str">
        <f t="shared" si="5"/>
        <v>OK</v>
      </c>
    </row>
    <row r="145" spans="1:22" x14ac:dyDescent="0.25">
      <c r="A145" s="9">
        <v>141</v>
      </c>
      <c r="B145" s="9" t="s">
        <v>550</v>
      </c>
      <c r="C145" s="9" t="s">
        <v>323</v>
      </c>
      <c r="D145" s="10" t="s">
        <v>546</v>
      </c>
      <c r="E145" s="9" t="s">
        <v>354</v>
      </c>
      <c r="F145" s="9" t="s">
        <v>326</v>
      </c>
      <c r="G145" s="10" t="s">
        <v>547</v>
      </c>
      <c r="H145" s="9" t="s">
        <v>548</v>
      </c>
      <c r="I145" s="11">
        <v>14.167401</v>
      </c>
      <c r="J145" s="11">
        <v>107.957132</v>
      </c>
      <c r="K145" s="9" t="s">
        <v>329</v>
      </c>
      <c r="L145" s="10"/>
      <c r="M145" s="12" t="s">
        <v>51</v>
      </c>
      <c r="N145" s="13" t="s">
        <v>69</v>
      </c>
      <c r="O145" s="14"/>
      <c r="P145" s="14"/>
      <c r="Q145" s="13" t="s">
        <v>70</v>
      </c>
      <c r="R145" s="15" t="s">
        <v>54</v>
      </c>
      <c r="S145" s="13" t="s">
        <v>55</v>
      </c>
      <c r="T145" s="13" t="s">
        <v>551</v>
      </c>
      <c r="U145" s="16" t="str">
        <f t="shared" si="4"/>
        <v/>
      </c>
      <c r="V145" s="17" t="str">
        <f t="shared" si="5"/>
        <v>OK</v>
      </c>
    </row>
    <row r="146" spans="1:22" x14ac:dyDescent="0.25">
      <c r="A146" s="9">
        <v>142</v>
      </c>
      <c r="B146" s="9" t="s">
        <v>552</v>
      </c>
      <c r="C146" s="9" t="s">
        <v>323</v>
      </c>
      <c r="D146" s="10" t="s">
        <v>369</v>
      </c>
      <c r="E146" s="9" t="s">
        <v>354</v>
      </c>
      <c r="F146" s="9" t="s">
        <v>326</v>
      </c>
      <c r="G146" s="10" t="s">
        <v>547</v>
      </c>
      <c r="H146" s="9" t="s">
        <v>548</v>
      </c>
      <c r="I146" s="11">
        <v>14.166397</v>
      </c>
      <c r="J146" s="11">
        <v>107.95640299999999</v>
      </c>
      <c r="K146" s="9" t="s">
        <v>329</v>
      </c>
      <c r="L146" s="10"/>
      <c r="M146" s="12" t="s">
        <v>51</v>
      </c>
      <c r="N146" s="13" t="s">
        <v>62</v>
      </c>
      <c r="O146" s="14">
        <v>14.090389999999999</v>
      </c>
      <c r="P146" s="14">
        <v>107.98074099999999</v>
      </c>
      <c r="Q146" s="13" t="s">
        <v>53</v>
      </c>
      <c r="R146" s="15" t="s">
        <v>54</v>
      </c>
      <c r="S146" s="13" t="s">
        <v>55</v>
      </c>
      <c r="T146" s="13" t="s">
        <v>553</v>
      </c>
      <c r="U146" s="16">
        <f t="shared" si="4"/>
        <v>8803</v>
      </c>
      <c r="V146" s="17" t="str">
        <f t="shared" si="5"/>
        <v>OK</v>
      </c>
    </row>
    <row r="147" spans="1:22" x14ac:dyDescent="0.25">
      <c r="A147" s="9">
        <v>143</v>
      </c>
      <c r="B147" s="9" t="s">
        <v>554</v>
      </c>
      <c r="C147" s="9" t="s">
        <v>323</v>
      </c>
      <c r="D147" s="10" t="s">
        <v>353</v>
      </c>
      <c r="E147" s="9" t="s">
        <v>354</v>
      </c>
      <c r="F147" s="9" t="s">
        <v>326</v>
      </c>
      <c r="G147" s="10" t="s">
        <v>547</v>
      </c>
      <c r="H147" s="9" t="s">
        <v>548</v>
      </c>
      <c r="I147" s="11">
        <v>14.180071999999999</v>
      </c>
      <c r="J147" s="11">
        <v>107.95845199999999</v>
      </c>
      <c r="K147" s="9" t="s">
        <v>329</v>
      </c>
      <c r="L147" s="10"/>
      <c r="M147" s="12" t="s">
        <v>51</v>
      </c>
      <c r="N147" s="13" t="s">
        <v>52</v>
      </c>
      <c r="O147" s="14"/>
      <c r="P147" s="14"/>
      <c r="Q147" s="13" t="s">
        <v>53</v>
      </c>
      <c r="R147" s="15" t="s">
        <v>54</v>
      </c>
      <c r="S147" s="13" t="s">
        <v>55</v>
      </c>
      <c r="T147" s="13" t="s">
        <v>555</v>
      </c>
      <c r="U147" s="16" t="str">
        <f t="shared" si="4"/>
        <v/>
      </c>
      <c r="V147" s="17" t="str">
        <f t="shared" si="5"/>
        <v>OK</v>
      </c>
    </row>
    <row r="148" spans="1:22" x14ac:dyDescent="0.25">
      <c r="A148" s="9">
        <v>144</v>
      </c>
      <c r="B148" s="9" t="s">
        <v>556</v>
      </c>
      <c r="C148" s="9" t="s">
        <v>323</v>
      </c>
      <c r="D148" s="10" t="s">
        <v>546</v>
      </c>
      <c r="E148" s="9" t="s">
        <v>354</v>
      </c>
      <c r="F148" s="9" t="s">
        <v>326</v>
      </c>
      <c r="G148" s="10" t="s">
        <v>557</v>
      </c>
      <c r="H148" s="9" t="s">
        <v>558</v>
      </c>
      <c r="I148" s="11">
        <v>13.502075</v>
      </c>
      <c r="J148" s="11">
        <v>108.102583</v>
      </c>
      <c r="K148" s="9" t="s">
        <v>329</v>
      </c>
      <c r="L148" s="10"/>
      <c r="M148" s="12" t="s">
        <v>51</v>
      </c>
      <c r="N148" s="13" t="s">
        <v>62</v>
      </c>
      <c r="O148" s="14">
        <v>13.547371</v>
      </c>
      <c r="P148" s="14">
        <v>108.102487</v>
      </c>
      <c r="Q148" s="13" t="s">
        <v>53</v>
      </c>
      <c r="R148" s="15" t="s">
        <v>54</v>
      </c>
      <c r="S148" s="13" t="s">
        <v>55</v>
      </c>
      <c r="T148" s="13" t="s">
        <v>559</v>
      </c>
      <c r="U148" s="16">
        <f t="shared" si="4"/>
        <v>5007</v>
      </c>
      <c r="V148" s="17" t="str">
        <f t="shared" si="5"/>
        <v>OK</v>
      </c>
    </row>
    <row r="149" spans="1:22" x14ac:dyDescent="0.25">
      <c r="A149" s="9">
        <v>145</v>
      </c>
      <c r="B149" s="9" t="s">
        <v>560</v>
      </c>
      <c r="C149" s="9" t="s">
        <v>323</v>
      </c>
      <c r="D149" s="10" t="s">
        <v>369</v>
      </c>
      <c r="E149" s="9" t="s">
        <v>354</v>
      </c>
      <c r="F149" s="9" t="s">
        <v>326</v>
      </c>
      <c r="G149" s="10" t="s">
        <v>557</v>
      </c>
      <c r="H149" s="9" t="s">
        <v>558</v>
      </c>
      <c r="I149" s="11">
        <v>13.550857000000001</v>
      </c>
      <c r="J149" s="11">
        <v>108.09741</v>
      </c>
      <c r="K149" s="9" t="s">
        <v>329</v>
      </c>
      <c r="L149" s="10"/>
      <c r="M149" s="12" t="s">
        <v>51</v>
      </c>
      <c r="N149" s="13" t="s">
        <v>62</v>
      </c>
      <c r="O149" s="14">
        <v>13.600574</v>
      </c>
      <c r="P149" s="14">
        <v>108.102519</v>
      </c>
      <c r="Q149" s="13" t="s">
        <v>53</v>
      </c>
      <c r="R149" s="15" t="s">
        <v>54</v>
      </c>
      <c r="S149" s="13" t="s">
        <v>55</v>
      </c>
      <c r="T149" s="13" t="s">
        <v>561</v>
      </c>
      <c r="U149" s="16">
        <f t="shared" si="4"/>
        <v>5523</v>
      </c>
      <c r="V149" s="17" t="str">
        <f t="shared" si="5"/>
        <v>OK</v>
      </c>
    </row>
    <row r="150" spans="1:22" x14ac:dyDescent="0.25">
      <c r="A150" s="9">
        <v>146</v>
      </c>
      <c r="B150" s="9" t="s">
        <v>562</v>
      </c>
      <c r="C150" s="9" t="s">
        <v>323</v>
      </c>
      <c r="D150" s="10" t="s">
        <v>369</v>
      </c>
      <c r="E150" s="9" t="s">
        <v>354</v>
      </c>
      <c r="F150" s="9" t="s">
        <v>326</v>
      </c>
      <c r="G150" s="10" t="s">
        <v>557</v>
      </c>
      <c r="H150" s="9" t="s">
        <v>558</v>
      </c>
      <c r="I150" s="11">
        <v>13.519976</v>
      </c>
      <c r="J150" s="11">
        <v>108.103163</v>
      </c>
      <c r="K150" s="9" t="s">
        <v>329</v>
      </c>
      <c r="L150" s="10"/>
      <c r="M150" s="12" t="s">
        <v>51</v>
      </c>
      <c r="N150" s="13" t="s">
        <v>62</v>
      </c>
      <c r="O150" s="14">
        <v>13.600574</v>
      </c>
      <c r="P150" s="14">
        <v>108.102519</v>
      </c>
      <c r="Q150" s="13" t="s">
        <v>53</v>
      </c>
      <c r="R150" s="15" t="s">
        <v>54</v>
      </c>
      <c r="S150" s="13" t="s">
        <v>55</v>
      </c>
      <c r="T150" s="13" t="s">
        <v>563</v>
      </c>
      <c r="U150" s="16">
        <f t="shared" si="4"/>
        <v>8910</v>
      </c>
      <c r="V150" s="17" t="str">
        <f t="shared" si="5"/>
        <v>OK</v>
      </c>
    </row>
    <row r="151" spans="1:22" x14ac:dyDescent="0.25">
      <c r="A151" s="9">
        <v>147</v>
      </c>
      <c r="B151" s="9" t="s">
        <v>564</v>
      </c>
      <c r="C151" s="9" t="s">
        <v>323</v>
      </c>
      <c r="D151" s="10" t="s">
        <v>353</v>
      </c>
      <c r="E151" s="9" t="s">
        <v>354</v>
      </c>
      <c r="F151" s="9" t="s">
        <v>326</v>
      </c>
      <c r="G151" s="10" t="s">
        <v>557</v>
      </c>
      <c r="H151" s="9" t="s">
        <v>558</v>
      </c>
      <c r="I151" s="11">
        <v>13.558992999999999</v>
      </c>
      <c r="J151" s="11">
        <v>108.10154900000001</v>
      </c>
      <c r="K151" s="9" t="s">
        <v>329</v>
      </c>
      <c r="L151" s="10"/>
      <c r="M151" s="12" t="s">
        <v>51</v>
      </c>
      <c r="N151" s="13" t="s">
        <v>52</v>
      </c>
      <c r="O151" s="14"/>
      <c r="P151" s="14"/>
      <c r="Q151" s="13" t="s">
        <v>53</v>
      </c>
      <c r="R151" s="15" t="s">
        <v>54</v>
      </c>
      <c r="S151" s="13" t="s">
        <v>55</v>
      </c>
      <c r="T151" s="13" t="s">
        <v>565</v>
      </c>
      <c r="U151" s="16" t="str">
        <f t="shared" si="4"/>
        <v/>
      </c>
      <c r="V151" s="17" t="str">
        <f t="shared" si="5"/>
        <v>OK</v>
      </c>
    </row>
    <row r="152" spans="1:22" x14ac:dyDescent="0.25">
      <c r="A152" s="9">
        <v>148</v>
      </c>
      <c r="B152" s="9" t="s">
        <v>566</v>
      </c>
      <c r="C152" s="9" t="s">
        <v>323</v>
      </c>
      <c r="D152" s="10" t="s">
        <v>353</v>
      </c>
      <c r="E152" s="9" t="s">
        <v>354</v>
      </c>
      <c r="F152" s="9" t="s">
        <v>326</v>
      </c>
      <c r="G152" s="10" t="s">
        <v>557</v>
      </c>
      <c r="H152" s="9" t="s">
        <v>558</v>
      </c>
      <c r="I152" s="11">
        <v>13.543796</v>
      </c>
      <c r="J152" s="11">
        <v>108.100894</v>
      </c>
      <c r="K152" s="9" t="s">
        <v>329</v>
      </c>
      <c r="L152" s="10"/>
      <c r="M152" s="12" t="s">
        <v>51</v>
      </c>
      <c r="N152" s="13" t="s">
        <v>62</v>
      </c>
      <c r="O152" s="14">
        <v>13.55907</v>
      </c>
      <c r="P152" s="14">
        <v>108.10171099999999</v>
      </c>
      <c r="Q152" s="13" t="s">
        <v>53</v>
      </c>
      <c r="R152" s="15" t="s">
        <v>54</v>
      </c>
      <c r="S152" s="13" t="s">
        <v>55</v>
      </c>
      <c r="T152" s="13" t="s">
        <v>567</v>
      </c>
      <c r="U152" s="16">
        <f t="shared" si="4"/>
        <v>1691</v>
      </c>
      <c r="V152" s="17" t="str">
        <f t="shared" si="5"/>
        <v>OK</v>
      </c>
    </row>
    <row r="153" spans="1:22" x14ac:dyDescent="0.25">
      <c r="A153" s="9">
        <v>149</v>
      </c>
      <c r="B153" s="9" t="s">
        <v>568</v>
      </c>
      <c r="C153" s="9" t="s">
        <v>323</v>
      </c>
      <c r="D153" s="10" t="s">
        <v>569</v>
      </c>
      <c r="E153" s="9" t="s">
        <v>354</v>
      </c>
      <c r="F153" s="9" t="s">
        <v>326</v>
      </c>
      <c r="G153" s="10" t="s">
        <v>570</v>
      </c>
      <c r="H153" s="9" t="s">
        <v>157</v>
      </c>
      <c r="I153" s="11">
        <v>13.677898000000001</v>
      </c>
      <c r="J153" s="11">
        <v>108.08488800000001</v>
      </c>
      <c r="K153" s="9" t="s">
        <v>329</v>
      </c>
      <c r="L153" s="10"/>
      <c r="M153" s="12" t="s">
        <v>51</v>
      </c>
      <c r="N153" s="13" t="s">
        <v>62</v>
      </c>
      <c r="O153" s="14">
        <v>13.695012</v>
      </c>
      <c r="P153" s="14">
        <v>108.07697400000001</v>
      </c>
      <c r="Q153" s="13" t="s">
        <v>53</v>
      </c>
      <c r="R153" s="15" t="s">
        <v>54</v>
      </c>
      <c r="S153" s="13" t="s">
        <v>55</v>
      </c>
      <c r="T153" s="13" t="s">
        <v>571</v>
      </c>
      <c r="U153" s="16">
        <f t="shared" si="4"/>
        <v>2076</v>
      </c>
      <c r="V153" s="17" t="str">
        <f t="shared" si="5"/>
        <v>OK</v>
      </c>
    </row>
    <row r="154" spans="1:22" x14ac:dyDescent="0.25">
      <c r="A154" s="9">
        <v>150</v>
      </c>
      <c r="B154" s="9" t="s">
        <v>572</v>
      </c>
      <c r="C154" s="9" t="s">
        <v>323</v>
      </c>
      <c r="D154" s="10" t="s">
        <v>569</v>
      </c>
      <c r="E154" s="9" t="s">
        <v>354</v>
      </c>
      <c r="F154" s="9" t="s">
        <v>326</v>
      </c>
      <c r="G154" s="10" t="s">
        <v>570</v>
      </c>
      <c r="H154" s="9" t="s">
        <v>157</v>
      </c>
      <c r="I154" s="11">
        <v>13.722631</v>
      </c>
      <c r="J154" s="11">
        <v>108.06368399999999</v>
      </c>
      <c r="K154" s="9" t="s">
        <v>329</v>
      </c>
      <c r="L154" s="10"/>
      <c r="M154" s="12" t="s">
        <v>51</v>
      </c>
      <c r="N154" s="13" t="s">
        <v>62</v>
      </c>
      <c r="O154" s="14">
        <v>13.695012</v>
      </c>
      <c r="P154" s="14">
        <v>108.07697400000001</v>
      </c>
      <c r="Q154" s="13" t="s">
        <v>53</v>
      </c>
      <c r="R154" s="15" t="s">
        <v>54</v>
      </c>
      <c r="S154" s="13" t="s">
        <v>55</v>
      </c>
      <c r="T154" s="13" t="s">
        <v>573</v>
      </c>
      <c r="U154" s="16">
        <f t="shared" si="4"/>
        <v>3374</v>
      </c>
      <c r="V154" s="17" t="str">
        <f t="shared" si="5"/>
        <v>OK</v>
      </c>
    </row>
    <row r="155" spans="1:22" ht="25.5" x14ac:dyDescent="0.25">
      <c r="A155" s="9">
        <v>151</v>
      </c>
      <c r="B155" s="9" t="s">
        <v>574</v>
      </c>
      <c r="C155" s="9" t="s">
        <v>323</v>
      </c>
      <c r="D155" s="10" t="s">
        <v>478</v>
      </c>
      <c r="E155" s="9" t="s">
        <v>354</v>
      </c>
      <c r="F155" s="9" t="s">
        <v>326</v>
      </c>
      <c r="G155" s="10" t="s">
        <v>575</v>
      </c>
      <c r="H155" s="9" t="s">
        <v>157</v>
      </c>
      <c r="I155" s="11">
        <v>13.689239000000001</v>
      </c>
      <c r="J155" s="11">
        <v>108.083302</v>
      </c>
      <c r="K155" s="9" t="s">
        <v>329</v>
      </c>
      <c r="L155" s="10"/>
      <c r="M155" s="12" t="s">
        <v>51</v>
      </c>
      <c r="N155" s="13" t="s">
        <v>69</v>
      </c>
      <c r="O155" s="14"/>
      <c r="P155" s="14"/>
      <c r="Q155" s="13" t="s">
        <v>70</v>
      </c>
      <c r="R155" s="15" t="s">
        <v>54</v>
      </c>
      <c r="S155" s="13" t="s">
        <v>55</v>
      </c>
      <c r="T155" s="13" t="s">
        <v>576</v>
      </c>
      <c r="U155" s="16" t="str">
        <f t="shared" si="4"/>
        <v/>
      </c>
      <c r="V155" s="17" t="str">
        <f t="shared" si="5"/>
        <v>OK</v>
      </c>
    </row>
    <row r="156" spans="1:22" x14ac:dyDescent="0.25">
      <c r="A156" s="9">
        <v>152</v>
      </c>
      <c r="B156" s="9" t="s">
        <v>577</v>
      </c>
      <c r="C156" s="9" t="s">
        <v>323</v>
      </c>
      <c r="D156" s="10" t="s">
        <v>369</v>
      </c>
      <c r="E156" s="9" t="s">
        <v>354</v>
      </c>
      <c r="F156" s="9" t="s">
        <v>326</v>
      </c>
      <c r="G156" s="10" t="s">
        <v>570</v>
      </c>
      <c r="H156" s="9" t="s">
        <v>157</v>
      </c>
      <c r="I156" s="11">
        <v>13.681539000000001</v>
      </c>
      <c r="J156" s="11">
        <v>108.083119</v>
      </c>
      <c r="K156" s="9" t="s">
        <v>329</v>
      </c>
      <c r="L156" s="10"/>
      <c r="M156" s="12" t="s">
        <v>51</v>
      </c>
      <c r="N156" s="13" t="s">
        <v>69</v>
      </c>
      <c r="O156" s="14"/>
      <c r="P156" s="14"/>
      <c r="Q156" s="13" t="s">
        <v>70</v>
      </c>
      <c r="R156" s="15" t="s">
        <v>54</v>
      </c>
      <c r="S156" s="13" t="s">
        <v>55</v>
      </c>
      <c r="T156" s="13" t="s">
        <v>578</v>
      </c>
      <c r="U156" s="16" t="str">
        <f t="shared" si="4"/>
        <v/>
      </c>
      <c r="V156" s="17" t="str">
        <f t="shared" si="5"/>
        <v>OK</v>
      </c>
    </row>
    <row r="157" spans="1:22" x14ac:dyDescent="0.25">
      <c r="A157" s="9">
        <v>153</v>
      </c>
      <c r="B157" s="9" t="s">
        <v>579</v>
      </c>
      <c r="C157" s="9" t="s">
        <v>323</v>
      </c>
      <c r="D157" s="10" t="s">
        <v>369</v>
      </c>
      <c r="E157" s="9" t="s">
        <v>354</v>
      </c>
      <c r="F157" s="9" t="s">
        <v>326</v>
      </c>
      <c r="G157" s="10" t="s">
        <v>570</v>
      </c>
      <c r="H157" s="9" t="s">
        <v>157</v>
      </c>
      <c r="I157" s="11">
        <v>13.759938999999999</v>
      </c>
      <c r="J157" s="11">
        <v>108.028387</v>
      </c>
      <c r="K157" s="9" t="s">
        <v>329</v>
      </c>
      <c r="L157" s="10"/>
      <c r="M157" s="12" t="s">
        <v>51</v>
      </c>
      <c r="N157" s="13" t="s">
        <v>69</v>
      </c>
      <c r="O157" s="14"/>
      <c r="P157" s="14"/>
      <c r="Q157" s="13" t="s">
        <v>70</v>
      </c>
      <c r="R157" s="15" t="s">
        <v>54</v>
      </c>
      <c r="S157" s="13" t="s">
        <v>55</v>
      </c>
      <c r="T157" s="13" t="s">
        <v>578</v>
      </c>
      <c r="U157" s="16" t="str">
        <f t="shared" si="4"/>
        <v/>
      </c>
      <c r="V157" s="17" t="str">
        <f t="shared" si="5"/>
        <v>OK</v>
      </c>
    </row>
    <row r="158" spans="1:22" x14ac:dyDescent="0.25">
      <c r="A158" s="9">
        <v>154</v>
      </c>
      <c r="B158" s="9" t="s">
        <v>580</v>
      </c>
      <c r="C158" s="9" t="s">
        <v>323</v>
      </c>
      <c r="D158" s="10" t="s">
        <v>369</v>
      </c>
      <c r="E158" s="9" t="s">
        <v>354</v>
      </c>
      <c r="F158" s="9" t="s">
        <v>326</v>
      </c>
      <c r="G158" s="10" t="s">
        <v>570</v>
      </c>
      <c r="H158" s="9" t="s">
        <v>157</v>
      </c>
      <c r="I158" s="11">
        <v>13.662796</v>
      </c>
      <c r="J158" s="11">
        <v>108.119276</v>
      </c>
      <c r="K158" s="9" t="s">
        <v>329</v>
      </c>
      <c r="L158" s="10"/>
      <c r="M158" s="12" t="s">
        <v>51</v>
      </c>
      <c r="N158" s="13" t="s">
        <v>69</v>
      </c>
      <c r="O158" s="14"/>
      <c r="P158" s="14"/>
      <c r="Q158" s="13" t="s">
        <v>70</v>
      </c>
      <c r="R158" s="15" t="s">
        <v>54</v>
      </c>
      <c r="S158" s="13" t="s">
        <v>55</v>
      </c>
      <c r="T158" s="13" t="s">
        <v>578</v>
      </c>
      <c r="U158" s="16" t="str">
        <f t="shared" si="4"/>
        <v/>
      </c>
      <c r="V158" s="17" t="str">
        <f t="shared" si="5"/>
        <v>OK</v>
      </c>
    </row>
    <row r="159" spans="1:22" x14ac:dyDescent="0.25">
      <c r="A159" s="9">
        <v>155</v>
      </c>
      <c r="B159" s="9" t="s">
        <v>581</v>
      </c>
      <c r="C159" s="9" t="s">
        <v>323</v>
      </c>
      <c r="D159" s="10" t="s">
        <v>353</v>
      </c>
      <c r="E159" s="9" t="s">
        <v>354</v>
      </c>
      <c r="F159" s="9" t="s">
        <v>326</v>
      </c>
      <c r="G159" s="10" t="s">
        <v>570</v>
      </c>
      <c r="H159" s="9" t="s">
        <v>157</v>
      </c>
      <c r="I159" s="11">
        <v>13.728538</v>
      </c>
      <c r="J159" s="11">
        <v>108.054636</v>
      </c>
      <c r="K159" s="9" t="s">
        <v>329</v>
      </c>
      <c r="L159" s="10"/>
      <c r="M159" s="12" t="s">
        <v>51</v>
      </c>
      <c r="N159" s="13" t="s">
        <v>69</v>
      </c>
      <c r="O159" s="14"/>
      <c r="P159" s="14"/>
      <c r="Q159" s="13" t="s">
        <v>70</v>
      </c>
      <c r="R159" s="15" t="s">
        <v>54</v>
      </c>
      <c r="S159" s="13" t="s">
        <v>55</v>
      </c>
      <c r="T159" s="13" t="s">
        <v>582</v>
      </c>
      <c r="U159" s="16" t="str">
        <f t="shared" si="4"/>
        <v/>
      </c>
      <c r="V159" s="17" t="str">
        <f t="shared" si="5"/>
        <v>OK</v>
      </c>
    </row>
    <row r="160" spans="1:22" x14ac:dyDescent="0.25">
      <c r="A160" s="9">
        <v>156</v>
      </c>
      <c r="B160" s="9" t="s">
        <v>583</v>
      </c>
      <c r="C160" s="9" t="s">
        <v>323</v>
      </c>
      <c r="D160" s="10" t="s">
        <v>353</v>
      </c>
      <c r="E160" s="9" t="s">
        <v>354</v>
      </c>
      <c r="F160" s="9" t="s">
        <v>326</v>
      </c>
      <c r="G160" s="10" t="s">
        <v>570</v>
      </c>
      <c r="H160" s="9" t="s">
        <v>157</v>
      </c>
      <c r="I160" s="11">
        <v>13.724273999999999</v>
      </c>
      <c r="J160" s="11">
        <v>108.06152400000001</v>
      </c>
      <c r="K160" s="9" t="s">
        <v>329</v>
      </c>
      <c r="L160" s="10"/>
      <c r="M160" s="12" t="s">
        <v>51</v>
      </c>
      <c r="N160" s="13" t="s">
        <v>69</v>
      </c>
      <c r="O160" s="14"/>
      <c r="P160" s="14"/>
      <c r="Q160" s="13" t="s">
        <v>70</v>
      </c>
      <c r="R160" s="15" t="s">
        <v>54</v>
      </c>
      <c r="S160" s="13" t="s">
        <v>55</v>
      </c>
      <c r="T160" s="13" t="s">
        <v>582</v>
      </c>
      <c r="U160" s="16" t="str">
        <f t="shared" si="4"/>
        <v/>
      </c>
      <c r="V160" s="17" t="str">
        <f t="shared" si="5"/>
        <v>OK</v>
      </c>
    </row>
    <row r="161" spans="1:22" x14ac:dyDescent="0.25">
      <c r="A161" s="9">
        <v>157</v>
      </c>
      <c r="B161" s="9" t="s">
        <v>584</v>
      </c>
      <c r="C161" s="9" t="s">
        <v>323</v>
      </c>
      <c r="D161" s="10" t="s">
        <v>353</v>
      </c>
      <c r="E161" s="9" t="s">
        <v>354</v>
      </c>
      <c r="F161" s="9" t="s">
        <v>326</v>
      </c>
      <c r="G161" s="10" t="s">
        <v>570</v>
      </c>
      <c r="H161" s="9" t="s">
        <v>157</v>
      </c>
      <c r="I161" s="11">
        <v>13.703099</v>
      </c>
      <c r="J161" s="11">
        <v>108.070998</v>
      </c>
      <c r="K161" s="9" t="s">
        <v>329</v>
      </c>
      <c r="L161" s="10"/>
      <c r="M161" s="12" t="s">
        <v>51</v>
      </c>
      <c r="N161" s="13" t="s">
        <v>69</v>
      </c>
      <c r="O161" s="14"/>
      <c r="P161" s="14"/>
      <c r="Q161" s="13" t="s">
        <v>70</v>
      </c>
      <c r="R161" s="15" t="s">
        <v>54</v>
      </c>
      <c r="S161" s="13" t="s">
        <v>55</v>
      </c>
      <c r="T161" s="13" t="s">
        <v>582</v>
      </c>
      <c r="U161" s="16" t="str">
        <f t="shared" si="4"/>
        <v/>
      </c>
      <c r="V161" s="17" t="str">
        <f t="shared" si="5"/>
        <v>OK</v>
      </c>
    </row>
    <row r="162" spans="1:22" ht="25.5" x14ac:dyDescent="0.25">
      <c r="A162" s="9">
        <v>158</v>
      </c>
      <c r="B162" s="9" t="s">
        <v>585</v>
      </c>
      <c r="C162" s="9" t="s">
        <v>323</v>
      </c>
      <c r="D162" s="10" t="s">
        <v>353</v>
      </c>
      <c r="E162" s="9" t="s">
        <v>354</v>
      </c>
      <c r="F162" s="9" t="s">
        <v>326</v>
      </c>
      <c r="G162" s="10" t="s">
        <v>586</v>
      </c>
      <c r="H162" s="9" t="s">
        <v>157</v>
      </c>
      <c r="I162" s="11">
        <v>13.695136</v>
      </c>
      <c r="J162" s="11">
        <v>108.077015</v>
      </c>
      <c r="K162" s="9" t="s">
        <v>329</v>
      </c>
      <c r="L162" s="10"/>
      <c r="M162" s="12" t="s">
        <v>51</v>
      </c>
      <c r="N162" s="13" t="s">
        <v>69</v>
      </c>
      <c r="O162" s="14"/>
      <c r="P162" s="14"/>
      <c r="Q162" s="13" t="s">
        <v>70</v>
      </c>
      <c r="R162" s="15" t="s">
        <v>54</v>
      </c>
      <c r="S162" s="13" t="s">
        <v>55</v>
      </c>
      <c r="T162" s="13" t="s">
        <v>587</v>
      </c>
      <c r="U162" s="16" t="str">
        <f t="shared" si="4"/>
        <v/>
      </c>
      <c r="V162" s="17" t="str">
        <f t="shared" si="5"/>
        <v>OK</v>
      </c>
    </row>
    <row r="163" spans="1:22" x14ac:dyDescent="0.25">
      <c r="A163" s="9">
        <v>159</v>
      </c>
      <c r="B163" s="9" t="s">
        <v>588</v>
      </c>
      <c r="C163" s="9" t="s">
        <v>323</v>
      </c>
      <c r="D163" s="10" t="s">
        <v>589</v>
      </c>
      <c r="E163" s="9" t="s">
        <v>354</v>
      </c>
      <c r="F163" s="9" t="s">
        <v>326</v>
      </c>
      <c r="G163" s="10" t="s">
        <v>590</v>
      </c>
      <c r="H163" s="9" t="s">
        <v>591</v>
      </c>
      <c r="I163" s="11">
        <v>14.079647</v>
      </c>
      <c r="J163" s="11">
        <v>109.192584</v>
      </c>
      <c r="K163" s="9" t="s">
        <v>329</v>
      </c>
      <c r="L163" s="10"/>
      <c r="M163" s="12" t="s">
        <v>51</v>
      </c>
      <c r="N163" s="13" t="s">
        <v>69</v>
      </c>
      <c r="O163" s="14"/>
      <c r="P163" s="14"/>
      <c r="Q163" s="13" t="s">
        <v>70</v>
      </c>
      <c r="R163" s="15" t="s">
        <v>54</v>
      </c>
      <c r="S163" s="13" t="s">
        <v>55</v>
      </c>
      <c r="T163" s="13" t="s">
        <v>592</v>
      </c>
      <c r="U163" s="16" t="str">
        <f t="shared" si="4"/>
        <v/>
      </c>
      <c r="V163" s="17" t="str">
        <f t="shared" si="5"/>
        <v>OK</v>
      </c>
    </row>
    <row r="164" spans="1:22" x14ac:dyDescent="0.25">
      <c r="A164" s="9">
        <v>160</v>
      </c>
      <c r="B164" s="9" t="s">
        <v>593</v>
      </c>
      <c r="C164" s="9" t="s">
        <v>323</v>
      </c>
      <c r="D164" s="10" t="s">
        <v>594</v>
      </c>
      <c r="E164" s="9" t="s">
        <v>354</v>
      </c>
      <c r="F164" s="9" t="s">
        <v>326</v>
      </c>
      <c r="G164" s="10" t="s">
        <v>590</v>
      </c>
      <c r="H164" s="9" t="s">
        <v>591</v>
      </c>
      <c r="I164" s="11">
        <v>14.021781000000001</v>
      </c>
      <c r="J164" s="11">
        <v>109.237942</v>
      </c>
      <c r="K164" s="9" t="s">
        <v>329</v>
      </c>
      <c r="L164" s="10"/>
      <c r="M164" s="12" t="s">
        <v>51</v>
      </c>
      <c r="N164" s="13" t="s">
        <v>69</v>
      </c>
      <c r="O164" s="14"/>
      <c r="P164" s="14"/>
      <c r="Q164" s="13" t="s">
        <v>70</v>
      </c>
      <c r="R164" s="15" t="s">
        <v>54</v>
      </c>
      <c r="S164" s="13" t="s">
        <v>55</v>
      </c>
      <c r="T164" s="13" t="s">
        <v>595</v>
      </c>
      <c r="U164" s="16" t="str">
        <f t="shared" si="4"/>
        <v/>
      </c>
      <c r="V164" s="17" t="str">
        <f t="shared" si="5"/>
        <v>OK</v>
      </c>
    </row>
    <row r="165" spans="1:22" x14ac:dyDescent="0.25">
      <c r="A165" s="9">
        <v>161</v>
      </c>
      <c r="B165" s="9" t="s">
        <v>596</v>
      </c>
      <c r="C165" s="9" t="s">
        <v>323</v>
      </c>
      <c r="D165" s="10" t="s">
        <v>353</v>
      </c>
      <c r="E165" s="9" t="s">
        <v>354</v>
      </c>
      <c r="F165" s="9" t="s">
        <v>326</v>
      </c>
      <c r="G165" s="10" t="s">
        <v>590</v>
      </c>
      <c r="H165" s="9" t="s">
        <v>591</v>
      </c>
      <c r="I165" s="11">
        <v>14.004822000000001</v>
      </c>
      <c r="J165" s="11">
        <v>109.24445799999999</v>
      </c>
      <c r="K165" s="9" t="s">
        <v>329</v>
      </c>
      <c r="L165" s="10"/>
      <c r="M165" s="12" t="s">
        <v>51</v>
      </c>
      <c r="N165" s="13" t="s">
        <v>69</v>
      </c>
      <c r="O165" s="14"/>
      <c r="P165" s="14"/>
      <c r="Q165" s="13" t="s">
        <v>70</v>
      </c>
      <c r="R165" s="15" t="s">
        <v>54</v>
      </c>
      <c r="S165" s="13" t="s">
        <v>55</v>
      </c>
      <c r="T165" s="13" t="s">
        <v>597</v>
      </c>
      <c r="U165" s="16" t="str">
        <f t="shared" si="4"/>
        <v/>
      </c>
      <c r="V165" s="17" t="str">
        <f t="shared" si="5"/>
        <v>OK</v>
      </c>
    </row>
    <row r="166" spans="1:22" x14ac:dyDescent="0.25">
      <c r="A166" s="9">
        <v>162</v>
      </c>
      <c r="B166" s="9" t="s">
        <v>598</v>
      </c>
      <c r="C166" s="9" t="s">
        <v>323</v>
      </c>
      <c r="D166" s="10" t="s">
        <v>599</v>
      </c>
      <c r="E166" s="9" t="s">
        <v>354</v>
      </c>
      <c r="F166" s="9" t="s">
        <v>326</v>
      </c>
      <c r="G166" s="10" t="s">
        <v>590</v>
      </c>
      <c r="H166" s="9" t="s">
        <v>591</v>
      </c>
      <c r="I166" s="11">
        <v>13.944241</v>
      </c>
      <c r="J166" s="11">
        <v>109.232625</v>
      </c>
      <c r="K166" s="9" t="s">
        <v>329</v>
      </c>
      <c r="L166" s="10"/>
      <c r="M166" s="12" t="s">
        <v>51</v>
      </c>
      <c r="N166" s="13" t="s">
        <v>69</v>
      </c>
      <c r="O166" s="14"/>
      <c r="P166" s="14"/>
      <c r="Q166" s="13" t="s">
        <v>70</v>
      </c>
      <c r="R166" s="15" t="s">
        <v>54</v>
      </c>
      <c r="S166" s="13" t="s">
        <v>55</v>
      </c>
      <c r="T166" s="13" t="s">
        <v>600</v>
      </c>
      <c r="U166" s="16" t="str">
        <f t="shared" si="4"/>
        <v/>
      </c>
      <c r="V166" s="17" t="str">
        <f t="shared" si="5"/>
        <v>OK</v>
      </c>
    </row>
    <row r="167" spans="1:22" x14ac:dyDescent="0.25">
      <c r="A167" s="9">
        <v>163</v>
      </c>
      <c r="B167" s="9" t="s">
        <v>601</v>
      </c>
      <c r="C167" s="9" t="s">
        <v>323</v>
      </c>
      <c r="D167" s="10" t="s">
        <v>353</v>
      </c>
      <c r="E167" s="9" t="s">
        <v>354</v>
      </c>
      <c r="F167" s="9" t="s">
        <v>326</v>
      </c>
      <c r="G167" s="10" t="s">
        <v>602</v>
      </c>
      <c r="H167" s="9" t="s">
        <v>603</v>
      </c>
      <c r="I167" s="11">
        <v>13.978073999999999</v>
      </c>
      <c r="J167" s="11">
        <v>108.701436</v>
      </c>
      <c r="K167" s="9" t="s">
        <v>329</v>
      </c>
      <c r="L167" s="10"/>
      <c r="M167" s="12" t="s">
        <v>51</v>
      </c>
      <c r="N167" s="13" t="s">
        <v>62</v>
      </c>
      <c r="O167" s="14">
        <v>13.978058000000001</v>
      </c>
      <c r="P167" s="14">
        <v>108.701044</v>
      </c>
      <c r="Q167" s="13" t="s">
        <v>53</v>
      </c>
      <c r="R167" s="15" t="s">
        <v>54</v>
      </c>
      <c r="S167" s="13" t="s">
        <v>55</v>
      </c>
      <c r="T167" s="13" t="s">
        <v>604</v>
      </c>
      <c r="U167" s="16">
        <f t="shared" si="4"/>
        <v>42</v>
      </c>
      <c r="V167" s="17" t="str">
        <f t="shared" si="5"/>
        <v>OK</v>
      </c>
    </row>
    <row r="168" spans="1:22" x14ac:dyDescent="0.25">
      <c r="A168" s="9">
        <v>164</v>
      </c>
      <c r="B168" s="9" t="s">
        <v>605</v>
      </c>
      <c r="C168" s="9" t="s">
        <v>323</v>
      </c>
      <c r="D168" s="10" t="s">
        <v>353</v>
      </c>
      <c r="E168" s="9" t="s">
        <v>354</v>
      </c>
      <c r="F168" s="9" t="s">
        <v>326</v>
      </c>
      <c r="G168" s="10" t="s">
        <v>606</v>
      </c>
      <c r="H168" s="9" t="s">
        <v>607</v>
      </c>
      <c r="I168" s="11">
        <v>13.919783000000001</v>
      </c>
      <c r="J168" s="11">
        <v>108.00492199999999</v>
      </c>
      <c r="K168" s="9" t="s">
        <v>329</v>
      </c>
      <c r="L168" s="10"/>
      <c r="M168" s="12" t="s">
        <v>51</v>
      </c>
      <c r="N168" s="13" t="s">
        <v>62</v>
      </c>
      <c r="O168" s="14">
        <v>13.837529</v>
      </c>
      <c r="P168" s="14">
        <v>107.998502</v>
      </c>
      <c r="Q168" s="13" t="s">
        <v>53</v>
      </c>
      <c r="R168" s="15" t="s">
        <v>54</v>
      </c>
      <c r="S168" s="13" t="s">
        <v>55</v>
      </c>
      <c r="T168" s="13" t="s">
        <v>608</v>
      </c>
      <c r="U168" s="16">
        <f t="shared" si="4"/>
        <v>9119</v>
      </c>
      <c r="V168" s="17" t="str">
        <f t="shared" si="5"/>
        <v>OK</v>
      </c>
    </row>
    <row r="169" spans="1:22" x14ac:dyDescent="0.25">
      <c r="A169" s="9">
        <v>165</v>
      </c>
      <c r="B169" s="9" t="s">
        <v>609</v>
      </c>
      <c r="C169" s="9" t="s">
        <v>323</v>
      </c>
      <c r="D169" s="10" t="s">
        <v>610</v>
      </c>
      <c r="E169" s="9" t="s">
        <v>354</v>
      </c>
      <c r="F169" s="9" t="s">
        <v>326</v>
      </c>
      <c r="G169" s="10" t="s">
        <v>611</v>
      </c>
      <c r="H169" s="9" t="s">
        <v>612</v>
      </c>
      <c r="I169" s="11">
        <v>13.767421000000001</v>
      </c>
      <c r="J169" s="11">
        <v>107.513092</v>
      </c>
      <c r="K169" s="9" t="s">
        <v>329</v>
      </c>
      <c r="L169" s="10"/>
      <c r="M169" s="12" t="s">
        <v>51</v>
      </c>
      <c r="N169" s="13" t="s">
        <v>69</v>
      </c>
      <c r="O169" s="14"/>
      <c r="P169" s="14"/>
      <c r="Q169" s="13" t="s">
        <v>70</v>
      </c>
      <c r="R169" s="15" t="s">
        <v>54</v>
      </c>
      <c r="S169" s="13" t="s">
        <v>55</v>
      </c>
      <c r="T169" s="13" t="s">
        <v>613</v>
      </c>
      <c r="U169" s="16" t="str">
        <f t="shared" si="4"/>
        <v/>
      </c>
      <c r="V169" s="17" t="str">
        <f t="shared" si="5"/>
        <v>OK</v>
      </c>
    </row>
    <row r="170" spans="1:22" x14ac:dyDescent="0.25">
      <c r="A170" s="9">
        <v>166</v>
      </c>
      <c r="B170" s="9" t="s">
        <v>614</v>
      </c>
      <c r="C170" s="9" t="s">
        <v>323</v>
      </c>
      <c r="D170" s="10" t="s">
        <v>367</v>
      </c>
      <c r="E170" s="9" t="s">
        <v>354</v>
      </c>
      <c r="F170" s="9" t="s">
        <v>326</v>
      </c>
      <c r="G170" s="10" t="s">
        <v>615</v>
      </c>
      <c r="H170" s="9" t="s">
        <v>616</v>
      </c>
      <c r="I170" s="11">
        <v>13.798579999999999</v>
      </c>
      <c r="J170" s="11">
        <v>107.64383599999999</v>
      </c>
      <c r="K170" s="9" t="s">
        <v>329</v>
      </c>
      <c r="L170" s="10"/>
      <c r="M170" s="12" t="s">
        <v>51</v>
      </c>
      <c r="N170" s="13" t="s">
        <v>62</v>
      </c>
      <c r="O170" s="14">
        <v>13.912588</v>
      </c>
      <c r="P170" s="14">
        <v>107.71547200000001</v>
      </c>
      <c r="Q170" s="13" t="s">
        <v>53</v>
      </c>
      <c r="R170" s="15" t="s">
        <v>54</v>
      </c>
      <c r="S170" s="13" t="s">
        <v>55</v>
      </c>
      <c r="T170" s="13" t="s">
        <v>617</v>
      </c>
      <c r="U170" s="16">
        <f t="shared" si="4"/>
        <v>14792</v>
      </c>
      <c r="V170" s="17" t="str">
        <f t="shared" si="5"/>
        <v>OK</v>
      </c>
    </row>
    <row r="171" spans="1:22" x14ac:dyDescent="0.25">
      <c r="A171" s="9">
        <v>167</v>
      </c>
      <c r="B171" s="9" t="s">
        <v>618</v>
      </c>
      <c r="C171" s="9" t="s">
        <v>323</v>
      </c>
      <c r="D171" s="10" t="s">
        <v>619</v>
      </c>
      <c r="E171" s="9" t="s">
        <v>354</v>
      </c>
      <c r="F171" s="9" t="s">
        <v>326</v>
      </c>
      <c r="G171" s="10" t="s">
        <v>620</v>
      </c>
      <c r="H171" s="9" t="s">
        <v>621</v>
      </c>
      <c r="I171" s="11">
        <v>13.962503999999999</v>
      </c>
      <c r="J171" s="11">
        <v>107.842417</v>
      </c>
      <c r="K171" s="9" t="s">
        <v>329</v>
      </c>
      <c r="L171" s="10"/>
      <c r="M171" s="12" t="s">
        <v>51</v>
      </c>
      <c r="N171" s="13" t="s">
        <v>62</v>
      </c>
      <c r="O171" s="14">
        <v>14.024081000000001</v>
      </c>
      <c r="P171" s="14">
        <v>107.866939</v>
      </c>
      <c r="Q171" s="13" t="s">
        <v>53</v>
      </c>
      <c r="R171" s="15" t="s">
        <v>54</v>
      </c>
      <c r="S171" s="13" t="s">
        <v>55</v>
      </c>
      <c r="T171" s="13" t="s">
        <v>622</v>
      </c>
      <c r="U171" s="16">
        <f t="shared" si="4"/>
        <v>7304</v>
      </c>
      <c r="V171" s="17" t="str">
        <f t="shared" si="5"/>
        <v>OK</v>
      </c>
    </row>
    <row r="172" spans="1:22" x14ac:dyDescent="0.25">
      <c r="A172" s="9">
        <v>168</v>
      </c>
      <c r="B172" s="9" t="s">
        <v>623</v>
      </c>
      <c r="C172" s="9" t="s">
        <v>323</v>
      </c>
      <c r="D172" s="10" t="s">
        <v>619</v>
      </c>
      <c r="E172" s="9" t="s">
        <v>354</v>
      </c>
      <c r="F172" s="9" t="s">
        <v>326</v>
      </c>
      <c r="G172" s="10" t="s">
        <v>620</v>
      </c>
      <c r="H172" s="9" t="s">
        <v>621</v>
      </c>
      <c r="I172" s="11">
        <v>13.965552000000001</v>
      </c>
      <c r="J172" s="11">
        <v>107.86813600000001</v>
      </c>
      <c r="K172" s="9" t="s">
        <v>329</v>
      </c>
      <c r="L172" s="10"/>
      <c r="M172" s="12" t="s">
        <v>51</v>
      </c>
      <c r="N172" s="13" t="s">
        <v>62</v>
      </c>
      <c r="O172" s="14">
        <v>14.024081000000001</v>
      </c>
      <c r="P172" s="14">
        <v>107.866939</v>
      </c>
      <c r="Q172" s="13" t="s">
        <v>53</v>
      </c>
      <c r="R172" s="15" t="s">
        <v>54</v>
      </c>
      <c r="S172" s="13" t="s">
        <v>55</v>
      </c>
      <c r="T172" s="13" t="s">
        <v>624</v>
      </c>
      <c r="U172" s="16">
        <f t="shared" si="4"/>
        <v>6471</v>
      </c>
      <c r="V172" s="17" t="str">
        <f t="shared" si="5"/>
        <v>OK</v>
      </c>
    </row>
    <row r="173" spans="1:22" x14ac:dyDescent="0.25">
      <c r="A173" s="9">
        <v>169</v>
      </c>
      <c r="B173" s="9" t="s">
        <v>625</v>
      </c>
      <c r="C173" s="9" t="s">
        <v>323</v>
      </c>
      <c r="D173" s="10" t="s">
        <v>619</v>
      </c>
      <c r="E173" s="9" t="s">
        <v>354</v>
      </c>
      <c r="F173" s="9" t="s">
        <v>326</v>
      </c>
      <c r="G173" s="10" t="s">
        <v>620</v>
      </c>
      <c r="H173" s="9" t="s">
        <v>621</v>
      </c>
      <c r="I173" s="11">
        <v>13.96078</v>
      </c>
      <c r="J173" s="11">
        <v>107.836828</v>
      </c>
      <c r="K173" s="9" t="s">
        <v>329</v>
      </c>
      <c r="L173" s="10"/>
      <c r="M173" s="12" t="s">
        <v>51</v>
      </c>
      <c r="N173" s="13" t="s">
        <v>62</v>
      </c>
      <c r="O173" s="14">
        <v>14.024081000000001</v>
      </c>
      <c r="P173" s="14">
        <v>107.866939</v>
      </c>
      <c r="Q173" s="13" t="s">
        <v>53</v>
      </c>
      <c r="R173" s="15" t="s">
        <v>54</v>
      </c>
      <c r="S173" s="13" t="s">
        <v>55</v>
      </c>
      <c r="T173" s="13" t="s">
        <v>626</v>
      </c>
      <c r="U173" s="16">
        <f t="shared" si="4"/>
        <v>7716</v>
      </c>
      <c r="V173" s="17" t="str">
        <f t="shared" si="5"/>
        <v>OK</v>
      </c>
    </row>
    <row r="174" spans="1:22" x14ac:dyDescent="0.25">
      <c r="A174" s="9">
        <v>170</v>
      </c>
      <c r="B174" s="9" t="s">
        <v>627</v>
      </c>
      <c r="C174" s="9" t="s">
        <v>323</v>
      </c>
      <c r="D174" s="10" t="s">
        <v>367</v>
      </c>
      <c r="E174" s="9" t="s">
        <v>354</v>
      </c>
      <c r="F174" s="9" t="s">
        <v>326</v>
      </c>
      <c r="G174" s="10" t="s">
        <v>620</v>
      </c>
      <c r="H174" s="9" t="s">
        <v>621</v>
      </c>
      <c r="I174" s="11">
        <v>14.028995</v>
      </c>
      <c r="J174" s="11">
        <v>107.85404</v>
      </c>
      <c r="K174" s="9" t="s">
        <v>329</v>
      </c>
      <c r="L174" s="10"/>
      <c r="M174" s="12" t="s">
        <v>51</v>
      </c>
      <c r="N174" s="13" t="s">
        <v>62</v>
      </c>
      <c r="O174" s="14">
        <v>14.029119</v>
      </c>
      <c r="P174" s="14">
        <v>107.85437</v>
      </c>
      <c r="Q174" s="13" t="s">
        <v>53</v>
      </c>
      <c r="R174" s="15" t="s">
        <v>54</v>
      </c>
      <c r="S174" s="13" t="s">
        <v>55</v>
      </c>
      <c r="T174" s="13" t="s">
        <v>628</v>
      </c>
      <c r="U174" s="16">
        <f t="shared" si="4"/>
        <v>38</v>
      </c>
      <c r="V174" s="17" t="str">
        <f t="shared" si="5"/>
        <v>OK</v>
      </c>
    </row>
    <row r="175" spans="1:22" x14ac:dyDescent="0.25">
      <c r="A175" s="9">
        <v>171</v>
      </c>
      <c r="B175" s="9" t="s">
        <v>629</v>
      </c>
      <c r="C175" s="9" t="s">
        <v>323</v>
      </c>
      <c r="D175" s="10" t="s">
        <v>369</v>
      </c>
      <c r="E175" s="9" t="s">
        <v>354</v>
      </c>
      <c r="F175" s="9" t="s">
        <v>326</v>
      </c>
      <c r="G175" s="10" t="s">
        <v>630</v>
      </c>
      <c r="H175" s="9" t="s">
        <v>631</v>
      </c>
      <c r="I175" s="11">
        <v>13.472652999999999</v>
      </c>
      <c r="J175" s="11">
        <v>108.38119399999999</v>
      </c>
      <c r="K175" s="9" t="s">
        <v>329</v>
      </c>
      <c r="L175" s="10"/>
      <c r="M175" s="12" t="s">
        <v>51</v>
      </c>
      <c r="N175" s="13" t="s">
        <v>62</v>
      </c>
      <c r="O175" s="14">
        <v>13.471059</v>
      </c>
      <c r="P175" s="14">
        <v>108.44482000000001</v>
      </c>
      <c r="Q175" s="13" t="s">
        <v>53</v>
      </c>
      <c r="R175" s="15" t="s">
        <v>54</v>
      </c>
      <c r="S175" s="13" t="s">
        <v>55</v>
      </c>
      <c r="T175" s="13" t="s">
        <v>632</v>
      </c>
      <c r="U175" s="16">
        <f t="shared" si="4"/>
        <v>6890</v>
      </c>
      <c r="V175" s="17" t="str">
        <f t="shared" si="5"/>
        <v>OK</v>
      </c>
    </row>
    <row r="176" spans="1:22" x14ac:dyDescent="0.25">
      <c r="A176" s="9">
        <v>172</v>
      </c>
      <c r="B176" s="9" t="s">
        <v>633</v>
      </c>
      <c r="C176" s="9" t="s">
        <v>323</v>
      </c>
      <c r="D176" s="10" t="s">
        <v>369</v>
      </c>
      <c r="E176" s="9" t="s">
        <v>354</v>
      </c>
      <c r="F176" s="9" t="s">
        <v>326</v>
      </c>
      <c r="G176" s="10" t="s">
        <v>630</v>
      </c>
      <c r="H176" s="9" t="s">
        <v>631</v>
      </c>
      <c r="I176" s="11">
        <v>13.436242999999999</v>
      </c>
      <c r="J176" s="11">
        <v>108.41856900000001</v>
      </c>
      <c r="K176" s="9" t="s">
        <v>329</v>
      </c>
      <c r="L176" s="10"/>
      <c r="M176" s="12" t="s">
        <v>51</v>
      </c>
      <c r="N176" s="13" t="s">
        <v>62</v>
      </c>
      <c r="O176" s="14">
        <v>13.471059</v>
      </c>
      <c r="P176" s="14">
        <v>108.44482000000001</v>
      </c>
      <c r="Q176" s="13" t="s">
        <v>53</v>
      </c>
      <c r="R176" s="15" t="s">
        <v>54</v>
      </c>
      <c r="S176" s="13" t="s">
        <v>55</v>
      </c>
      <c r="T176" s="13" t="s">
        <v>634</v>
      </c>
      <c r="U176" s="16">
        <f t="shared" si="4"/>
        <v>4784</v>
      </c>
      <c r="V176" s="17" t="str">
        <f t="shared" si="5"/>
        <v>OK</v>
      </c>
    </row>
    <row r="177" spans="1:22" x14ac:dyDescent="0.25">
      <c r="A177" s="9">
        <v>173</v>
      </c>
      <c r="B177" s="9" t="s">
        <v>635</v>
      </c>
      <c r="C177" s="9" t="s">
        <v>323</v>
      </c>
      <c r="D177" s="10" t="s">
        <v>636</v>
      </c>
      <c r="E177" s="9" t="s">
        <v>354</v>
      </c>
      <c r="F177" s="9" t="s">
        <v>326</v>
      </c>
      <c r="G177" s="10" t="s">
        <v>637</v>
      </c>
      <c r="H177" s="9" t="s">
        <v>638</v>
      </c>
      <c r="I177" s="11">
        <v>13.633248</v>
      </c>
      <c r="J177" s="11">
        <v>108.11128100000001</v>
      </c>
      <c r="K177" s="9" t="s">
        <v>329</v>
      </c>
      <c r="L177" s="10"/>
      <c r="M177" s="12" t="s">
        <v>51</v>
      </c>
      <c r="N177" s="13" t="s">
        <v>62</v>
      </c>
      <c r="O177" s="14">
        <v>13.589821000000001</v>
      </c>
      <c r="P177" s="14">
        <v>108.102465</v>
      </c>
      <c r="Q177" s="13" t="s">
        <v>53</v>
      </c>
      <c r="R177" s="15" t="s">
        <v>54</v>
      </c>
      <c r="S177" s="13" t="s">
        <v>55</v>
      </c>
      <c r="T177" s="13" t="s">
        <v>639</v>
      </c>
      <c r="U177" s="16">
        <f t="shared" si="4"/>
        <v>4894</v>
      </c>
      <c r="V177" s="17" t="str">
        <f t="shared" si="5"/>
        <v>OK</v>
      </c>
    </row>
    <row r="178" spans="1:22" x14ac:dyDescent="0.25">
      <c r="A178" s="9">
        <v>174</v>
      </c>
      <c r="B178" s="9" t="s">
        <v>640</v>
      </c>
      <c r="C178" s="9" t="s">
        <v>323</v>
      </c>
      <c r="D178" s="10" t="s">
        <v>641</v>
      </c>
      <c r="E178" s="9" t="s">
        <v>354</v>
      </c>
      <c r="F178" s="9" t="s">
        <v>326</v>
      </c>
      <c r="G178" s="10" t="s">
        <v>637</v>
      </c>
      <c r="H178" s="9" t="s">
        <v>638</v>
      </c>
      <c r="I178" s="11">
        <v>13.597839</v>
      </c>
      <c r="J178" s="11">
        <v>108.102667</v>
      </c>
      <c r="K178" s="9" t="s">
        <v>329</v>
      </c>
      <c r="L178" s="10"/>
      <c r="M178" s="12" t="s">
        <v>51</v>
      </c>
      <c r="N178" s="13" t="s">
        <v>62</v>
      </c>
      <c r="O178" s="14">
        <v>13.588926000000001</v>
      </c>
      <c r="P178" s="14">
        <v>108.101623</v>
      </c>
      <c r="Q178" s="13" t="s">
        <v>53</v>
      </c>
      <c r="R178" s="15" t="s">
        <v>54</v>
      </c>
      <c r="S178" s="13" t="s">
        <v>55</v>
      </c>
      <c r="T178" s="13" t="s">
        <v>642</v>
      </c>
      <c r="U178" s="16">
        <f t="shared" si="4"/>
        <v>992</v>
      </c>
      <c r="V178" s="17" t="str">
        <f t="shared" si="5"/>
        <v>OK</v>
      </c>
    </row>
    <row r="179" spans="1:22" x14ac:dyDescent="0.25">
      <c r="A179" s="9">
        <v>175</v>
      </c>
      <c r="B179" s="9" t="s">
        <v>643</v>
      </c>
      <c r="C179" s="9" t="s">
        <v>323</v>
      </c>
      <c r="D179" s="10" t="s">
        <v>369</v>
      </c>
      <c r="E179" s="9" t="s">
        <v>354</v>
      </c>
      <c r="F179" s="9" t="s">
        <v>326</v>
      </c>
      <c r="G179" s="10" t="s">
        <v>637</v>
      </c>
      <c r="H179" s="9" t="s">
        <v>638</v>
      </c>
      <c r="I179" s="11">
        <v>13.643117</v>
      </c>
      <c r="J179" s="11">
        <v>108.106219</v>
      </c>
      <c r="K179" s="9" t="s">
        <v>329</v>
      </c>
      <c r="L179" s="10"/>
      <c r="M179" s="12" t="s">
        <v>51</v>
      </c>
      <c r="N179" s="13" t="s">
        <v>62</v>
      </c>
      <c r="O179" s="14">
        <v>13.600574</v>
      </c>
      <c r="P179" s="14">
        <v>108.102519</v>
      </c>
      <c r="Q179" s="13" t="s">
        <v>53</v>
      </c>
      <c r="R179" s="15" t="s">
        <v>54</v>
      </c>
      <c r="S179" s="13" t="s">
        <v>55</v>
      </c>
      <c r="T179" s="13" t="s">
        <v>644</v>
      </c>
      <c r="U179" s="16">
        <f t="shared" si="4"/>
        <v>4720</v>
      </c>
      <c r="V179" s="17" t="str">
        <f t="shared" si="5"/>
        <v>OK</v>
      </c>
    </row>
    <row r="180" spans="1:22" x14ac:dyDescent="0.25">
      <c r="A180" s="9">
        <v>176</v>
      </c>
      <c r="B180" s="9" t="s">
        <v>645</v>
      </c>
      <c r="C180" s="9" t="s">
        <v>323</v>
      </c>
      <c r="D180" s="10" t="s">
        <v>369</v>
      </c>
      <c r="E180" s="9" t="s">
        <v>354</v>
      </c>
      <c r="F180" s="9" t="s">
        <v>326</v>
      </c>
      <c r="G180" s="10" t="s">
        <v>637</v>
      </c>
      <c r="H180" s="9" t="s">
        <v>638</v>
      </c>
      <c r="I180" s="11">
        <v>13.577021999999999</v>
      </c>
      <c r="J180" s="11">
        <v>108.09985500000001</v>
      </c>
      <c r="K180" s="9" t="s">
        <v>329</v>
      </c>
      <c r="L180" s="10"/>
      <c r="M180" s="12" t="s">
        <v>51</v>
      </c>
      <c r="N180" s="13" t="s">
        <v>62</v>
      </c>
      <c r="O180" s="14">
        <v>13.600574</v>
      </c>
      <c r="P180" s="14">
        <v>108.102519</v>
      </c>
      <c r="Q180" s="13" t="s">
        <v>53</v>
      </c>
      <c r="R180" s="15" t="s">
        <v>54</v>
      </c>
      <c r="S180" s="13" t="s">
        <v>55</v>
      </c>
      <c r="T180" s="13" t="s">
        <v>646</v>
      </c>
      <c r="U180" s="16">
        <f t="shared" si="4"/>
        <v>2619</v>
      </c>
      <c r="V180" s="17" t="str">
        <f t="shared" si="5"/>
        <v>OK</v>
      </c>
    </row>
    <row r="181" spans="1:22" x14ac:dyDescent="0.25">
      <c r="A181" s="9">
        <v>177</v>
      </c>
      <c r="B181" s="9" t="s">
        <v>647</v>
      </c>
      <c r="C181" s="9" t="s">
        <v>323</v>
      </c>
      <c r="D181" s="10" t="s">
        <v>369</v>
      </c>
      <c r="E181" s="9" t="s">
        <v>354</v>
      </c>
      <c r="F181" s="9" t="s">
        <v>326</v>
      </c>
      <c r="G181" s="10" t="s">
        <v>637</v>
      </c>
      <c r="H181" s="9" t="s">
        <v>638</v>
      </c>
      <c r="I181" s="11">
        <v>13.590662</v>
      </c>
      <c r="J181" s="11">
        <v>108.101838</v>
      </c>
      <c r="K181" s="9" t="s">
        <v>329</v>
      </c>
      <c r="L181" s="10"/>
      <c r="M181" s="12" t="s">
        <v>51</v>
      </c>
      <c r="N181" s="13" t="s">
        <v>62</v>
      </c>
      <c r="O181" s="14">
        <v>13.600574</v>
      </c>
      <c r="P181" s="14">
        <v>108.102519</v>
      </c>
      <c r="Q181" s="13" t="s">
        <v>53</v>
      </c>
      <c r="R181" s="15" t="s">
        <v>54</v>
      </c>
      <c r="S181" s="13" t="s">
        <v>55</v>
      </c>
      <c r="T181" s="13" t="s">
        <v>648</v>
      </c>
      <c r="U181" s="16">
        <f t="shared" si="4"/>
        <v>1098</v>
      </c>
      <c r="V181" s="17" t="str">
        <f t="shared" si="5"/>
        <v>OK</v>
      </c>
    </row>
    <row r="182" spans="1:22" x14ac:dyDescent="0.25">
      <c r="A182" s="9">
        <v>178</v>
      </c>
      <c r="B182" s="9" t="s">
        <v>649</v>
      </c>
      <c r="C182" s="9" t="s">
        <v>323</v>
      </c>
      <c r="D182" s="10" t="s">
        <v>650</v>
      </c>
      <c r="E182" s="9" t="s">
        <v>354</v>
      </c>
      <c r="F182" s="9" t="s">
        <v>326</v>
      </c>
      <c r="G182" s="10" t="s">
        <v>637</v>
      </c>
      <c r="H182" s="9" t="s">
        <v>638</v>
      </c>
      <c r="I182" s="11">
        <v>13.589024999999999</v>
      </c>
      <c r="J182" s="11">
        <v>108.101581</v>
      </c>
      <c r="K182" s="9" t="s">
        <v>329</v>
      </c>
      <c r="L182" s="10"/>
      <c r="M182" s="12" t="s">
        <v>51</v>
      </c>
      <c r="N182" s="13" t="s">
        <v>62</v>
      </c>
      <c r="O182" s="14">
        <v>13.589821000000001</v>
      </c>
      <c r="P182" s="14">
        <v>108.102465</v>
      </c>
      <c r="Q182" s="13" t="s">
        <v>53</v>
      </c>
      <c r="R182" s="15" t="s">
        <v>54</v>
      </c>
      <c r="S182" s="13" t="s">
        <v>55</v>
      </c>
      <c r="T182" s="13" t="s">
        <v>651</v>
      </c>
      <c r="U182" s="16">
        <f t="shared" si="4"/>
        <v>130</v>
      </c>
      <c r="V182" s="17" t="str">
        <f t="shared" si="5"/>
        <v>OK</v>
      </c>
    </row>
    <row r="183" spans="1:22" x14ac:dyDescent="0.25">
      <c r="A183" s="9">
        <v>179</v>
      </c>
      <c r="B183" s="9" t="s">
        <v>652</v>
      </c>
      <c r="C183" s="9" t="s">
        <v>323</v>
      </c>
      <c r="D183" s="10" t="s">
        <v>512</v>
      </c>
      <c r="E183" s="9" t="s">
        <v>354</v>
      </c>
      <c r="F183" s="9" t="s">
        <v>326</v>
      </c>
      <c r="G183" s="10" t="s">
        <v>653</v>
      </c>
      <c r="H183" s="9" t="s">
        <v>654</v>
      </c>
      <c r="I183" s="11">
        <v>14.236632</v>
      </c>
      <c r="J183" s="11">
        <v>107.99254999999999</v>
      </c>
      <c r="K183" s="9" t="s">
        <v>329</v>
      </c>
      <c r="L183" s="10"/>
      <c r="M183" s="12" t="s">
        <v>51</v>
      </c>
      <c r="N183" s="13" t="s">
        <v>62</v>
      </c>
      <c r="O183" s="14">
        <v>14.295970000000001</v>
      </c>
      <c r="P183" s="14">
        <v>108.11915</v>
      </c>
      <c r="Q183" s="13" t="s">
        <v>53</v>
      </c>
      <c r="R183" s="15" t="s">
        <v>54</v>
      </c>
      <c r="S183" s="13" t="s">
        <v>55</v>
      </c>
      <c r="T183" s="13" t="s">
        <v>655</v>
      </c>
      <c r="U183" s="16">
        <f t="shared" si="4"/>
        <v>15153</v>
      </c>
      <c r="V183" s="17" t="str">
        <f t="shared" si="5"/>
        <v>OK</v>
      </c>
    </row>
    <row r="184" spans="1:22" x14ac:dyDescent="0.25">
      <c r="A184" s="9">
        <v>180</v>
      </c>
      <c r="B184" s="9" t="s">
        <v>656</v>
      </c>
      <c r="C184" s="9" t="s">
        <v>323</v>
      </c>
      <c r="D184" s="10" t="s">
        <v>353</v>
      </c>
      <c r="E184" s="9" t="s">
        <v>354</v>
      </c>
      <c r="F184" s="9" t="s">
        <v>326</v>
      </c>
      <c r="G184" s="10" t="s">
        <v>653</v>
      </c>
      <c r="H184" s="9" t="s">
        <v>654</v>
      </c>
      <c r="I184" s="11">
        <v>14.235673999999999</v>
      </c>
      <c r="J184" s="11">
        <v>107.992852</v>
      </c>
      <c r="K184" s="9" t="s">
        <v>329</v>
      </c>
      <c r="L184" s="10"/>
      <c r="M184" s="12" t="s">
        <v>51</v>
      </c>
      <c r="N184" s="13" t="s">
        <v>62</v>
      </c>
      <c r="O184" s="14">
        <v>14.180127000000001</v>
      </c>
      <c r="P184" s="14">
        <v>107.95838999999999</v>
      </c>
      <c r="Q184" s="13" t="s">
        <v>53</v>
      </c>
      <c r="R184" s="15" t="s">
        <v>54</v>
      </c>
      <c r="S184" s="13" t="s">
        <v>55</v>
      </c>
      <c r="T184" s="13" t="s">
        <v>657</v>
      </c>
      <c r="U184" s="16">
        <f t="shared" si="4"/>
        <v>7178</v>
      </c>
      <c r="V184" s="17" t="str">
        <f t="shared" si="5"/>
        <v>OK</v>
      </c>
    </row>
    <row r="185" spans="1:22" x14ac:dyDescent="0.25">
      <c r="A185" s="9">
        <v>181</v>
      </c>
      <c r="B185" s="9" t="s">
        <v>658</v>
      </c>
      <c r="C185" s="9" t="s">
        <v>323</v>
      </c>
      <c r="D185" s="10" t="s">
        <v>650</v>
      </c>
      <c r="E185" s="9" t="s">
        <v>354</v>
      </c>
      <c r="F185" s="9" t="s">
        <v>326</v>
      </c>
      <c r="G185" s="10" t="s">
        <v>653</v>
      </c>
      <c r="H185" s="9" t="s">
        <v>654</v>
      </c>
      <c r="I185" s="11">
        <v>14.222977999999999</v>
      </c>
      <c r="J185" s="11">
        <v>107.985709</v>
      </c>
      <c r="K185" s="9" t="s">
        <v>329</v>
      </c>
      <c r="L185" s="10"/>
      <c r="M185" s="12" t="s">
        <v>51</v>
      </c>
      <c r="N185" s="13" t="s">
        <v>62</v>
      </c>
      <c r="O185" s="14">
        <v>14.222799999999999</v>
      </c>
      <c r="P185" s="14">
        <v>107.986192</v>
      </c>
      <c r="Q185" s="13" t="s">
        <v>53</v>
      </c>
      <c r="R185" s="15" t="s">
        <v>54</v>
      </c>
      <c r="S185" s="13" t="s">
        <v>55</v>
      </c>
      <c r="T185" s="13" t="s">
        <v>659</v>
      </c>
      <c r="U185" s="16">
        <f t="shared" si="4"/>
        <v>56</v>
      </c>
      <c r="V185" s="17" t="str">
        <f t="shared" si="5"/>
        <v>OK</v>
      </c>
    </row>
    <row r="186" spans="1:22" x14ac:dyDescent="0.25">
      <c r="A186" s="9">
        <v>182</v>
      </c>
      <c r="B186" s="9" t="s">
        <v>660</v>
      </c>
      <c r="C186" s="9" t="s">
        <v>323</v>
      </c>
      <c r="D186" s="10" t="s">
        <v>367</v>
      </c>
      <c r="E186" s="9" t="s">
        <v>354</v>
      </c>
      <c r="F186" s="9" t="s">
        <v>326</v>
      </c>
      <c r="G186" s="10" t="s">
        <v>661</v>
      </c>
      <c r="H186" s="9" t="s">
        <v>662</v>
      </c>
      <c r="I186" s="11">
        <v>13.836425</v>
      </c>
      <c r="J186" s="11">
        <v>107.79468900000001</v>
      </c>
      <c r="K186" s="9" t="s">
        <v>329</v>
      </c>
      <c r="L186" s="10"/>
      <c r="M186" s="12" t="s">
        <v>51</v>
      </c>
      <c r="N186" s="13" t="s">
        <v>62</v>
      </c>
      <c r="O186" s="14">
        <v>13.836717999999999</v>
      </c>
      <c r="P186" s="14">
        <v>107.794518</v>
      </c>
      <c r="Q186" s="13" t="s">
        <v>53</v>
      </c>
      <c r="R186" s="15" t="s">
        <v>54</v>
      </c>
      <c r="S186" s="13" t="s">
        <v>55</v>
      </c>
      <c r="T186" s="13" t="s">
        <v>663</v>
      </c>
      <c r="U186" s="16">
        <f t="shared" si="4"/>
        <v>37</v>
      </c>
      <c r="V186" s="17" t="str">
        <f t="shared" si="5"/>
        <v>OK</v>
      </c>
    </row>
    <row r="187" spans="1:22" x14ac:dyDescent="0.25">
      <c r="A187" s="9">
        <v>183</v>
      </c>
      <c r="B187" s="9" t="s">
        <v>664</v>
      </c>
      <c r="C187" s="9" t="s">
        <v>323</v>
      </c>
      <c r="D187" s="10" t="s">
        <v>367</v>
      </c>
      <c r="E187" s="9" t="s">
        <v>354</v>
      </c>
      <c r="F187" s="9" t="s">
        <v>326</v>
      </c>
      <c r="G187" s="10" t="s">
        <v>661</v>
      </c>
      <c r="H187" s="9" t="s">
        <v>662</v>
      </c>
      <c r="I187" s="11">
        <v>13.824971</v>
      </c>
      <c r="J187" s="11">
        <v>107.767267</v>
      </c>
      <c r="K187" s="9" t="s">
        <v>329</v>
      </c>
      <c r="L187" s="10"/>
      <c r="M187" s="12" t="s">
        <v>51</v>
      </c>
      <c r="N187" s="13" t="s">
        <v>62</v>
      </c>
      <c r="O187" s="14">
        <v>13.836717999999999</v>
      </c>
      <c r="P187" s="14">
        <v>107.794518</v>
      </c>
      <c r="Q187" s="13" t="s">
        <v>53</v>
      </c>
      <c r="R187" s="15" t="s">
        <v>54</v>
      </c>
      <c r="S187" s="13" t="s">
        <v>55</v>
      </c>
      <c r="T187" s="13" t="s">
        <v>665</v>
      </c>
      <c r="U187" s="16">
        <f t="shared" si="4"/>
        <v>3219</v>
      </c>
      <c r="V187" s="17" t="str">
        <f t="shared" si="5"/>
        <v>OK</v>
      </c>
    </row>
    <row r="188" spans="1:22" x14ac:dyDescent="0.25">
      <c r="A188" s="9">
        <v>184</v>
      </c>
      <c r="B188" s="9" t="s">
        <v>666</v>
      </c>
      <c r="C188" s="9" t="s">
        <v>323</v>
      </c>
      <c r="D188" s="10" t="s">
        <v>367</v>
      </c>
      <c r="E188" s="9" t="s">
        <v>354</v>
      </c>
      <c r="F188" s="9" t="s">
        <v>326</v>
      </c>
      <c r="G188" s="10" t="s">
        <v>661</v>
      </c>
      <c r="H188" s="9" t="s">
        <v>662</v>
      </c>
      <c r="I188" s="11">
        <v>13.839784999999999</v>
      </c>
      <c r="J188" s="11">
        <v>107.816265</v>
      </c>
      <c r="K188" s="9" t="s">
        <v>329</v>
      </c>
      <c r="L188" s="10"/>
      <c r="M188" s="12" t="s">
        <v>51</v>
      </c>
      <c r="N188" s="13" t="s">
        <v>62</v>
      </c>
      <c r="O188" s="14">
        <v>13.836717999999999</v>
      </c>
      <c r="P188" s="14">
        <v>107.794518</v>
      </c>
      <c r="Q188" s="13" t="s">
        <v>53</v>
      </c>
      <c r="R188" s="15" t="s">
        <v>54</v>
      </c>
      <c r="S188" s="13" t="s">
        <v>55</v>
      </c>
      <c r="T188" s="13" t="s">
        <v>667</v>
      </c>
      <c r="U188" s="16">
        <f t="shared" si="4"/>
        <v>2375</v>
      </c>
      <c r="V188" s="17" t="str">
        <f t="shared" si="5"/>
        <v>OK</v>
      </c>
    </row>
    <row r="189" spans="1:22" x14ac:dyDescent="0.25">
      <c r="A189" s="9">
        <v>185</v>
      </c>
      <c r="B189" s="9" t="s">
        <v>668</v>
      </c>
      <c r="C189" s="9" t="s">
        <v>323</v>
      </c>
      <c r="D189" s="10" t="s">
        <v>546</v>
      </c>
      <c r="E189" s="9" t="s">
        <v>354</v>
      </c>
      <c r="F189" s="9" t="s">
        <v>326</v>
      </c>
      <c r="G189" s="10" t="s">
        <v>669</v>
      </c>
      <c r="H189" s="9" t="s">
        <v>670</v>
      </c>
      <c r="I189" s="11">
        <v>13.442829</v>
      </c>
      <c r="J189" s="11">
        <v>108.091506</v>
      </c>
      <c r="K189" s="9" t="s">
        <v>329</v>
      </c>
      <c r="L189" s="10"/>
      <c r="M189" s="12" t="s">
        <v>51</v>
      </c>
      <c r="N189" s="13" t="s">
        <v>69</v>
      </c>
      <c r="O189" s="14"/>
      <c r="P189" s="14"/>
      <c r="Q189" s="13" t="s">
        <v>70</v>
      </c>
      <c r="R189" s="15" t="s">
        <v>54</v>
      </c>
      <c r="S189" s="13" t="s">
        <v>55</v>
      </c>
      <c r="T189" s="13" t="s">
        <v>671</v>
      </c>
      <c r="U189" s="16" t="str">
        <f t="shared" si="4"/>
        <v/>
      </c>
      <c r="V189" s="17" t="str">
        <f t="shared" si="5"/>
        <v>OK</v>
      </c>
    </row>
    <row r="190" spans="1:22" x14ac:dyDescent="0.25">
      <c r="A190" s="9">
        <v>186</v>
      </c>
      <c r="B190" s="9" t="s">
        <v>672</v>
      </c>
      <c r="C190" s="9" t="s">
        <v>323</v>
      </c>
      <c r="D190" s="10" t="s">
        <v>369</v>
      </c>
      <c r="E190" s="9" t="s">
        <v>354</v>
      </c>
      <c r="F190" s="9" t="s">
        <v>326</v>
      </c>
      <c r="G190" s="10" t="s">
        <v>669</v>
      </c>
      <c r="H190" s="9" t="s">
        <v>670</v>
      </c>
      <c r="I190" s="11">
        <v>13.456141000000001</v>
      </c>
      <c r="J190" s="11">
        <v>108.092186</v>
      </c>
      <c r="K190" s="9" t="s">
        <v>329</v>
      </c>
      <c r="L190" s="10"/>
      <c r="M190" s="12" t="s">
        <v>51</v>
      </c>
      <c r="N190" s="13" t="s">
        <v>69</v>
      </c>
      <c r="O190" s="14"/>
      <c r="P190" s="14"/>
      <c r="Q190" s="13" t="s">
        <v>70</v>
      </c>
      <c r="R190" s="15" t="s">
        <v>54</v>
      </c>
      <c r="S190" s="13" t="s">
        <v>55</v>
      </c>
      <c r="T190" s="13" t="s">
        <v>673</v>
      </c>
      <c r="U190" s="16" t="str">
        <f t="shared" si="4"/>
        <v/>
      </c>
      <c r="V190" s="17" t="str">
        <f t="shared" si="5"/>
        <v>OK</v>
      </c>
    </row>
    <row r="191" spans="1:22" x14ac:dyDescent="0.25">
      <c r="A191" s="9">
        <v>187</v>
      </c>
      <c r="B191" s="9" t="s">
        <v>674</v>
      </c>
      <c r="C191" s="9" t="s">
        <v>323</v>
      </c>
      <c r="D191" s="10" t="s">
        <v>353</v>
      </c>
      <c r="E191" s="9" t="s">
        <v>354</v>
      </c>
      <c r="F191" s="9" t="s">
        <v>326</v>
      </c>
      <c r="G191" s="10" t="s">
        <v>669</v>
      </c>
      <c r="H191" s="9" t="s">
        <v>670</v>
      </c>
      <c r="I191" s="11">
        <v>13.418804</v>
      </c>
      <c r="J191" s="11">
        <v>108.093311</v>
      </c>
      <c r="K191" s="9" t="s">
        <v>329</v>
      </c>
      <c r="L191" s="10"/>
      <c r="M191" s="12" t="s">
        <v>51</v>
      </c>
      <c r="N191" s="13" t="s">
        <v>62</v>
      </c>
      <c r="O191" s="14">
        <v>13.452588</v>
      </c>
      <c r="P191" s="14">
        <v>108.07172199999999</v>
      </c>
      <c r="Q191" s="13" t="s">
        <v>53</v>
      </c>
      <c r="R191" s="15" t="s">
        <v>54</v>
      </c>
      <c r="S191" s="13" t="s">
        <v>55</v>
      </c>
      <c r="T191" s="13" t="s">
        <v>675</v>
      </c>
      <c r="U191" s="16">
        <f t="shared" si="4"/>
        <v>4406</v>
      </c>
      <c r="V191" s="17" t="str">
        <f t="shared" si="5"/>
        <v>OK</v>
      </c>
    </row>
    <row r="192" spans="1:22" x14ac:dyDescent="0.25">
      <c r="A192" s="9">
        <v>188</v>
      </c>
      <c r="B192" s="9" t="s">
        <v>676</v>
      </c>
      <c r="C192" s="9" t="s">
        <v>323</v>
      </c>
      <c r="D192" s="10" t="s">
        <v>353</v>
      </c>
      <c r="E192" s="9" t="s">
        <v>354</v>
      </c>
      <c r="F192" s="9" t="s">
        <v>326</v>
      </c>
      <c r="G192" s="10" t="s">
        <v>669</v>
      </c>
      <c r="H192" s="9" t="s">
        <v>670</v>
      </c>
      <c r="I192" s="11">
        <v>13.479516</v>
      </c>
      <c r="J192" s="11">
        <v>108.09805</v>
      </c>
      <c r="K192" s="9" t="s">
        <v>329</v>
      </c>
      <c r="L192" s="10"/>
      <c r="M192" s="12" t="s">
        <v>51</v>
      </c>
      <c r="N192" s="13" t="s">
        <v>62</v>
      </c>
      <c r="O192" s="14">
        <v>13.452588</v>
      </c>
      <c r="P192" s="14">
        <v>108.07172199999999</v>
      </c>
      <c r="Q192" s="13" t="s">
        <v>53</v>
      </c>
      <c r="R192" s="15" t="s">
        <v>54</v>
      </c>
      <c r="S192" s="13" t="s">
        <v>55</v>
      </c>
      <c r="T192" s="13" t="s">
        <v>677</v>
      </c>
      <c r="U192" s="16">
        <f t="shared" si="4"/>
        <v>4121</v>
      </c>
      <c r="V192" s="17" t="str">
        <f t="shared" si="5"/>
        <v>OK</v>
      </c>
    </row>
    <row r="193" spans="1:22" x14ac:dyDescent="0.25">
      <c r="A193" s="9">
        <v>189</v>
      </c>
      <c r="B193" s="9" t="s">
        <v>678</v>
      </c>
      <c r="C193" s="9" t="s">
        <v>323</v>
      </c>
      <c r="D193" s="10" t="s">
        <v>679</v>
      </c>
      <c r="E193" s="9" t="s">
        <v>354</v>
      </c>
      <c r="F193" s="9" t="s">
        <v>326</v>
      </c>
      <c r="G193" s="10" t="s">
        <v>680</v>
      </c>
      <c r="H193" s="9" t="s">
        <v>125</v>
      </c>
      <c r="I193" s="11">
        <v>14.179606</v>
      </c>
      <c r="J193" s="11">
        <v>107.851204</v>
      </c>
      <c r="K193" s="9" t="s">
        <v>329</v>
      </c>
      <c r="L193" s="10"/>
      <c r="M193" s="12" t="s">
        <v>51</v>
      </c>
      <c r="N193" s="13" t="s">
        <v>52</v>
      </c>
      <c r="O193" s="14"/>
      <c r="P193" s="14"/>
      <c r="Q193" s="13" t="s">
        <v>53</v>
      </c>
      <c r="R193" s="15" t="s">
        <v>54</v>
      </c>
      <c r="S193" s="13" t="s">
        <v>55</v>
      </c>
      <c r="T193" s="13" t="s">
        <v>681</v>
      </c>
      <c r="U193" s="16" t="str">
        <f t="shared" si="4"/>
        <v/>
      </c>
      <c r="V193" s="17" t="str">
        <f t="shared" si="5"/>
        <v>OK</v>
      </c>
    </row>
    <row r="194" spans="1:22" x14ac:dyDescent="0.25">
      <c r="A194" s="9">
        <v>190</v>
      </c>
      <c r="B194" s="9" t="s">
        <v>682</v>
      </c>
      <c r="C194" s="9" t="s">
        <v>323</v>
      </c>
      <c r="D194" s="10" t="s">
        <v>367</v>
      </c>
      <c r="E194" s="9" t="s">
        <v>354</v>
      </c>
      <c r="F194" s="9" t="s">
        <v>326</v>
      </c>
      <c r="G194" s="10" t="s">
        <v>683</v>
      </c>
      <c r="H194" s="9" t="s">
        <v>684</v>
      </c>
      <c r="I194" s="11">
        <v>13.383169000000001</v>
      </c>
      <c r="J194" s="11">
        <v>107.688715</v>
      </c>
      <c r="K194" s="9" t="s">
        <v>329</v>
      </c>
      <c r="L194" s="10"/>
      <c r="M194" s="12" t="s">
        <v>51</v>
      </c>
      <c r="N194" s="13" t="s">
        <v>52</v>
      </c>
      <c r="O194" s="14"/>
      <c r="P194" s="14"/>
      <c r="Q194" s="13" t="s">
        <v>53</v>
      </c>
      <c r="R194" s="15" t="s">
        <v>54</v>
      </c>
      <c r="S194" s="13" t="s">
        <v>55</v>
      </c>
      <c r="T194" s="13" t="s">
        <v>685</v>
      </c>
      <c r="U194" s="16" t="str">
        <f t="shared" si="4"/>
        <v/>
      </c>
      <c r="V194" s="17" t="str">
        <f t="shared" si="5"/>
        <v>OK</v>
      </c>
    </row>
    <row r="195" spans="1:22" x14ac:dyDescent="0.25">
      <c r="A195" s="9">
        <v>191</v>
      </c>
      <c r="B195" s="9" t="s">
        <v>686</v>
      </c>
      <c r="C195" s="9" t="s">
        <v>323</v>
      </c>
      <c r="D195" s="10" t="s">
        <v>687</v>
      </c>
      <c r="E195" s="9" t="s">
        <v>354</v>
      </c>
      <c r="F195" s="9" t="s">
        <v>326</v>
      </c>
      <c r="G195" s="10" t="s">
        <v>688</v>
      </c>
      <c r="H195" s="9" t="s">
        <v>689</v>
      </c>
      <c r="I195" s="11">
        <v>13.760246</v>
      </c>
      <c r="J195" s="11">
        <v>107.56953900000001</v>
      </c>
      <c r="K195" s="9" t="s">
        <v>329</v>
      </c>
      <c r="L195" s="10"/>
      <c r="M195" s="12" t="s">
        <v>51</v>
      </c>
      <c r="N195" s="13" t="s">
        <v>69</v>
      </c>
      <c r="O195" s="14"/>
      <c r="P195" s="14"/>
      <c r="Q195" s="13" t="s">
        <v>70</v>
      </c>
      <c r="R195" s="15" t="s">
        <v>54</v>
      </c>
      <c r="S195" s="13" t="s">
        <v>55</v>
      </c>
      <c r="T195" s="13" t="s">
        <v>690</v>
      </c>
      <c r="U195" s="16" t="str">
        <f t="shared" si="4"/>
        <v/>
      </c>
      <c r="V195" s="17" t="str">
        <f t="shared" si="5"/>
        <v>OK</v>
      </c>
    </row>
    <row r="196" spans="1:22" x14ac:dyDescent="0.25">
      <c r="A196" s="9">
        <v>192</v>
      </c>
      <c r="B196" s="9" t="s">
        <v>691</v>
      </c>
      <c r="C196" s="9" t="s">
        <v>323</v>
      </c>
      <c r="D196" s="10" t="s">
        <v>687</v>
      </c>
      <c r="E196" s="9" t="s">
        <v>354</v>
      </c>
      <c r="F196" s="9" t="s">
        <v>326</v>
      </c>
      <c r="G196" s="10" t="s">
        <v>688</v>
      </c>
      <c r="H196" s="9" t="s">
        <v>689</v>
      </c>
      <c r="I196" s="11">
        <v>13.723203</v>
      </c>
      <c r="J196" s="11">
        <v>107.600596</v>
      </c>
      <c r="K196" s="9" t="s">
        <v>329</v>
      </c>
      <c r="L196" s="10"/>
      <c r="M196" s="12" t="s">
        <v>51</v>
      </c>
      <c r="N196" s="13" t="s">
        <v>69</v>
      </c>
      <c r="O196" s="14"/>
      <c r="P196" s="14"/>
      <c r="Q196" s="13" t="s">
        <v>70</v>
      </c>
      <c r="R196" s="15" t="s">
        <v>54</v>
      </c>
      <c r="S196" s="13" t="s">
        <v>55</v>
      </c>
      <c r="T196" s="13" t="s">
        <v>690</v>
      </c>
      <c r="U196" s="16" t="str">
        <f t="shared" si="4"/>
        <v/>
      </c>
      <c r="V196" s="17" t="str">
        <f t="shared" si="5"/>
        <v>OK</v>
      </c>
    </row>
    <row r="197" spans="1:22" x14ac:dyDescent="0.25">
      <c r="A197" s="9">
        <v>193</v>
      </c>
      <c r="B197" s="9" t="s">
        <v>692</v>
      </c>
      <c r="C197" s="9" t="s">
        <v>323</v>
      </c>
      <c r="D197" s="10" t="s">
        <v>367</v>
      </c>
      <c r="E197" s="9" t="s">
        <v>354</v>
      </c>
      <c r="F197" s="9" t="s">
        <v>326</v>
      </c>
      <c r="G197" s="10" t="s">
        <v>688</v>
      </c>
      <c r="H197" s="9" t="s">
        <v>689</v>
      </c>
      <c r="I197" s="11">
        <v>13.782532</v>
      </c>
      <c r="J197" s="11">
        <v>107.619933</v>
      </c>
      <c r="K197" s="9" t="s">
        <v>329</v>
      </c>
      <c r="L197" s="10"/>
      <c r="M197" s="12" t="s">
        <v>51</v>
      </c>
      <c r="N197" s="13" t="s">
        <v>69</v>
      </c>
      <c r="O197" s="14"/>
      <c r="P197" s="14"/>
      <c r="Q197" s="13" t="s">
        <v>70</v>
      </c>
      <c r="R197" s="15" t="s">
        <v>54</v>
      </c>
      <c r="S197" s="13" t="s">
        <v>55</v>
      </c>
      <c r="T197" s="13" t="s">
        <v>693</v>
      </c>
      <c r="U197" s="16" t="str">
        <f t="shared" ref="U197:U260" si="6">IF(AND(ISNUMBER(O197),ISNUMBER(P197)),ROUND(SQRT(((P197-J197)*111320*COS(RADIANS(I197)))^2+((O197-I197)*110540)^2),0),"")</f>
        <v/>
      </c>
      <c r="V197" s="17" t="str">
        <f t="shared" ref="V197:V260" si="7">IF(N197="","",IF(N197="Sửa vị trí",IF(OR(O197="",P197=""),"Thiếu vĩ độ / kinh độ mới",IF(OR(O197&lt;12.5,O197&gt;15,P197&lt;107,P197&gt;109.6),"Toạ độ ngoài Gia Lai (đảo vĩ/kinh độ?)",IF(Q197="","Chọn cách xác định",IF(U197&gt;20000,"Dời hơn 20 km – kiểm tra lại","OK")))),IF(AND(N197&lt;&gt;"Sửa vị trí",OR(O197&lt;&gt;"",P197&lt;&gt;"")),"Có toạ độ mới nhưng kết quả không phải Sửa vị trí","OK")))</f>
        <v>OK</v>
      </c>
    </row>
    <row r="198" spans="1:22" x14ac:dyDescent="0.25">
      <c r="A198" s="9">
        <v>194</v>
      </c>
      <c r="B198" s="9" t="s">
        <v>694</v>
      </c>
      <c r="C198" s="9" t="s">
        <v>323</v>
      </c>
      <c r="D198" s="10" t="s">
        <v>367</v>
      </c>
      <c r="E198" s="9" t="s">
        <v>354</v>
      </c>
      <c r="F198" s="9" t="s">
        <v>326</v>
      </c>
      <c r="G198" s="10" t="s">
        <v>688</v>
      </c>
      <c r="H198" s="9" t="s">
        <v>689</v>
      </c>
      <c r="I198" s="11">
        <v>13.774729000000001</v>
      </c>
      <c r="J198" s="11">
        <v>107.60516</v>
      </c>
      <c r="K198" s="9" t="s">
        <v>329</v>
      </c>
      <c r="L198" s="10"/>
      <c r="M198" s="12" t="s">
        <v>51</v>
      </c>
      <c r="N198" s="13" t="s">
        <v>69</v>
      </c>
      <c r="O198" s="14"/>
      <c r="P198" s="14"/>
      <c r="Q198" s="13" t="s">
        <v>70</v>
      </c>
      <c r="R198" s="15" t="s">
        <v>54</v>
      </c>
      <c r="S198" s="13" t="s">
        <v>55</v>
      </c>
      <c r="T198" s="13" t="s">
        <v>693</v>
      </c>
      <c r="U198" s="16" t="str">
        <f t="shared" si="6"/>
        <v/>
      </c>
      <c r="V198" s="17" t="str">
        <f t="shared" si="7"/>
        <v>OK</v>
      </c>
    </row>
    <row r="199" spans="1:22" x14ac:dyDescent="0.25">
      <c r="A199" s="9">
        <v>195</v>
      </c>
      <c r="B199" s="9" t="s">
        <v>695</v>
      </c>
      <c r="C199" s="9" t="s">
        <v>323</v>
      </c>
      <c r="D199" s="10" t="s">
        <v>367</v>
      </c>
      <c r="E199" s="9" t="s">
        <v>354</v>
      </c>
      <c r="F199" s="9" t="s">
        <v>326</v>
      </c>
      <c r="G199" s="10" t="s">
        <v>688</v>
      </c>
      <c r="H199" s="9" t="s">
        <v>689</v>
      </c>
      <c r="I199" s="11">
        <v>13.731885999999999</v>
      </c>
      <c r="J199" s="11">
        <v>107.60066500000001</v>
      </c>
      <c r="K199" s="9" t="s">
        <v>329</v>
      </c>
      <c r="L199" s="10"/>
      <c r="M199" s="12" t="s">
        <v>51</v>
      </c>
      <c r="N199" s="13" t="s">
        <v>69</v>
      </c>
      <c r="O199" s="14"/>
      <c r="P199" s="14"/>
      <c r="Q199" s="13" t="s">
        <v>70</v>
      </c>
      <c r="R199" s="15" t="s">
        <v>54</v>
      </c>
      <c r="S199" s="13" t="s">
        <v>55</v>
      </c>
      <c r="T199" s="13" t="s">
        <v>693</v>
      </c>
      <c r="U199" s="16" t="str">
        <f t="shared" si="6"/>
        <v/>
      </c>
      <c r="V199" s="17" t="str">
        <f t="shared" si="7"/>
        <v>OK</v>
      </c>
    </row>
    <row r="200" spans="1:22" x14ac:dyDescent="0.25">
      <c r="A200" s="9">
        <v>196</v>
      </c>
      <c r="B200" s="9" t="s">
        <v>696</v>
      </c>
      <c r="C200" s="9" t="s">
        <v>323</v>
      </c>
      <c r="D200" s="10" t="s">
        <v>353</v>
      </c>
      <c r="E200" s="9" t="s">
        <v>354</v>
      </c>
      <c r="F200" s="9" t="s">
        <v>326</v>
      </c>
      <c r="G200" s="10" t="s">
        <v>688</v>
      </c>
      <c r="H200" s="9" t="s">
        <v>689</v>
      </c>
      <c r="I200" s="11">
        <v>13.766567</v>
      </c>
      <c r="J200" s="11">
        <v>107.50912700000001</v>
      </c>
      <c r="K200" s="9" t="s">
        <v>329</v>
      </c>
      <c r="L200" s="10"/>
      <c r="M200" s="12" t="s">
        <v>51</v>
      </c>
      <c r="N200" s="13" t="s">
        <v>69</v>
      </c>
      <c r="O200" s="14"/>
      <c r="P200" s="14"/>
      <c r="Q200" s="13" t="s">
        <v>70</v>
      </c>
      <c r="R200" s="15" t="s">
        <v>54</v>
      </c>
      <c r="S200" s="13" t="s">
        <v>55</v>
      </c>
      <c r="T200" s="13" t="s">
        <v>697</v>
      </c>
      <c r="U200" s="16" t="str">
        <f t="shared" si="6"/>
        <v/>
      </c>
      <c r="V200" s="17" t="str">
        <f t="shared" si="7"/>
        <v>OK</v>
      </c>
    </row>
    <row r="201" spans="1:22" x14ac:dyDescent="0.25">
      <c r="A201" s="9">
        <v>197</v>
      </c>
      <c r="B201" s="9" t="s">
        <v>698</v>
      </c>
      <c r="C201" s="9" t="s">
        <v>323</v>
      </c>
      <c r="D201" s="10" t="s">
        <v>699</v>
      </c>
      <c r="E201" s="9" t="s">
        <v>354</v>
      </c>
      <c r="F201" s="9" t="s">
        <v>326</v>
      </c>
      <c r="G201" s="10" t="s">
        <v>700</v>
      </c>
      <c r="H201" s="9" t="s">
        <v>701</v>
      </c>
      <c r="I201" s="11">
        <v>13.965612</v>
      </c>
      <c r="J201" s="11">
        <v>107.515675</v>
      </c>
      <c r="K201" s="9" t="s">
        <v>329</v>
      </c>
      <c r="L201" s="10"/>
      <c r="M201" s="12" t="s">
        <v>51</v>
      </c>
      <c r="N201" s="13" t="s">
        <v>69</v>
      </c>
      <c r="O201" s="14"/>
      <c r="P201" s="14"/>
      <c r="Q201" s="13" t="s">
        <v>70</v>
      </c>
      <c r="R201" s="15" t="s">
        <v>54</v>
      </c>
      <c r="S201" s="13" t="s">
        <v>55</v>
      </c>
      <c r="T201" s="13" t="s">
        <v>702</v>
      </c>
      <c r="U201" s="16" t="str">
        <f t="shared" si="6"/>
        <v/>
      </c>
      <c r="V201" s="17" t="str">
        <f t="shared" si="7"/>
        <v>OK</v>
      </c>
    </row>
    <row r="202" spans="1:22" x14ac:dyDescent="0.25">
      <c r="A202" s="9">
        <v>198</v>
      </c>
      <c r="B202" s="9" t="s">
        <v>703</v>
      </c>
      <c r="C202" s="9" t="s">
        <v>323</v>
      </c>
      <c r="D202" s="10" t="s">
        <v>699</v>
      </c>
      <c r="E202" s="9" t="s">
        <v>354</v>
      </c>
      <c r="F202" s="9" t="s">
        <v>326</v>
      </c>
      <c r="G202" s="10" t="s">
        <v>700</v>
      </c>
      <c r="H202" s="9" t="s">
        <v>701</v>
      </c>
      <c r="I202" s="11">
        <v>13.958114</v>
      </c>
      <c r="J202" s="11">
        <v>107.537693</v>
      </c>
      <c r="K202" s="9" t="s">
        <v>329</v>
      </c>
      <c r="L202" s="10"/>
      <c r="M202" s="12" t="s">
        <v>51</v>
      </c>
      <c r="N202" s="13" t="s">
        <v>69</v>
      </c>
      <c r="O202" s="14"/>
      <c r="P202" s="14"/>
      <c r="Q202" s="13" t="s">
        <v>70</v>
      </c>
      <c r="R202" s="15" t="s">
        <v>54</v>
      </c>
      <c r="S202" s="13" t="s">
        <v>55</v>
      </c>
      <c r="T202" s="13" t="s">
        <v>702</v>
      </c>
      <c r="U202" s="16" t="str">
        <f t="shared" si="6"/>
        <v/>
      </c>
      <c r="V202" s="17" t="str">
        <f t="shared" si="7"/>
        <v>OK</v>
      </c>
    </row>
    <row r="203" spans="1:22" x14ac:dyDescent="0.25">
      <c r="A203" s="9">
        <v>199</v>
      </c>
      <c r="B203" s="9" t="s">
        <v>704</v>
      </c>
      <c r="C203" s="9" t="s">
        <v>323</v>
      </c>
      <c r="D203" s="10" t="s">
        <v>367</v>
      </c>
      <c r="E203" s="9" t="s">
        <v>354</v>
      </c>
      <c r="F203" s="9" t="s">
        <v>326</v>
      </c>
      <c r="G203" s="10" t="s">
        <v>705</v>
      </c>
      <c r="H203" s="9" t="s">
        <v>130</v>
      </c>
      <c r="I203" s="11">
        <v>14.145277999999999</v>
      </c>
      <c r="J203" s="11">
        <v>107.887055</v>
      </c>
      <c r="K203" s="9" t="s">
        <v>329</v>
      </c>
      <c r="L203" s="10"/>
      <c r="M203" s="12" t="s">
        <v>51</v>
      </c>
      <c r="N203" s="13" t="s">
        <v>62</v>
      </c>
      <c r="O203" s="14">
        <v>14.029119</v>
      </c>
      <c r="P203" s="14">
        <v>107.85437</v>
      </c>
      <c r="Q203" s="13" t="s">
        <v>53</v>
      </c>
      <c r="R203" s="15" t="s">
        <v>54</v>
      </c>
      <c r="S203" s="13" t="s">
        <v>55</v>
      </c>
      <c r="T203" s="13" t="s">
        <v>706</v>
      </c>
      <c r="U203" s="16">
        <f t="shared" si="6"/>
        <v>13316</v>
      </c>
      <c r="V203" s="17" t="str">
        <f t="shared" si="7"/>
        <v>OK</v>
      </c>
    </row>
    <row r="204" spans="1:22" x14ac:dyDescent="0.25">
      <c r="A204" s="9">
        <v>200</v>
      </c>
      <c r="B204" s="9" t="s">
        <v>707</v>
      </c>
      <c r="C204" s="9" t="s">
        <v>323</v>
      </c>
      <c r="D204" s="10" t="s">
        <v>367</v>
      </c>
      <c r="E204" s="9" t="s">
        <v>354</v>
      </c>
      <c r="F204" s="9" t="s">
        <v>326</v>
      </c>
      <c r="G204" s="10" t="s">
        <v>705</v>
      </c>
      <c r="H204" s="9" t="s">
        <v>130</v>
      </c>
      <c r="I204" s="11">
        <v>14.089803</v>
      </c>
      <c r="J204" s="11">
        <v>107.84984799999999</v>
      </c>
      <c r="K204" s="9" t="s">
        <v>329</v>
      </c>
      <c r="L204" s="10"/>
      <c r="M204" s="12" t="s">
        <v>51</v>
      </c>
      <c r="N204" s="13" t="s">
        <v>62</v>
      </c>
      <c r="O204" s="14">
        <v>14.029119</v>
      </c>
      <c r="P204" s="14">
        <v>107.85437</v>
      </c>
      <c r="Q204" s="13" t="s">
        <v>53</v>
      </c>
      <c r="R204" s="15" t="s">
        <v>54</v>
      </c>
      <c r="S204" s="13" t="s">
        <v>55</v>
      </c>
      <c r="T204" s="13" t="s">
        <v>708</v>
      </c>
      <c r="U204" s="16">
        <f t="shared" si="6"/>
        <v>6726</v>
      </c>
      <c r="V204" s="17" t="str">
        <f t="shared" si="7"/>
        <v>OK</v>
      </c>
    </row>
    <row r="205" spans="1:22" x14ac:dyDescent="0.25">
      <c r="A205" s="9">
        <v>201</v>
      </c>
      <c r="B205" s="9" t="s">
        <v>709</v>
      </c>
      <c r="C205" s="9" t="s">
        <v>323</v>
      </c>
      <c r="D205" s="10" t="s">
        <v>369</v>
      </c>
      <c r="E205" s="9" t="s">
        <v>354</v>
      </c>
      <c r="F205" s="9" t="s">
        <v>326</v>
      </c>
      <c r="G205" s="10" t="s">
        <v>710</v>
      </c>
      <c r="H205" s="9" t="s">
        <v>711</v>
      </c>
      <c r="I205" s="11">
        <v>13.296739000000001</v>
      </c>
      <c r="J205" s="11">
        <v>108.62357799999999</v>
      </c>
      <c r="K205" s="9" t="s">
        <v>329</v>
      </c>
      <c r="L205" s="10"/>
      <c r="M205" s="12" t="s">
        <v>51</v>
      </c>
      <c r="N205" s="13" t="s">
        <v>69</v>
      </c>
      <c r="O205" s="14"/>
      <c r="P205" s="14"/>
      <c r="Q205" s="13" t="s">
        <v>70</v>
      </c>
      <c r="R205" s="15" t="s">
        <v>54</v>
      </c>
      <c r="S205" s="13" t="s">
        <v>55</v>
      </c>
      <c r="T205" s="13" t="s">
        <v>712</v>
      </c>
      <c r="U205" s="16" t="str">
        <f t="shared" si="6"/>
        <v/>
      </c>
      <c r="V205" s="17" t="str">
        <f t="shared" si="7"/>
        <v>OK</v>
      </c>
    </row>
    <row r="206" spans="1:22" x14ac:dyDescent="0.25">
      <c r="A206" s="9">
        <v>202</v>
      </c>
      <c r="B206" s="9" t="s">
        <v>713</v>
      </c>
      <c r="C206" s="9" t="s">
        <v>323</v>
      </c>
      <c r="D206" s="10" t="s">
        <v>369</v>
      </c>
      <c r="E206" s="9" t="s">
        <v>354</v>
      </c>
      <c r="F206" s="9" t="s">
        <v>326</v>
      </c>
      <c r="G206" s="10" t="s">
        <v>710</v>
      </c>
      <c r="H206" s="9" t="s">
        <v>711</v>
      </c>
      <c r="I206" s="11">
        <v>13.250360000000001</v>
      </c>
      <c r="J206" s="11">
        <v>108.630814</v>
      </c>
      <c r="K206" s="9" t="s">
        <v>329</v>
      </c>
      <c r="L206" s="10"/>
      <c r="M206" s="12" t="s">
        <v>51</v>
      </c>
      <c r="N206" s="13" t="s">
        <v>69</v>
      </c>
      <c r="O206" s="14"/>
      <c r="P206" s="14"/>
      <c r="Q206" s="13" t="s">
        <v>70</v>
      </c>
      <c r="R206" s="15" t="s">
        <v>54</v>
      </c>
      <c r="S206" s="13" t="s">
        <v>55</v>
      </c>
      <c r="T206" s="13" t="s">
        <v>712</v>
      </c>
      <c r="U206" s="16" t="str">
        <f t="shared" si="6"/>
        <v/>
      </c>
      <c r="V206" s="17" t="str">
        <f t="shared" si="7"/>
        <v>OK</v>
      </c>
    </row>
    <row r="207" spans="1:22" x14ac:dyDescent="0.25">
      <c r="A207" s="9">
        <v>203</v>
      </c>
      <c r="B207" s="9" t="s">
        <v>714</v>
      </c>
      <c r="C207" s="9" t="s">
        <v>323</v>
      </c>
      <c r="D207" s="10" t="s">
        <v>369</v>
      </c>
      <c r="E207" s="9" t="s">
        <v>354</v>
      </c>
      <c r="F207" s="9" t="s">
        <v>326</v>
      </c>
      <c r="G207" s="10" t="s">
        <v>710</v>
      </c>
      <c r="H207" s="9" t="s">
        <v>711</v>
      </c>
      <c r="I207" s="11">
        <v>13.235321000000001</v>
      </c>
      <c r="J207" s="11">
        <v>108.64125</v>
      </c>
      <c r="K207" s="9" t="s">
        <v>329</v>
      </c>
      <c r="L207" s="10"/>
      <c r="M207" s="12" t="s">
        <v>51</v>
      </c>
      <c r="N207" s="13" t="s">
        <v>69</v>
      </c>
      <c r="O207" s="14"/>
      <c r="P207" s="14"/>
      <c r="Q207" s="13" t="s">
        <v>70</v>
      </c>
      <c r="R207" s="15" t="s">
        <v>54</v>
      </c>
      <c r="S207" s="13" t="s">
        <v>55</v>
      </c>
      <c r="T207" s="13" t="s">
        <v>712</v>
      </c>
      <c r="U207" s="16" t="str">
        <f t="shared" si="6"/>
        <v/>
      </c>
      <c r="V207" s="17" t="str">
        <f t="shared" si="7"/>
        <v>OK</v>
      </c>
    </row>
    <row r="208" spans="1:22" x14ac:dyDescent="0.25">
      <c r="A208" s="9">
        <v>204</v>
      </c>
      <c r="B208" s="9" t="s">
        <v>715</v>
      </c>
      <c r="C208" s="9" t="s">
        <v>323</v>
      </c>
      <c r="D208" s="10" t="s">
        <v>353</v>
      </c>
      <c r="E208" s="9" t="s">
        <v>354</v>
      </c>
      <c r="F208" s="9" t="s">
        <v>326</v>
      </c>
      <c r="G208" s="10" t="s">
        <v>716</v>
      </c>
      <c r="H208" s="9" t="s">
        <v>717</v>
      </c>
      <c r="I208" s="11">
        <v>13.367956</v>
      </c>
      <c r="J208" s="11">
        <v>108.465987</v>
      </c>
      <c r="K208" s="9" t="s">
        <v>329</v>
      </c>
      <c r="L208" s="10"/>
      <c r="M208" s="12" t="s">
        <v>51</v>
      </c>
      <c r="N208" s="13" t="s">
        <v>62</v>
      </c>
      <c r="O208" s="14">
        <v>13.367620000000001</v>
      </c>
      <c r="P208" s="14">
        <v>108.46622000000001</v>
      </c>
      <c r="Q208" s="13" t="s">
        <v>53</v>
      </c>
      <c r="R208" s="15" t="s">
        <v>54</v>
      </c>
      <c r="S208" s="13" t="s">
        <v>55</v>
      </c>
      <c r="T208" s="13" t="s">
        <v>718</v>
      </c>
      <c r="U208" s="16">
        <f t="shared" si="6"/>
        <v>45</v>
      </c>
      <c r="V208" s="17" t="str">
        <f t="shared" si="7"/>
        <v>OK</v>
      </c>
    </row>
    <row r="209" spans="1:22" x14ac:dyDescent="0.25">
      <c r="A209" s="9">
        <v>205</v>
      </c>
      <c r="B209" s="9" t="s">
        <v>719</v>
      </c>
      <c r="C209" s="9" t="s">
        <v>323</v>
      </c>
      <c r="D209" s="10" t="s">
        <v>546</v>
      </c>
      <c r="E209" s="9" t="s">
        <v>354</v>
      </c>
      <c r="F209" s="9" t="s">
        <v>326</v>
      </c>
      <c r="G209" s="10" t="s">
        <v>720</v>
      </c>
      <c r="H209" s="9" t="s">
        <v>721</v>
      </c>
      <c r="I209" s="11">
        <v>13.799621</v>
      </c>
      <c r="J209" s="11">
        <v>108.003466</v>
      </c>
      <c r="K209" s="9" t="s">
        <v>329</v>
      </c>
      <c r="L209" s="10"/>
      <c r="M209" s="12" t="s">
        <v>51</v>
      </c>
      <c r="N209" s="13" t="s">
        <v>69</v>
      </c>
      <c r="O209" s="14"/>
      <c r="P209" s="14"/>
      <c r="Q209" s="13" t="s">
        <v>70</v>
      </c>
      <c r="R209" s="15" t="s">
        <v>54</v>
      </c>
      <c r="S209" s="13" t="s">
        <v>55</v>
      </c>
      <c r="T209" s="13" t="s">
        <v>722</v>
      </c>
      <c r="U209" s="16" t="str">
        <f t="shared" si="6"/>
        <v/>
      </c>
      <c r="V209" s="17" t="str">
        <f t="shared" si="7"/>
        <v>OK</v>
      </c>
    </row>
    <row r="210" spans="1:22" x14ac:dyDescent="0.25">
      <c r="A210" s="9">
        <v>206</v>
      </c>
      <c r="B210" s="9" t="s">
        <v>723</v>
      </c>
      <c r="C210" s="9" t="s">
        <v>323</v>
      </c>
      <c r="D210" s="10" t="s">
        <v>546</v>
      </c>
      <c r="E210" s="9" t="s">
        <v>354</v>
      </c>
      <c r="F210" s="9" t="s">
        <v>326</v>
      </c>
      <c r="G210" s="10" t="s">
        <v>720</v>
      </c>
      <c r="H210" s="9" t="s">
        <v>721</v>
      </c>
      <c r="I210" s="11">
        <v>13.816293</v>
      </c>
      <c r="J210" s="11">
        <v>108.002644</v>
      </c>
      <c r="K210" s="9" t="s">
        <v>329</v>
      </c>
      <c r="L210" s="10"/>
      <c r="M210" s="12" t="s">
        <v>51</v>
      </c>
      <c r="N210" s="13" t="s">
        <v>69</v>
      </c>
      <c r="O210" s="14"/>
      <c r="P210" s="14"/>
      <c r="Q210" s="13" t="s">
        <v>70</v>
      </c>
      <c r="R210" s="15" t="s">
        <v>54</v>
      </c>
      <c r="S210" s="13" t="s">
        <v>55</v>
      </c>
      <c r="T210" s="13" t="s">
        <v>722</v>
      </c>
      <c r="U210" s="16" t="str">
        <f t="shared" si="6"/>
        <v/>
      </c>
      <c r="V210" s="17" t="str">
        <f t="shared" si="7"/>
        <v>OK</v>
      </c>
    </row>
    <row r="211" spans="1:22" x14ac:dyDescent="0.25">
      <c r="A211" s="9">
        <v>207</v>
      </c>
      <c r="B211" s="9" t="s">
        <v>724</v>
      </c>
      <c r="C211" s="9" t="s">
        <v>323</v>
      </c>
      <c r="D211" s="10" t="s">
        <v>725</v>
      </c>
      <c r="E211" s="9" t="s">
        <v>354</v>
      </c>
      <c r="F211" s="9" t="s">
        <v>326</v>
      </c>
      <c r="G211" s="10" t="s">
        <v>720</v>
      </c>
      <c r="H211" s="9" t="s">
        <v>721</v>
      </c>
      <c r="I211" s="11">
        <v>13.875541</v>
      </c>
      <c r="J211" s="11">
        <v>108.008584</v>
      </c>
      <c r="K211" s="9" t="s">
        <v>329</v>
      </c>
      <c r="L211" s="10"/>
      <c r="M211" s="12" t="s">
        <v>51</v>
      </c>
      <c r="N211" s="13" t="s">
        <v>62</v>
      </c>
      <c r="O211" s="14">
        <v>13.742668</v>
      </c>
      <c r="P211" s="14">
        <v>107.958246</v>
      </c>
      <c r="Q211" s="13" t="s">
        <v>53</v>
      </c>
      <c r="R211" s="15" t="s">
        <v>54</v>
      </c>
      <c r="S211" s="13" t="s">
        <v>55</v>
      </c>
      <c r="T211" s="13" t="s">
        <v>726</v>
      </c>
      <c r="U211" s="16">
        <f t="shared" si="6"/>
        <v>15663</v>
      </c>
      <c r="V211" s="17" t="str">
        <f t="shared" si="7"/>
        <v>OK</v>
      </c>
    </row>
    <row r="212" spans="1:22" x14ac:dyDescent="0.25">
      <c r="A212" s="9">
        <v>208</v>
      </c>
      <c r="B212" s="9" t="s">
        <v>727</v>
      </c>
      <c r="C212" s="9" t="s">
        <v>323</v>
      </c>
      <c r="D212" s="10" t="s">
        <v>725</v>
      </c>
      <c r="E212" s="9" t="s">
        <v>354</v>
      </c>
      <c r="F212" s="9" t="s">
        <v>326</v>
      </c>
      <c r="G212" s="10" t="s">
        <v>720</v>
      </c>
      <c r="H212" s="9" t="s">
        <v>721</v>
      </c>
      <c r="I212" s="11">
        <v>13.844211</v>
      </c>
      <c r="J212" s="11">
        <v>107.997963</v>
      </c>
      <c r="K212" s="9" t="s">
        <v>329</v>
      </c>
      <c r="L212" s="10"/>
      <c r="M212" s="12" t="s">
        <v>51</v>
      </c>
      <c r="N212" s="13" t="s">
        <v>62</v>
      </c>
      <c r="O212" s="14">
        <v>13.742668</v>
      </c>
      <c r="P212" s="14">
        <v>107.958246</v>
      </c>
      <c r="Q212" s="13" t="s">
        <v>53</v>
      </c>
      <c r="R212" s="15" t="s">
        <v>54</v>
      </c>
      <c r="S212" s="13" t="s">
        <v>55</v>
      </c>
      <c r="T212" s="13" t="s">
        <v>728</v>
      </c>
      <c r="U212" s="16">
        <f t="shared" si="6"/>
        <v>12017</v>
      </c>
      <c r="V212" s="17" t="str">
        <f t="shared" si="7"/>
        <v>OK</v>
      </c>
    </row>
    <row r="213" spans="1:22" x14ac:dyDescent="0.25">
      <c r="A213" s="9">
        <v>209</v>
      </c>
      <c r="B213" s="9" t="s">
        <v>729</v>
      </c>
      <c r="C213" s="9" t="s">
        <v>323</v>
      </c>
      <c r="D213" s="10" t="s">
        <v>369</v>
      </c>
      <c r="E213" s="9" t="s">
        <v>354</v>
      </c>
      <c r="F213" s="9" t="s">
        <v>326</v>
      </c>
      <c r="G213" s="10" t="s">
        <v>720</v>
      </c>
      <c r="H213" s="9" t="s">
        <v>721</v>
      </c>
      <c r="I213" s="11">
        <v>13.818303</v>
      </c>
      <c r="J213" s="11">
        <v>108.002037</v>
      </c>
      <c r="K213" s="9" t="s">
        <v>329</v>
      </c>
      <c r="L213" s="10"/>
      <c r="M213" s="12" t="s">
        <v>51</v>
      </c>
      <c r="N213" s="13" t="s">
        <v>69</v>
      </c>
      <c r="O213" s="14"/>
      <c r="P213" s="14"/>
      <c r="Q213" s="13" t="s">
        <v>70</v>
      </c>
      <c r="R213" s="15" t="s">
        <v>54</v>
      </c>
      <c r="S213" s="13" t="s">
        <v>55</v>
      </c>
      <c r="T213" s="13" t="s">
        <v>730</v>
      </c>
      <c r="U213" s="16" t="str">
        <f t="shared" si="6"/>
        <v/>
      </c>
      <c r="V213" s="17" t="str">
        <f t="shared" si="7"/>
        <v>OK</v>
      </c>
    </row>
    <row r="214" spans="1:22" x14ac:dyDescent="0.25">
      <c r="A214" s="9">
        <v>210</v>
      </c>
      <c r="B214" s="9" t="s">
        <v>731</v>
      </c>
      <c r="C214" s="9" t="s">
        <v>323</v>
      </c>
      <c r="D214" s="10" t="s">
        <v>353</v>
      </c>
      <c r="E214" s="9" t="s">
        <v>354</v>
      </c>
      <c r="F214" s="9" t="s">
        <v>326</v>
      </c>
      <c r="G214" s="10" t="s">
        <v>720</v>
      </c>
      <c r="H214" s="9" t="s">
        <v>721</v>
      </c>
      <c r="I214" s="11">
        <v>13.837448999999999</v>
      </c>
      <c r="J214" s="11">
        <v>107.998137</v>
      </c>
      <c r="K214" s="9" t="s">
        <v>329</v>
      </c>
      <c r="L214" s="10"/>
      <c r="M214" s="12" t="s">
        <v>51</v>
      </c>
      <c r="N214" s="13" t="s">
        <v>62</v>
      </c>
      <c r="O214" s="14">
        <v>13.690955000000001</v>
      </c>
      <c r="P214" s="14">
        <v>108.026861</v>
      </c>
      <c r="Q214" s="13" t="s">
        <v>53</v>
      </c>
      <c r="R214" s="15" t="s">
        <v>54</v>
      </c>
      <c r="S214" s="13" t="s">
        <v>55</v>
      </c>
      <c r="T214" s="13" t="s">
        <v>732</v>
      </c>
      <c r="U214" s="16">
        <f t="shared" si="6"/>
        <v>16488</v>
      </c>
      <c r="V214" s="17" t="str">
        <f t="shared" si="7"/>
        <v>OK</v>
      </c>
    </row>
    <row r="215" spans="1:22" x14ac:dyDescent="0.25">
      <c r="A215" s="9">
        <v>211</v>
      </c>
      <c r="B215" s="9" t="s">
        <v>733</v>
      </c>
      <c r="C215" s="9" t="s">
        <v>323</v>
      </c>
      <c r="D215" s="10" t="s">
        <v>353</v>
      </c>
      <c r="E215" s="9" t="s">
        <v>354</v>
      </c>
      <c r="F215" s="9" t="s">
        <v>326</v>
      </c>
      <c r="G215" s="10" t="s">
        <v>720</v>
      </c>
      <c r="H215" s="9" t="s">
        <v>721</v>
      </c>
      <c r="I215" s="11">
        <v>13.796079000000001</v>
      </c>
      <c r="J215" s="11">
        <v>108.003366</v>
      </c>
      <c r="K215" s="9" t="s">
        <v>329</v>
      </c>
      <c r="L215" s="10"/>
      <c r="M215" s="12" t="s">
        <v>51</v>
      </c>
      <c r="N215" s="13" t="s">
        <v>62</v>
      </c>
      <c r="O215" s="14">
        <v>13.690955000000001</v>
      </c>
      <c r="P215" s="14">
        <v>108.026861</v>
      </c>
      <c r="Q215" s="13" t="s">
        <v>53</v>
      </c>
      <c r="R215" s="15" t="s">
        <v>54</v>
      </c>
      <c r="S215" s="13" t="s">
        <v>55</v>
      </c>
      <c r="T215" s="13" t="s">
        <v>734</v>
      </c>
      <c r="U215" s="16">
        <f t="shared" si="6"/>
        <v>11895</v>
      </c>
      <c r="V215" s="17" t="str">
        <f t="shared" si="7"/>
        <v>OK</v>
      </c>
    </row>
    <row r="216" spans="1:22" x14ac:dyDescent="0.25">
      <c r="A216" s="9">
        <v>212</v>
      </c>
      <c r="B216" s="9" t="s">
        <v>735</v>
      </c>
      <c r="C216" s="9" t="s">
        <v>323</v>
      </c>
      <c r="D216" s="10" t="s">
        <v>736</v>
      </c>
      <c r="E216" s="9" t="s">
        <v>354</v>
      </c>
      <c r="F216" s="9" t="s">
        <v>326</v>
      </c>
      <c r="G216" s="10" t="s">
        <v>737</v>
      </c>
      <c r="H216" s="9" t="s">
        <v>738</v>
      </c>
      <c r="I216" s="11">
        <v>13.902359000000001</v>
      </c>
      <c r="J216" s="11">
        <v>109.255319</v>
      </c>
      <c r="K216" s="9" t="s">
        <v>329</v>
      </c>
      <c r="L216" s="10"/>
      <c r="M216" s="12" t="s">
        <v>51</v>
      </c>
      <c r="N216" s="13" t="s">
        <v>69</v>
      </c>
      <c r="O216" s="14"/>
      <c r="P216" s="14"/>
      <c r="Q216" s="13" t="s">
        <v>70</v>
      </c>
      <c r="R216" s="15" t="s">
        <v>54</v>
      </c>
      <c r="S216" s="13" t="s">
        <v>55</v>
      </c>
      <c r="T216" s="13" t="s">
        <v>739</v>
      </c>
      <c r="U216" s="16" t="str">
        <f t="shared" si="6"/>
        <v/>
      </c>
      <c r="V216" s="17" t="str">
        <f t="shared" si="7"/>
        <v>OK</v>
      </c>
    </row>
    <row r="217" spans="1:22" x14ac:dyDescent="0.25">
      <c r="A217" s="9">
        <v>213</v>
      </c>
      <c r="B217" s="9" t="s">
        <v>740</v>
      </c>
      <c r="C217" s="9" t="s">
        <v>323</v>
      </c>
      <c r="D217" s="10" t="s">
        <v>741</v>
      </c>
      <c r="E217" s="9" t="s">
        <v>354</v>
      </c>
      <c r="F217" s="9" t="s">
        <v>326</v>
      </c>
      <c r="G217" s="10" t="s">
        <v>341</v>
      </c>
      <c r="H217" s="9" t="s">
        <v>342</v>
      </c>
      <c r="I217" s="11">
        <v>14.015829999999999</v>
      </c>
      <c r="J217" s="11">
        <v>109.05469100000001</v>
      </c>
      <c r="K217" s="9" t="s">
        <v>329</v>
      </c>
      <c r="L217" s="10"/>
      <c r="M217" s="12" t="s">
        <v>51</v>
      </c>
      <c r="N217" s="13" t="s">
        <v>69</v>
      </c>
      <c r="O217" s="14"/>
      <c r="P217" s="14"/>
      <c r="Q217" s="13" t="s">
        <v>70</v>
      </c>
      <c r="R217" s="15" t="s">
        <v>54</v>
      </c>
      <c r="S217" s="13" t="s">
        <v>55</v>
      </c>
      <c r="T217" s="13" t="s">
        <v>343</v>
      </c>
      <c r="U217" s="16" t="str">
        <f t="shared" si="6"/>
        <v/>
      </c>
      <c r="V217" s="17" t="str">
        <f t="shared" si="7"/>
        <v>OK</v>
      </c>
    </row>
    <row r="218" spans="1:22" ht="25.5" x14ac:dyDescent="0.25">
      <c r="A218" s="9">
        <v>214</v>
      </c>
      <c r="B218" s="9" t="s">
        <v>742</v>
      </c>
      <c r="C218" s="9" t="s">
        <v>323</v>
      </c>
      <c r="D218" s="10" t="s">
        <v>743</v>
      </c>
      <c r="E218" s="9" t="s">
        <v>354</v>
      </c>
      <c r="F218" s="9" t="s">
        <v>326</v>
      </c>
      <c r="G218" s="10" t="s">
        <v>341</v>
      </c>
      <c r="H218" s="9" t="s">
        <v>342</v>
      </c>
      <c r="I218" s="11">
        <v>14.013393000000001</v>
      </c>
      <c r="J218" s="11">
        <v>109.05409899999999</v>
      </c>
      <c r="K218" s="9" t="s">
        <v>329</v>
      </c>
      <c r="L218" s="10"/>
      <c r="M218" s="12" t="s">
        <v>51</v>
      </c>
      <c r="N218" s="13" t="s">
        <v>69</v>
      </c>
      <c r="O218" s="14"/>
      <c r="P218" s="14"/>
      <c r="Q218" s="13" t="s">
        <v>70</v>
      </c>
      <c r="R218" s="15" t="s">
        <v>54</v>
      </c>
      <c r="S218" s="13" t="s">
        <v>55</v>
      </c>
      <c r="T218" s="13" t="s">
        <v>343</v>
      </c>
      <c r="U218" s="16" t="str">
        <f t="shared" si="6"/>
        <v/>
      </c>
      <c r="V218" s="17" t="str">
        <f t="shared" si="7"/>
        <v>OK</v>
      </c>
    </row>
    <row r="219" spans="1:22" ht="25.5" x14ac:dyDescent="0.25">
      <c r="A219" s="9">
        <v>215</v>
      </c>
      <c r="B219" s="9" t="s">
        <v>744</v>
      </c>
      <c r="C219" s="9" t="s">
        <v>323</v>
      </c>
      <c r="D219" s="10" t="s">
        <v>745</v>
      </c>
      <c r="E219" s="9" t="s">
        <v>354</v>
      </c>
      <c r="F219" s="9" t="s">
        <v>326</v>
      </c>
      <c r="G219" s="10" t="s">
        <v>345</v>
      </c>
      <c r="H219" s="9" t="s">
        <v>346</v>
      </c>
      <c r="I219" s="11">
        <v>14.202374000000001</v>
      </c>
      <c r="J219" s="11">
        <v>109.061216</v>
      </c>
      <c r="K219" s="9" t="s">
        <v>329</v>
      </c>
      <c r="L219" s="10"/>
      <c r="M219" s="12" t="s">
        <v>51</v>
      </c>
      <c r="N219" s="13" t="s">
        <v>69</v>
      </c>
      <c r="O219" s="14"/>
      <c r="P219" s="14"/>
      <c r="Q219" s="13" t="s">
        <v>70</v>
      </c>
      <c r="R219" s="15" t="s">
        <v>54</v>
      </c>
      <c r="S219" s="13" t="s">
        <v>55</v>
      </c>
      <c r="T219" s="13" t="s">
        <v>347</v>
      </c>
      <c r="U219" s="16" t="str">
        <f t="shared" si="6"/>
        <v/>
      </c>
      <c r="V219" s="17" t="str">
        <f t="shared" si="7"/>
        <v>OK</v>
      </c>
    </row>
    <row r="220" spans="1:22" x14ac:dyDescent="0.25">
      <c r="A220" s="9">
        <v>216</v>
      </c>
      <c r="B220" s="9" t="s">
        <v>746</v>
      </c>
      <c r="C220" s="9" t="s">
        <v>323</v>
      </c>
      <c r="D220" s="10" t="s">
        <v>747</v>
      </c>
      <c r="E220" s="9" t="s">
        <v>354</v>
      </c>
      <c r="F220" s="9" t="s">
        <v>326</v>
      </c>
      <c r="G220" s="10" t="s">
        <v>345</v>
      </c>
      <c r="H220" s="9" t="s">
        <v>346</v>
      </c>
      <c r="I220" s="11">
        <v>14.190846000000001</v>
      </c>
      <c r="J220" s="11">
        <v>109.042795</v>
      </c>
      <c r="K220" s="9" t="s">
        <v>329</v>
      </c>
      <c r="L220" s="10"/>
      <c r="M220" s="12" t="s">
        <v>51</v>
      </c>
      <c r="N220" s="13" t="s">
        <v>69</v>
      </c>
      <c r="O220" s="14"/>
      <c r="P220" s="14"/>
      <c r="Q220" s="13" t="s">
        <v>70</v>
      </c>
      <c r="R220" s="15" t="s">
        <v>54</v>
      </c>
      <c r="S220" s="13" t="s">
        <v>55</v>
      </c>
      <c r="T220" s="13" t="s">
        <v>347</v>
      </c>
      <c r="U220" s="16" t="str">
        <f t="shared" si="6"/>
        <v/>
      </c>
      <c r="V220" s="17" t="str">
        <f t="shared" si="7"/>
        <v>OK</v>
      </c>
    </row>
    <row r="221" spans="1:22" x14ac:dyDescent="0.25">
      <c r="A221" s="9">
        <v>217</v>
      </c>
      <c r="B221" s="9" t="s">
        <v>748</v>
      </c>
      <c r="C221" s="9" t="s">
        <v>323</v>
      </c>
      <c r="D221" s="10" t="s">
        <v>749</v>
      </c>
      <c r="E221" s="9" t="s">
        <v>354</v>
      </c>
      <c r="F221" s="9" t="s">
        <v>326</v>
      </c>
      <c r="G221" s="10" t="s">
        <v>750</v>
      </c>
      <c r="H221" s="9" t="s">
        <v>751</v>
      </c>
      <c r="I221" s="11">
        <v>14.374409</v>
      </c>
      <c r="J221" s="11">
        <v>109.11424700000001</v>
      </c>
      <c r="K221" s="9" t="s">
        <v>329</v>
      </c>
      <c r="L221" s="10"/>
      <c r="M221" s="12" t="s">
        <v>51</v>
      </c>
      <c r="N221" s="13" t="s">
        <v>69</v>
      </c>
      <c r="O221" s="14"/>
      <c r="P221" s="14"/>
      <c r="Q221" s="13" t="s">
        <v>70</v>
      </c>
      <c r="R221" s="15" t="s">
        <v>54</v>
      </c>
      <c r="S221" s="13" t="s">
        <v>55</v>
      </c>
      <c r="T221" s="13" t="s">
        <v>347</v>
      </c>
      <c r="U221" s="16" t="str">
        <f t="shared" si="6"/>
        <v/>
      </c>
      <c r="V221" s="17" t="str">
        <f t="shared" si="7"/>
        <v>OK</v>
      </c>
    </row>
    <row r="222" spans="1:22" x14ac:dyDescent="0.25">
      <c r="A222" s="9">
        <v>218</v>
      </c>
      <c r="B222" s="9" t="s">
        <v>752</v>
      </c>
      <c r="C222" s="9" t="s">
        <v>323</v>
      </c>
      <c r="D222" s="10" t="s">
        <v>369</v>
      </c>
      <c r="E222" s="9" t="s">
        <v>354</v>
      </c>
      <c r="F222" s="9" t="s">
        <v>326</v>
      </c>
      <c r="G222" s="10" t="s">
        <v>750</v>
      </c>
      <c r="H222" s="9" t="s">
        <v>751</v>
      </c>
      <c r="I222" s="11">
        <v>14.373808</v>
      </c>
      <c r="J222" s="11">
        <v>109.111165</v>
      </c>
      <c r="K222" s="9" t="s">
        <v>329</v>
      </c>
      <c r="L222" s="10"/>
      <c r="M222" s="12" t="s">
        <v>51</v>
      </c>
      <c r="N222" s="13" t="s">
        <v>69</v>
      </c>
      <c r="O222" s="14"/>
      <c r="P222" s="14"/>
      <c r="Q222" s="13" t="s">
        <v>70</v>
      </c>
      <c r="R222" s="15" t="s">
        <v>54</v>
      </c>
      <c r="S222" s="13" t="s">
        <v>55</v>
      </c>
      <c r="T222" s="13" t="s">
        <v>347</v>
      </c>
      <c r="U222" s="16" t="str">
        <f t="shared" si="6"/>
        <v/>
      </c>
      <c r="V222" s="17" t="str">
        <f t="shared" si="7"/>
        <v>OK</v>
      </c>
    </row>
    <row r="223" spans="1:22" x14ac:dyDescent="0.25">
      <c r="A223" s="9">
        <v>219</v>
      </c>
      <c r="B223" s="9" t="s">
        <v>753</v>
      </c>
      <c r="C223" s="9" t="s">
        <v>323</v>
      </c>
      <c r="D223" s="10" t="s">
        <v>754</v>
      </c>
      <c r="E223" s="9" t="s">
        <v>354</v>
      </c>
      <c r="F223" s="9" t="s">
        <v>326</v>
      </c>
      <c r="G223" s="10" t="s">
        <v>750</v>
      </c>
      <c r="H223" s="9" t="s">
        <v>751</v>
      </c>
      <c r="I223" s="11">
        <v>14.299369</v>
      </c>
      <c r="J223" s="11">
        <v>109.07719899999999</v>
      </c>
      <c r="K223" s="9" t="s">
        <v>329</v>
      </c>
      <c r="L223" s="10"/>
      <c r="M223" s="12" t="s">
        <v>51</v>
      </c>
      <c r="N223" s="13" t="s">
        <v>69</v>
      </c>
      <c r="O223" s="14"/>
      <c r="P223" s="14"/>
      <c r="Q223" s="13" t="s">
        <v>70</v>
      </c>
      <c r="R223" s="15" t="s">
        <v>54</v>
      </c>
      <c r="S223" s="13" t="s">
        <v>55</v>
      </c>
      <c r="T223" s="13" t="s">
        <v>347</v>
      </c>
      <c r="U223" s="16" t="str">
        <f t="shared" si="6"/>
        <v/>
      </c>
      <c r="V223" s="17" t="str">
        <f t="shared" si="7"/>
        <v>OK</v>
      </c>
    </row>
    <row r="224" spans="1:22" x14ac:dyDescent="0.25">
      <c r="A224" s="9">
        <v>220</v>
      </c>
      <c r="B224" s="9" t="s">
        <v>755</v>
      </c>
      <c r="C224" s="9" t="s">
        <v>323</v>
      </c>
      <c r="D224" s="10" t="s">
        <v>756</v>
      </c>
      <c r="E224" s="9" t="s">
        <v>354</v>
      </c>
      <c r="F224" s="9" t="s">
        <v>326</v>
      </c>
      <c r="G224" s="10" t="s">
        <v>757</v>
      </c>
      <c r="H224" s="9" t="s">
        <v>758</v>
      </c>
      <c r="I224" s="11">
        <v>14.318894999999999</v>
      </c>
      <c r="J224" s="11">
        <v>109.151658</v>
      </c>
      <c r="K224" s="9" t="s">
        <v>329</v>
      </c>
      <c r="L224" s="10"/>
      <c r="M224" s="12" t="s">
        <v>51</v>
      </c>
      <c r="N224" s="13" t="s">
        <v>69</v>
      </c>
      <c r="O224" s="14"/>
      <c r="P224" s="14"/>
      <c r="Q224" s="13" t="s">
        <v>70</v>
      </c>
      <c r="R224" s="15" t="s">
        <v>54</v>
      </c>
      <c r="S224" s="13" t="s">
        <v>55</v>
      </c>
      <c r="T224" s="13" t="s">
        <v>347</v>
      </c>
      <c r="U224" s="16" t="str">
        <f t="shared" si="6"/>
        <v/>
      </c>
      <c r="V224" s="17" t="str">
        <f t="shared" si="7"/>
        <v>OK</v>
      </c>
    </row>
    <row r="225" spans="1:22" x14ac:dyDescent="0.25">
      <c r="A225" s="9">
        <v>221</v>
      </c>
      <c r="B225" s="9" t="s">
        <v>759</v>
      </c>
      <c r="C225" s="9" t="s">
        <v>323</v>
      </c>
      <c r="D225" s="10" t="s">
        <v>756</v>
      </c>
      <c r="E225" s="9" t="s">
        <v>354</v>
      </c>
      <c r="F225" s="9" t="s">
        <v>326</v>
      </c>
      <c r="G225" s="10" t="s">
        <v>757</v>
      </c>
      <c r="H225" s="9" t="s">
        <v>758</v>
      </c>
      <c r="I225" s="11">
        <v>14.213815</v>
      </c>
      <c r="J225" s="11">
        <v>109.16171900000001</v>
      </c>
      <c r="K225" s="9" t="s">
        <v>329</v>
      </c>
      <c r="L225" s="10"/>
      <c r="M225" s="12" t="s">
        <v>51</v>
      </c>
      <c r="N225" s="13" t="s">
        <v>69</v>
      </c>
      <c r="O225" s="14"/>
      <c r="P225" s="14"/>
      <c r="Q225" s="13" t="s">
        <v>70</v>
      </c>
      <c r="R225" s="15" t="s">
        <v>54</v>
      </c>
      <c r="S225" s="13" t="s">
        <v>55</v>
      </c>
      <c r="T225" s="13" t="s">
        <v>347</v>
      </c>
      <c r="U225" s="16" t="str">
        <f t="shared" si="6"/>
        <v/>
      </c>
      <c r="V225" s="17" t="str">
        <f t="shared" si="7"/>
        <v>OK</v>
      </c>
    </row>
    <row r="226" spans="1:22" x14ac:dyDescent="0.25">
      <c r="A226" s="9">
        <v>222</v>
      </c>
      <c r="B226" s="9" t="s">
        <v>760</v>
      </c>
      <c r="C226" s="9" t="s">
        <v>323</v>
      </c>
      <c r="D226" s="10" t="s">
        <v>756</v>
      </c>
      <c r="E226" s="9" t="s">
        <v>354</v>
      </c>
      <c r="F226" s="9" t="s">
        <v>326</v>
      </c>
      <c r="G226" s="10" t="s">
        <v>757</v>
      </c>
      <c r="H226" s="9" t="s">
        <v>758</v>
      </c>
      <c r="I226" s="11">
        <v>14.232638</v>
      </c>
      <c r="J226" s="11">
        <v>109.189398</v>
      </c>
      <c r="K226" s="9" t="s">
        <v>329</v>
      </c>
      <c r="L226" s="10"/>
      <c r="M226" s="12" t="s">
        <v>51</v>
      </c>
      <c r="N226" s="13" t="s">
        <v>69</v>
      </c>
      <c r="O226" s="14"/>
      <c r="P226" s="14"/>
      <c r="Q226" s="13" t="s">
        <v>70</v>
      </c>
      <c r="R226" s="15" t="s">
        <v>54</v>
      </c>
      <c r="S226" s="13" t="s">
        <v>55</v>
      </c>
      <c r="T226" s="13" t="s">
        <v>347</v>
      </c>
      <c r="U226" s="16" t="str">
        <f t="shared" si="6"/>
        <v/>
      </c>
      <c r="V226" s="17" t="str">
        <f t="shared" si="7"/>
        <v>OK</v>
      </c>
    </row>
    <row r="227" spans="1:22" x14ac:dyDescent="0.25">
      <c r="A227" s="9">
        <v>223</v>
      </c>
      <c r="B227" s="9" t="s">
        <v>761</v>
      </c>
      <c r="C227" s="9" t="s">
        <v>323</v>
      </c>
      <c r="D227" s="10" t="s">
        <v>756</v>
      </c>
      <c r="E227" s="9" t="s">
        <v>354</v>
      </c>
      <c r="F227" s="9" t="s">
        <v>326</v>
      </c>
      <c r="G227" s="10" t="s">
        <v>757</v>
      </c>
      <c r="H227" s="9" t="s">
        <v>758</v>
      </c>
      <c r="I227" s="11">
        <v>14.271083000000001</v>
      </c>
      <c r="J227" s="11">
        <v>109.175833</v>
      </c>
      <c r="K227" s="9" t="s">
        <v>329</v>
      </c>
      <c r="L227" s="10"/>
      <c r="M227" s="12" t="s">
        <v>51</v>
      </c>
      <c r="N227" s="13" t="s">
        <v>69</v>
      </c>
      <c r="O227" s="14"/>
      <c r="P227" s="14"/>
      <c r="Q227" s="13" t="s">
        <v>70</v>
      </c>
      <c r="R227" s="15" t="s">
        <v>54</v>
      </c>
      <c r="S227" s="13" t="s">
        <v>55</v>
      </c>
      <c r="T227" s="13" t="s">
        <v>347</v>
      </c>
      <c r="U227" s="16" t="str">
        <f t="shared" si="6"/>
        <v/>
      </c>
      <c r="V227" s="17" t="str">
        <f t="shared" si="7"/>
        <v>OK</v>
      </c>
    </row>
    <row r="228" spans="1:22" x14ac:dyDescent="0.25">
      <c r="A228" s="9">
        <v>224</v>
      </c>
      <c r="B228" s="9" t="s">
        <v>762</v>
      </c>
      <c r="C228" s="9" t="s">
        <v>323</v>
      </c>
      <c r="D228" s="10" t="s">
        <v>756</v>
      </c>
      <c r="E228" s="9" t="s">
        <v>354</v>
      </c>
      <c r="F228" s="9" t="s">
        <v>326</v>
      </c>
      <c r="G228" s="10" t="s">
        <v>757</v>
      </c>
      <c r="H228" s="9" t="s">
        <v>758</v>
      </c>
      <c r="I228" s="11">
        <v>14.274659</v>
      </c>
      <c r="J228" s="11">
        <v>109.173987</v>
      </c>
      <c r="K228" s="9" t="s">
        <v>329</v>
      </c>
      <c r="L228" s="10"/>
      <c r="M228" s="12" t="s">
        <v>51</v>
      </c>
      <c r="N228" s="13" t="s">
        <v>69</v>
      </c>
      <c r="O228" s="14"/>
      <c r="P228" s="14"/>
      <c r="Q228" s="13" t="s">
        <v>70</v>
      </c>
      <c r="R228" s="15" t="s">
        <v>54</v>
      </c>
      <c r="S228" s="13" t="s">
        <v>55</v>
      </c>
      <c r="T228" s="13" t="s">
        <v>347</v>
      </c>
      <c r="U228" s="16" t="str">
        <f t="shared" si="6"/>
        <v/>
      </c>
      <c r="V228" s="17" t="str">
        <f t="shared" si="7"/>
        <v>OK</v>
      </c>
    </row>
    <row r="229" spans="1:22" x14ac:dyDescent="0.25">
      <c r="A229" s="9">
        <v>225</v>
      </c>
      <c r="B229" s="9" t="s">
        <v>763</v>
      </c>
      <c r="C229" s="9" t="s">
        <v>323</v>
      </c>
      <c r="D229" s="10" t="s">
        <v>367</v>
      </c>
      <c r="E229" s="9" t="s">
        <v>354</v>
      </c>
      <c r="F229" s="9" t="s">
        <v>326</v>
      </c>
      <c r="G229" s="10" t="s">
        <v>757</v>
      </c>
      <c r="H229" s="9" t="s">
        <v>758</v>
      </c>
      <c r="I229" s="11">
        <v>14.233943999999999</v>
      </c>
      <c r="J229" s="11">
        <v>109.19032900000001</v>
      </c>
      <c r="K229" s="9" t="s">
        <v>329</v>
      </c>
      <c r="L229" s="10"/>
      <c r="M229" s="12" t="s">
        <v>51</v>
      </c>
      <c r="N229" s="13" t="s">
        <v>69</v>
      </c>
      <c r="O229" s="14"/>
      <c r="P229" s="14"/>
      <c r="Q229" s="13" t="s">
        <v>70</v>
      </c>
      <c r="R229" s="15" t="s">
        <v>54</v>
      </c>
      <c r="S229" s="13" t="s">
        <v>55</v>
      </c>
      <c r="T229" s="13" t="s">
        <v>347</v>
      </c>
      <c r="U229" s="16" t="str">
        <f t="shared" si="6"/>
        <v/>
      </c>
      <c r="V229" s="17" t="str">
        <f t="shared" si="7"/>
        <v>OK</v>
      </c>
    </row>
    <row r="230" spans="1:22" x14ac:dyDescent="0.25">
      <c r="A230" s="9">
        <v>226</v>
      </c>
      <c r="B230" s="9" t="s">
        <v>764</v>
      </c>
      <c r="C230" s="9" t="s">
        <v>323</v>
      </c>
      <c r="D230" s="10" t="s">
        <v>367</v>
      </c>
      <c r="E230" s="9" t="s">
        <v>354</v>
      </c>
      <c r="F230" s="9" t="s">
        <v>326</v>
      </c>
      <c r="G230" s="10" t="s">
        <v>757</v>
      </c>
      <c r="H230" s="9" t="s">
        <v>758</v>
      </c>
      <c r="I230" s="11">
        <v>14.279572999999999</v>
      </c>
      <c r="J230" s="11">
        <v>109.174842</v>
      </c>
      <c r="K230" s="9" t="s">
        <v>329</v>
      </c>
      <c r="L230" s="10"/>
      <c r="M230" s="12" t="s">
        <v>51</v>
      </c>
      <c r="N230" s="13" t="s">
        <v>69</v>
      </c>
      <c r="O230" s="14"/>
      <c r="P230" s="14"/>
      <c r="Q230" s="13" t="s">
        <v>70</v>
      </c>
      <c r="R230" s="15" t="s">
        <v>54</v>
      </c>
      <c r="S230" s="13" t="s">
        <v>55</v>
      </c>
      <c r="T230" s="13" t="s">
        <v>347</v>
      </c>
      <c r="U230" s="16" t="str">
        <f t="shared" si="6"/>
        <v/>
      </c>
      <c r="V230" s="17" t="str">
        <f t="shared" si="7"/>
        <v>OK</v>
      </c>
    </row>
    <row r="231" spans="1:22" x14ac:dyDescent="0.25">
      <c r="A231" s="9">
        <v>227</v>
      </c>
      <c r="B231" s="9" t="s">
        <v>765</v>
      </c>
      <c r="C231" s="9" t="s">
        <v>323</v>
      </c>
      <c r="D231" s="10" t="s">
        <v>353</v>
      </c>
      <c r="E231" s="9" t="s">
        <v>354</v>
      </c>
      <c r="F231" s="9" t="s">
        <v>326</v>
      </c>
      <c r="G231" s="10" t="s">
        <v>757</v>
      </c>
      <c r="H231" s="9" t="s">
        <v>758</v>
      </c>
      <c r="I231" s="11">
        <v>14.22354</v>
      </c>
      <c r="J231" s="11">
        <v>109.16193199999999</v>
      </c>
      <c r="K231" s="9" t="s">
        <v>329</v>
      </c>
      <c r="L231" s="10"/>
      <c r="M231" s="12" t="s">
        <v>51</v>
      </c>
      <c r="N231" s="13" t="s">
        <v>69</v>
      </c>
      <c r="O231" s="14"/>
      <c r="P231" s="14"/>
      <c r="Q231" s="13" t="s">
        <v>70</v>
      </c>
      <c r="R231" s="15" t="s">
        <v>54</v>
      </c>
      <c r="S231" s="13" t="s">
        <v>55</v>
      </c>
      <c r="T231" s="13" t="s">
        <v>347</v>
      </c>
      <c r="U231" s="16" t="str">
        <f t="shared" si="6"/>
        <v/>
      </c>
      <c r="V231" s="17" t="str">
        <f t="shared" si="7"/>
        <v>OK</v>
      </c>
    </row>
    <row r="232" spans="1:22" x14ac:dyDescent="0.25">
      <c r="A232" s="9">
        <v>228</v>
      </c>
      <c r="B232" s="9" t="s">
        <v>766</v>
      </c>
      <c r="C232" s="9" t="s">
        <v>323</v>
      </c>
      <c r="D232" s="10" t="s">
        <v>369</v>
      </c>
      <c r="E232" s="9" t="s">
        <v>354</v>
      </c>
      <c r="F232" s="9" t="s">
        <v>326</v>
      </c>
      <c r="G232" s="10" t="s">
        <v>767</v>
      </c>
      <c r="H232" s="9" t="s">
        <v>768</v>
      </c>
      <c r="I232" s="11">
        <v>13.485476</v>
      </c>
      <c r="J232" s="11">
        <v>108.373383</v>
      </c>
      <c r="K232" s="9" t="s">
        <v>329</v>
      </c>
      <c r="L232" s="10"/>
      <c r="M232" s="12" t="s">
        <v>51</v>
      </c>
      <c r="N232" s="13" t="s">
        <v>62</v>
      </c>
      <c r="O232" s="14">
        <v>13.559816</v>
      </c>
      <c r="P232" s="14">
        <v>108.304478</v>
      </c>
      <c r="Q232" s="13" t="s">
        <v>53</v>
      </c>
      <c r="R232" s="15" t="s">
        <v>54</v>
      </c>
      <c r="S232" s="13" t="s">
        <v>55</v>
      </c>
      <c r="T232" s="13" t="s">
        <v>769</v>
      </c>
      <c r="U232" s="16">
        <f t="shared" si="6"/>
        <v>11098</v>
      </c>
      <c r="V232" s="17" t="str">
        <f t="shared" si="7"/>
        <v>OK</v>
      </c>
    </row>
    <row r="233" spans="1:22" x14ac:dyDescent="0.25">
      <c r="A233" s="9">
        <v>229</v>
      </c>
      <c r="B233" s="9" t="s">
        <v>770</v>
      </c>
      <c r="C233" s="9" t="s">
        <v>323</v>
      </c>
      <c r="D233" s="10" t="s">
        <v>353</v>
      </c>
      <c r="E233" s="9" t="s">
        <v>354</v>
      </c>
      <c r="F233" s="9" t="s">
        <v>326</v>
      </c>
      <c r="G233" s="10" t="s">
        <v>767</v>
      </c>
      <c r="H233" s="9" t="s">
        <v>768</v>
      </c>
      <c r="I233" s="11">
        <v>13.528797000000001</v>
      </c>
      <c r="J233" s="11">
        <v>108.31764699999999</v>
      </c>
      <c r="K233" s="9" t="s">
        <v>329</v>
      </c>
      <c r="L233" s="10"/>
      <c r="M233" s="12" t="s">
        <v>51</v>
      </c>
      <c r="N233" s="13" t="s">
        <v>62</v>
      </c>
      <c r="O233" s="14">
        <v>13.520930999999999</v>
      </c>
      <c r="P233" s="14">
        <v>108.336162</v>
      </c>
      <c r="Q233" s="13" t="s">
        <v>53</v>
      </c>
      <c r="R233" s="15" t="s">
        <v>54</v>
      </c>
      <c r="S233" s="13" t="s">
        <v>55</v>
      </c>
      <c r="T233" s="13" t="s">
        <v>771</v>
      </c>
      <c r="U233" s="16">
        <f t="shared" si="6"/>
        <v>2184</v>
      </c>
      <c r="V233" s="17" t="str">
        <f t="shared" si="7"/>
        <v>OK</v>
      </c>
    </row>
    <row r="234" spans="1:22" x14ac:dyDescent="0.25">
      <c r="A234" s="9">
        <v>230</v>
      </c>
      <c r="B234" s="9" t="s">
        <v>772</v>
      </c>
      <c r="C234" s="9" t="s">
        <v>323</v>
      </c>
      <c r="D234" s="10" t="s">
        <v>353</v>
      </c>
      <c r="E234" s="9" t="s">
        <v>354</v>
      </c>
      <c r="F234" s="9" t="s">
        <v>326</v>
      </c>
      <c r="G234" s="10" t="s">
        <v>767</v>
      </c>
      <c r="H234" s="9" t="s">
        <v>768</v>
      </c>
      <c r="I234" s="11">
        <v>13.528321</v>
      </c>
      <c r="J234" s="11">
        <v>108.322829</v>
      </c>
      <c r="K234" s="9" t="s">
        <v>329</v>
      </c>
      <c r="L234" s="10"/>
      <c r="M234" s="12" t="s">
        <v>51</v>
      </c>
      <c r="N234" s="13" t="s">
        <v>62</v>
      </c>
      <c r="O234" s="14">
        <v>13.520930999999999</v>
      </c>
      <c r="P234" s="14">
        <v>108.336162</v>
      </c>
      <c r="Q234" s="13" t="s">
        <v>53</v>
      </c>
      <c r="R234" s="15" t="s">
        <v>54</v>
      </c>
      <c r="S234" s="13" t="s">
        <v>55</v>
      </c>
      <c r="T234" s="13" t="s">
        <v>773</v>
      </c>
      <c r="U234" s="16">
        <f t="shared" si="6"/>
        <v>1658</v>
      </c>
      <c r="V234" s="17" t="str">
        <f t="shared" si="7"/>
        <v>OK</v>
      </c>
    </row>
    <row r="235" spans="1:22" x14ac:dyDescent="0.25">
      <c r="A235" s="9">
        <v>231</v>
      </c>
      <c r="B235" s="9" t="s">
        <v>774</v>
      </c>
      <c r="C235" s="9" t="s">
        <v>323</v>
      </c>
      <c r="D235" s="10" t="s">
        <v>369</v>
      </c>
      <c r="E235" s="9" t="s">
        <v>354</v>
      </c>
      <c r="F235" s="9" t="s">
        <v>326</v>
      </c>
      <c r="G235" s="10" t="s">
        <v>775</v>
      </c>
      <c r="H235" s="9" t="s">
        <v>212</v>
      </c>
      <c r="I235" s="11">
        <v>13.187186000000001</v>
      </c>
      <c r="J235" s="11">
        <v>108.697892</v>
      </c>
      <c r="K235" s="9" t="s">
        <v>329</v>
      </c>
      <c r="L235" s="10"/>
      <c r="M235" s="12" t="s">
        <v>51</v>
      </c>
      <c r="N235" s="13" t="s">
        <v>62</v>
      </c>
      <c r="O235" s="14">
        <v>13.21021</v>
      </c>
      <c r="P235" s="14">
        <v>108.67905399999999</v>
      </c>
      <c r="Q235" s="13" t="s">
        <v>53</v>
      </c>
      <c r="R235" s="15" t="s">
        <v>54</v>
      </c>
      <c r="S235" s="13" t="s">
        <v>55</v>
      </c>
      <c r="T235" s="13" t="s">
        <v>776</v>
      </c>
      <c r="U235" s="16">
        <f t="shared" si="6"/>
        <v>3263</v>
      </c>
      <c r="V235" s="17" t="str">
        <f t="shared" si="7"/>
        <v>OK</v>
      </c>
    </row>
    <row r="236" spans="1:22" x14ac:dyDescent="0.25">
      <c r="A236" s="9">
        <v>232</v>
      </c>
      <c r="B236" s="9" t="s">
        <v>777</v>
      </c>
      <c r="C236" s="9" t="s">
        <v>323</v>
      </c>
      <c r="D236" s="10" t="s">
        <v>369</v>
      </c>
      <c r="E236" s="9" t="s">
        <v>354</v>
      </c>
      <c r="F236" s="9" t="s">
        <v>326</v>
      </c>
      <c r="G236" s="10" t="s">
        <v>775</v>
      </c>
      <c r="H236" s="9" t="s">
        <v>212</v>
      </c>
      <c r="I236" s="11">
        <v>13.210248</v>
      </c>
      <c r="J236" s="11">
        <v>108.67911100000001</v>
      </c>
      <c r="K236" s="9" t="s">
        <v>329</v>
      </c>
      <c r="L236" s="10"/>
      <c r="M236" s="12" t="s">
        <v>51</v>
      </c>
      <c r="N236" s="13" t="s">
        <v>52</v>
      </c>
      <c r="O236" s="14"/>
      <c r="P236" s="14"/>
      <c r="Q236" s="13" t="s">
        <v>53</v>
      </c>
      <c r="R236" s="15" t="s">
        <v>54</v>
      </c>
      <c r="S236" s="13" t="s">
        <v>55</v>
      </c>
      <c r="T236" s="13" t="s">
        <v>778</v>
      </c>
      <c r="U236" s="16" t="str">
        <f t="shared" si="6"/>
        <v/>
      </c>
      <c r="V236" s="17" t="str">
        <f t="shared" si="7"/>
        <v>OK</v>
      </c>
    </row>
    <row r="237" spans="1:22" x14ac:dyDescent="0.25">
      <c r="A237" s="9">
        <v>233</v>
      </c>
      <c r="B237" s="9" t="s">
        <v>779</v>
      </c>
      <c r="C237" s="9" t="s">
        <v>323</v>
      </c>
      <c r="D237" s="10" t="s">
        <v>353</v>
      </c>
      <c r="E237" s="9" t="s">
        <v>354</v>
      </c>
      <c r="F237" s="9" t="s">
        <v>326</v>
      </c>
      <c r="G237" s="10" t="s">
        <v>775</v>
      </c>
      <c r="H237" s="9" t="s">
        <v>212</v>
      </c>
      <c r="I237" s="11">
        <v>13.213804</v>
      </c>
      <c r="J237" s="11">
        <v>108.675532</v>
      </c>
      <c r="K237" s="9" t="s">
        <v>329</v>
      </c>
      <c r="L237" s="10"/>
      <c r="M237" s="12" t="s">
        <v>51</v>
      </c>
      <c r="N237" s="13" t="s">
        <v>62</v>
      </c>
      <c r="O237" s="14">
        <v>13.171911</v>
      </c>
      <c r="P237" s="14">
        <v>108.719854</v>
      </c>
      <c r="Q237" s="13" t="s">
        <v>53</v>
      </c>
      <c r="R237" s="15" t="s">
        <v>54</v>
      </c>
      <c r="S237" s="13" t="s">
        <v>55</v>
      </c>
      <c r="T237" s="13" t="s">
        <v>780</v>
      </c>
      <c r="U237" s="16">
        <f t="shared" si="6"/>
        <v>6672</v>
      </c>
      <c r="V237" s="17" t="str">
        <f t="shared" si="7"/>
        <v>OK</v>
      </c>
    </row>
    <row r="238" spans="1:22" x14ac:dyDescent="0.25">
      <c r="A238" s="9">
        <v>234</v>
      </c>
      <c r="B238" s="9" t="s">
        <v>781</v>
      </c>
      <c r="C238" s="9" t="s">
        <v>323</v>
      </c>
      <c r="D238" s="10" t="s">
        <v>353</v>
      </c>
      <c r="E238" s="9" t="s">
        <v>354</v>
      </c>
      <c r="F238" s="9" t="s">
        <v>326</v>
      </c>
      <c r="G238" s="10" t="s">
        <v>775</v>
      </c>
      <c r="H238" s="9" t="s">
        <v>212</v>
      </c>
      <c r="I238" s="11">
        <v>13.171877</v>
      </c>
      <c r="J238" s="11">
        <v>108.719714</v>
      </c>
      <c r="K238" s="9" t="s">
        <v>329</v>
      </c>
      <c r="L238" s="10"/>
      <c r="M238" s="12" t="s">
        <v>51</v>
      </c>
      <c r="N238" s="13" t="s">
        <v>52</v>
      </c>
      <c r="O238" s="14"/>
      <c r="P238" s="14"/>
      <c r="Q238" s="13" t="s">
        <v>53</v>
      </c>
      <c r="R238" s="15" t="s">
        <v>54</v>
      </c>
      <c r="S238" s="13" t="s">
        <v>55</v>
      </c>
      <c r="T238" s="13" t="s">
        <v>782</v>
      </c>
      <c r="U238" s="16" t="str">
        <f t="shared" si="6"/>
        <v/>
      </c>
      <c r="V238" s="17" t="str">
        <f t="shared" si="7"/>
        <v>OK</v>
      </c>
    </row>
    <row r="239" spans="1:22" x14ac:dyDescent="0.25">
      <c r="A239" s="9">
        <v>235</v>
      </c>
      <c r="B239" s="9" t="s">
        <v>783</v>
      </c>
      <c r="C239" s="9" t="s">
        <v>323</v>
      </c>
      <c r="D239" s="10" t="s">
        <v>784</v>
      </c>
      <c r="E239" s="9" t="s">
        <v>354</v>
      </c>
      <c r="F239" s="9" t="s">
        <v>326</v>
      </c>
      <c r="G239" s="10" t="s">
        <v>785</v>
      </c>
      <c r="H239" s="9" t="s">
        <v>786</v>
      </c>
      <c r="I239" s="11">
        <v>13.800359</v>
      </c>
      <c r="J239" s="11">
        <v>109.14427499999999</v>
      </c>
      <c r="K239" s="9" t="s">
        <v>329</v>
      </c>
      <c r="L239" s="10"/>
      <c r="M239" s="12" t="s">
        <v>51</v>
      </c>
      <c r="N239" s="13" t="s">
        <v>69</v>
      </c>
      <c r="O239" s="14"/>
      <c r="P239" s="14"/>
      <c r="Q239" s="13" t="s">
        <v>70</v>
      </c>
      <c r="R239" s="15" t="s">
        <v>54</v>
      </c>
      <c r="S239" s="13" t="s">
        <v>55</v>
      </c>
      <c r="T239" s="13" t="s">
        <v>787</v>
      </c>
      <c r="U239" s="16" t="str">
        <f t="shared" si="6"/>
        <v/>
      </c>
      <c r="V239" s="17" t="str">
        <f t="shared" si="7"/>
        <v>OK</v>
      </c>
    </row>
    <row r="240" spans="1:22" x14ac:dyDescent="0.25">
      <c r="A240" s="9">
        <v>236</v>
      </c>
      <c r="B240" s="9" t="s">
        <v>788</v>
      </c>
      <c r="C240" s="9" t="s">
        <v>323</v>
      </c>
      <c r="D240" s="10" t="s">
        <v>789</v>
      </c>
      <c r="E240" s="9" t="s">
        <v>354</v>
      </c>
      <c r="F240" s="9" t="s">
        <v>326</v>
      </c>
      <c r="G240" s="10" t="s">
        <v>785</v>
      </c>
      <c r="H240" s="9" t="s">
        <v>786</v>
      </c>
      <c r="I240" s="11">
        <v>13.853624999999999</v>
      </c>
      <c r="J240" s="11">
        <v>109.134297</v>
      </c>
      <c r="K240" s="9" t="s">
        <v>329</v>
      </c>
      <c r="L240" s="10"/>
      <c r="M240" s="12" t="s">
        <v>51</v>
      </c>
      <c r="N240" s="13" t="s">
        <v>69</v>
      </c>
      <c r="O240" s="14"/>
      <c r="P240" s="14"/>
      <c r="Q240" s="13" t="s">
        <v>70</v>
      </c>
      <c r="R240" s="15" t="s">
        <v>54</v>
      </c>
      <c r="S240" s="13" t="s">
        <v>55</v>
      </c>
      <c r="T240" s="13" t="s">
        <v>787</v>
      </c>
      <c r="U240" s="16" t="str">
        <f t="shared" si="6"/>
        <v/>
      </c>
      <c r="V240" s="17" t="str">
        <f t="shared" si="7"/>
        <v>OK</v>
      </c>
    </row>
    <row r="241" spans="1:22" x14ac:dyDescent="0.25">
      <c r="A241" s="9">
        <v>237</v>
      </c>
      <c r="B241" s="9" t="s">
        <v>790</v>
      </c>
      <c r="C241" s="9" t="s">
        <v>323</v>
      </c>
      <c r="D241" s="10" t="s">
        <v>789</v>
      </c>
      <c r="E241" s="9" t="s">
        <v>354</v>
      </c>
      <c r="F241" s="9" t="s">
        <v>326</v>
      </c>
      <c r="G241" s="10" t="s">
        <v>785</v>
      </c>
      <c r="H241" s="9" t="s">
        <v>786</v>
      </c>
      <c r="I241" s="11">
        <v>13.823982000000001</v>
      </c>
      <c r="J241" s="11">
        <v>109.145368</v>
      </c>
      <c r="K241" s="9" t="s">
        <v>329</v>
      </c>
      <c r="L241" s="10"/>
      <c r="M241" s="12" t="s">
        <v>51</v>
      </c>
      <c r="N241" s="13" t="s">
        <v>69</v>
      </c>
      <c r="O241" s="14"/>
      <c r="P241" s="14"/>
      <c r="Q241" s="13" t="s">
        <v>70</v>
      </c>
      <c r="R241" s="15" t="s">
        <v>54</v>
      </c>
      <c r="S241" s="13" t="s">
        <v>55</v>
      </c>
      <c r="T241" s="13" t="s">
        <v>787</v>
      </c>
      <c r="U241" s="16" t="str">
        <f t="shared" si="6"/>
        <v/>
      </c>
      <c r="V241" s="17" t="str">
        <f t="shared" si="7"/>
        <v>OK</v>
      </c>
    </row>
    <row r="242" spans="1:22" x14ac:dyDescent="0.25">
      <c r="A242" s="9">
        <v>238</v>
      </c>
      <c r="B242" s="9" t="s">
        <v>791</v>
      </c>
      <c r="C242" s="9" t="s">
        <v>323</v>
      </c>
      <c r="D242" s="10" t="s">
        <v>792</v>
      </c>
      <c r="E242" s="9" t="s">
        <v>354</v>
      </c>
      <c r="F242" s="9" t="s">
        <v>326</v>
      </c>
      <c r="G242" s="10" t="s">
        <v>785</v>
      </c>
      <c r="H242" s="9" t="s">
        <v>786</v>
      </c>
      <c r="I242" s="11">
        <v>13.825272</v>
      </c>
      <c r="J242" s="11">
        <v>109.15759199999999</v>
      </c>
      <c r="K242" s="9" t="s">
        <v>329</v>
      </c>
      <c r="L242" s="10"/>
      <c r="M242" s="12" t="s">
        <v>51</v>
      </c>
      <c r="N242" s="13" t="s">
        <v>69</v>
      </c>
      <c r="O242" s="14"/>
      <c r="P242" s="14"/>
      <c r="Q242" s="13" t="s">
        <v>70</v>
      </c>
      <c r="R242" s="15" t="s">
        <v>54</v>
      </c>
      <c r="S242" s="13" t="s">
        <v>55</v>
      </c>
      <c r="T242" s="13" t="s">
        <v>787</v>
      </c>
      <c r="U242" s="16" t="str">
        <f t="shared" si="6"/>
        <v/>
      </c>
      <c r="V242" s="17" t="str">
        <f t="shared" si="7"/>
        <v>OK</v>
      </c>
    </row>
    <row r="243" spans="1:22" ht="25.5" x14ac:dyDescent="0.25">
      <c r="A243" s="9">
        <v>239</v>
      </c>
      <c r="B243" s="9" t="s">
        <v>793</v>
      </c>
      <c r="C243" s="9" t="s">
        <v>323</v>
      </c>
      <c r="D243" s="10" t="s">
        <v>794</v>
      </c>
      <c r="E243" s="9" t="s">
        <v>354</v>
      </c>
      <c r="F243" s="9" t="s">
        <v>326</v>
      </c>
      <c r="G243" s="10" t="s">
        <v>795</v>
      </c>
      <c r="H243" s="9" t="s">
        <v>786</v>
      </c>
      <c r="I243" s="11">
        <v>13.863847</v>
      </c>
      <c r="J243" s="11">
        <v>109.131215</v>
      </c>
      <c r="K243" s="9" t="s">
        <v>329</v>
      </c>
      <c r="L243" s="10"/>
      <c r="M243" s="12" t="s">
        <v>51</v>
      </c>
      <c r="N243" s="13" t="s">
        <v>69</v>
      </c>
      <c r="O243" s="14"/>
      <c r="P243" s="14"/>
      <c r="Q243" s="13" t="s">
        <v>70</v>
      </c>
      <c r="R243" s="15" t="s">
        <v>54</v>
      </c>
      <c r="S243" s="13" t="s">
        <v>55</v>
      </c>
      <c r="T243" s="13" t="s">
        <v>787</v>
      </c>
      <c r="U243" s="16" t="str">
        <f t="shared" si="6"/>
        <v/>
      </c>
      <c r="V243" s="17" t="str">
        <f t="shared" si="7"/>
        <v>OK</v>
      </c>
    </row>
    <row r="244" spans="1:22" ht="25.5" x14ac:dyDescent="0.25">
      <c r="A244" s="9">
        <v>240</v>
      </c>
      <c r="B244" s="9" t="s">
        <v>796</v>
      </c>
      <c r="C244" s="9" t="s">
        <v>323</v>
      </c>
      <c r="D244" s="10" t="s">
        <v>797</v>
      </c>
      <c r="E244" s="9" t="s">
        <v>354</v>
      </c>
      <c r="F244" s="9" t="s">
        <v>326</v>
      </c>
      <c r="G244" s="10" t="s">
        <v>795</v>
      </c>
      <c r="H244" s="9" t="s">
        <v>786</v>
      </c>
      <c r="I244" s="11">
        <v>13.852446</v>
      </c>
      <c r="J244" s="11">
        <v>109.13489800000001</v>
      </c>
      <c r="K244" s="9" t="s">
        <v>329</v>
      </c>
      <c r="L244" s="10"/>
      <c r="M244" s="12" t="s">
        <v>51</v>
      </c>
      <c r="N244" s="13" t="s">
        <v>69</v>
      </c>
      <c r="O244" s="14"/>
      <c r="P244" s="14"/>
      <c r="Q244" s="13" t="s">
        <v>70</v>
      </c>
      <c r="R244" s="15" t="s">
        <v>54</v>
      </c>
      <c r="S244" s="13" t="s">
        <v>55</v>
      </c>
      <c r="T244" s="13" t="s">
        <v>787</v>
      </c>
      <c r="U244" s="16" t="str">
        <f t="shared" si="6"/>
        <v/>
      </c>
      <c r="V244" s="17" t="str">
        <f t="shared" si="7"/>
        <v>OK</v>
      </c>
    </row>
    <row r="245" spans="1:22" x14ac:dyDescent="0.25">
      <c r="A245" s="9">
        <v>241</v>
      </c>
      <c r="B245" s="9" t="s">
        <v>798</v>
      </c>
      <c r="C245" s="9" t="s">
        <v>323</v>
      </c>
      <c r="D245" s="10" t="s">
        <v>799</v>
      </c>
      <c r="E245" s="9" t="s">
        <v>354</v>
      </c>
      <c r="F245" s="9" t="s">
        <v>326</v>
      </c>
      <c r="G245" s="10" t="s">
        <v>800</v>
      </c>
      <c r="H245" s="9" t="s">
        <v>786</v>
      </c>
      <c r="I245" s="11">
        <v>13.860556000000001</v>
      </c>
      <c r="J245" s="11">
        <v>109.137292</v>
      </c>
      <c r="K245" s="9" t="s">
        <v>329</v>
      </c>
      <c r="L245" s="10"/>
      <c r="M245" s="12" t="s">
        <v>51</v>
      </c>
      <c r="N245" s="13" t="s">
        <v>69</v>
      </c>
      <c r="O245" s="14"/>
      <c r="P245" s="14"/>
      <c r="Q245" s="13" t="s">
        <v>70</v>
      </c>
      <c r="R245" s="15" t="s">
        <v>54</v>
      </c>
      <c r="S245" s="13" t="s">
        <v>55</v>
      </c>
      <c r="T245" s="13" t="s">
        <v>787</v>
      </c>
      <c r="U245" s="16" t="str">
        <f t="shared" si="6"/>
        <v/>
      </c>
      <c r="V245" s="17" t="str">
        <f t="shared" si="7"/>
        <v>OK</v>
      </c>
    </row>
    <row r="246" spans="1:22" ht="25.5" x14ac:dyDescent="0.25">
      <c r="A246" s="9">
        <v>242</v>
      </c>
      <c r="B246" s="9" t="s">
        <v>801</v>
      </c>
      <c r="C246" s="9" t="s">
        <v>323</v>
      </c>
      <c r="D246" s="10" t="s">
        <v>802</v>
      </c>
      <c r="E246" s="9" t="s">
        <v>354</v>
      </c>
      <c r="F246" s="9" t="s">
        <v>326</v>
      </c>
      <c r="G246" s="10" t="s">
        <v>795</v>
      </c>
      <c r="H246" s="9" t="s">
        <v>786</v>
      </c>
      <c r="I246" s="11">
        <v>13.836962</v>
      </c>
      <c r="J246" s="11">
        <v>109.14115700000001</v>
      </c>
      <c r="K246" s="9" t="s">
        <v>329</v>
      </c>
      <c r="L246" s="10"/>
      <c r="M246" s="12" t="s">
        <v>51</v>
      </c>
      <c r="N246" s="13" t="s">
        <v>69</v>
      </c>
      <c r="O246" s="14"/>
      <c r="P246" s="14"/>
      <c r="Q246" s="13" t="s">
        <v>70</v>
      </c>
      <c r="R246" s="15" t="s">
        <v>54</v>
      </c>
      <c r="S246" s="13" t="s">
        <v>55</v>
      </c>
      <c r="T246" s="13" t="s">
        <v>787</v>
      </c>
      <c r="U246" s="16" t="str">
        <f t="shared" si="6"/>
        <v/>
      </c>
      <c r="V246" s="17" t="str">
        <f t="shared" si="7"/>
        <v>OK</v>
      </c>
    </row>
    <row r="247" spans="1:22" x14ac:dyDescent="0.25">
      <c r="A247" s="9">
        <v>243</v>
      </c>
      <c r="B247" s="9" t="s">
        <v>803</v>
      </c>
      <c r="C247" s="9" t="s">
        <v>323</v>
      </c>
      <c r="D247" s="10" t="s">
        <v>804</v>
      </c>
      <c r="E247" s="9" t="s">
        <v>354</v>
      </c>
      <c r="F247" s="9" t="s">
        <v>326</v>
      </c>
      <c r="G247" s="10" t="s">
        <v>785</v>
      </c>
      <c r="H247" s="9" t="s">
        <v>786</v>
      </c>
      <c r="I247" s="11">
        <v>13.810053999999999</v>
      </c>
      <c r="J247" s="11">
        <v>109.14730299999999</v>
      </c>
      <c r="K247" s="9" t="s">
        <v>329</v>
      </c>
      <c r="L247" s="10"/>
      <c r="M247" s="12" t="s">
        <v>51</v>
      </c>
      <c r="N247" s="13" t="s">
        <v>69</v>
      </c>
      <c r="O247" s="14"/>
      <c r="P247" s="14"/>
      <c r="Q247" s="13" t="s">
        <v>70</v>
      </c>
      <c r="R247" s="15" t="s">
        <v>54</v>
      </c>
      <c r="S247" s="13" t="s">
        <v>55</v>
      </c>
      <c r="T247" s="13" t="s">
        <v>787</v>
      </c>
      <c r="U247" s="16" t="str">
        <f t="shared" si="6"/>
        <v/>
      </c>
      <c r="V247" s="17" t="str">
        <f t="shared" si="7"/>
        <v>OK</v>
      </c>
    </row>
    <row r="248" spans="1:22" x14ac:dyDescent="0.25">
      <c r="A248" s="9">
        <v>244</v>
      </c>
      <c r="B248" s="9" t="s">
        <v>805</v>
      </c>
      <c r="C248" s="9" t="s">
        <v>323</v>
      </c>
      <c r="D248" s="10" t="s">
        <v>806</v>
      </c>
      <c r="E248" s="9" t="s">
        <v>354</v>
      </c>
      <c r="F248" s="9" t="s">
        <v>326</v>
      </c>
      <c r="G248" s="10" t="s">
        <v>807</v>
      </c>
      <c r="H248" s="9" t="s">
        <v>808</v>
      </c>
      <c r="I248" s="11">
        <v>13.896329</v>
      </c>
      <c r="J248" s="11">
        <v>109.257087</v>
      </c>
      <c r="K248" s="9" t="s">
        <v>329</v>
      </c>
      <c r="L248" s="10"/>
      <c r="M248" s="12" t="s">
        <v>51</v>
      </c>
      <c r="N248" s="13" t="s">
        <v>69</v>
      </c>
      <c r="O248" s="14"/>
      <c r="P248" s="14"/>
      <c r="Q248" s="13" t="s">
        <v>70</v>
      </c>
      <c r="R248" s="15" t="s">
        <v>54</v>
      </c>
      <c r="S248" s="13" t="s">
        <v>55</v>
      </c>
      <c r="T248" s="13" t="s">
        <v>787</v>
      </c>
      <c r="U248" s="16" t="str">
        <f t="shared" si="6"/>
        <v/>
      </c>
      <c r="V248" s="17" t="str">
        <f t="shared" si="7"/>
        <v>OK</v>
      </c>
    </row>
    <row r="249" spans="1:22" x14ac:dyDescent="0.25">
      <c r="A249" s="9">
        <v>245</v>
      </c>
      <c r="B249" s="9" t="s">
        <v>809</v>
      </c>
      <c r="C249" s="9" t="s">
        <v>323</v>
      </c>
      <c r="D249" s="10" t="s">
        <v>810</v>
      </c>
      <c r="E249" s="9" t="s">
        <v>354</v>
      </c>
      <c r="F249" s="9" t="s">
        <v>326</v>
      </c>
      <c r="G249" s="10" t="s">
        <v>811</v>
      </c>
      <c r="H249" s="9" t="s">
        <v>812</v>
      </c>
      <c r="I249" s="11">
        <v>13.908124000000001</v>
      </c>
      <c r="J249" s="11">
        <v>108.91817</v>
      </c>
      <c r="K249" s="9" t="s">
        <v>329</v>
      </c>
      <c r="L249" s="10"/>
      <c r="M249" s="12" t="s">
        <v>51</v>
      </c>
      <c r="N249" s="13" t="s">
        <v>69</v>
      </c>
      <c r="O249" s="14"/>
      <c r="P249" s="14"/>
      <c r="Q249" s="13" t="s">
        <v>70</v>
      </c>
      <c r="R249" s="15" t="s">
        <v>54</v>
      </c>
      <c r="S249" s="13" t="s">
        <v>55</v>
      </c>
      <c r="T249" s="13" t="s">
        <v>813</v>
      </c>
      <c r="U249" s="16" t="str">
        <f t="shared" si="6"/>
        <v/>
      </c>
      <c r="V249" s="17" t="str">
        <f t="shared" si="7"/>
        <v>OK</v>
      </c>
    </row>
    <row r="250" spans="1:22" x14ac:dyDescent="0.25">
      <c r="A250" s="9">
        <v>246</v>
      </c>
      <c r="B250" s="9" t="s">
        <v>814</v>
      </c>
      <c r="C250" s="9" t="s">
        <v>323</v>
      </c>
      <c r="D250" s="10" t="s">
        <v>810</v>
      </c>
      <c r="E250" s="9" t="s">
        <v>354</v>
      </c>
      <c r="F250" s="9" t="s">
        <v>326</v>
      </c>
      <c r="G250" s="10" t="s">
        <v>815</v>
      </c>
      <c r="H250" s="9" t="s">
        <v>812</v>
      </c>
      <c r="I250" s="11">
        <v>13.926691</v>
      </c>
      <c r="J250" s="11">
        <v>108.92303699999999</v>
      </c>
      <c r="K250" s="9" t="s">
        <v>329</v>
      </c>
      <c r="L250" s="10"/>
      <c r="M250" s="12" t="s">
        <v>51</v>
      </c>
      <c r="N250" s="13" t="s">
        <v>69</v>
      </c>
      <c r="O250" s="14"/>
      <c r="P250" s="14"/>
      <c r="Q250" s="13" t="s">
        <v>70</v>
      </c>
      <c r="R250" s="15" t="s">
        <v>54</v>
      </c>
      <c r="S250" s="13" t="s">
        <v>55</v>
      </c>
      <c r="T250" s="13" t="s">
        <v>813</v>
      </c>
      <c r="U250" s="16" t="str">
        <f t="shared" si="6"/>
        <v/>
      </c>
      <c r="V250" s="17" t="str">
        <f t="shared" si="7"/>
        <v>OK</v>
      </c>
    </row>
    <row r="251" spans="1:22" x14ac:dyDescent="0.25">
      <c r="A251" s="9">
        <v>247</v>
      </c>
      <c r="B251" s="9" t="s">
        <v>816</v>
      </c>
      <c r="C251" s="9" t="s">
        <v>323</v>
      </c>
      <c r="D251" s="10" t="s">
        <v>810</v>
      </c>
      <c r="E251" s="9" t="s">
        <v>354</v>
      </c>
      <c r="F251" s="9" t="s">
        <v>326</v>
      </c>
      <c r="G251" s="10" t="s">
        <v>817</v>
      </c>
      <c r="H251" s="9" t="s">
        <v>812</v>
      </c>
      <c r="I251" s="11">
        <v>13.907589</v>
      </c>
      <c r="J251" s="11">
        <v>108.92267200000001</v>
      </c>
      <c r="K251" s="9" t="s">
        <v>329</v>
      </c>
      <c r="L251" s="10"/>
      <c r="M251" s="12" t="s">
        <v>51</v>
      </c>
      <c r="N251" s="13" t="s">
        <v>69</v>
      </c>
      <c r="O251" s="14"/>
      <c r="P251" s="14"/>
      <c r="Q251" s="13" t="s">
        <v>70</v>
      </c>
      <c r="R251" s="15" t="s">
        <v>54</v>
      </c>
      <c r="S251" s="13" t="s">
        <v>55</v>
      </c>
      <c r="T251" s="13" t="s">
        <v>813</v>
      </c>
      <c r="U251" s="16" t="str">
        <f t="shared" si="6"/>
        <v/>
      </c>
      <c r="V251" s="17" t="str">
        <f t="shared" si="7"/>
        <v>OK</v>
      </c>
    </row>
    <row r="252" spans="1:22" x14ac:dyDescent="0.25">
      <c r="A252" s="9">
        <v>248</v>
      </c>
      <c r="B252" s="9" t="s">
        <v>818</v>
      </c>
      <c r="C252" s="9" t="s">
        <v>323</v>
      </c>
      <c r="D252" s="10" t="s">
        <v>819</v>
      </c>
      <c r="E252" s="9" t="s">
        <v>354</v>
      </c>
      <c r="F252" s="9" t="s">
        <v>326</v>
      </c>
      <c r="G252" s="10" t="s">
        <v>820</v>
      </c>
      <c r="H252" s="9" t="s">
        <v>812</v>
      </c>
      <c r="I252" s="11">
        <v>13.900693</v>
      </c>
      <c r="J252" s="11">
        <v>108.93768900000001</v>
      </c>
      <c r="K252" s="9" t="s">
        <v>329</v>
      </c>
      <c r="L252" s="10"/>
      <c r="M252" s="12" t="s">
        <v>51</v>
      </c>
      <c r="N252" s="13" t="s">
        <v>69</v>
      </c>
      <c r="O252" s="14"/>
      <c r="P252" s="14"/>
      <c r="Q252" s="13" t="s">
        <v>70</v>
      </c>
      <c r="R252" s="15" t="s">
        <v>54</v>
      </c>
      <c r="S252" s="13" t="s">
        <v>55</v>
      </c>
      <c r="T252" s="13" t="s">
        <v>813</v>
      </c>
      <c r="U252" s="16" t="str">
        <f t="shared" si="6"/>
        <v/>
      </c>
      <c r="V252" s="17" t="str">
        <f t="shared" si="7"/>
        <v>OK</v>
      </c>
    </row>
    <row r="253" spans="1:22" x14ac:dyDescent="0.25">
      <c r="A253" s="9">
        <v>249</v>
      </c>
      <c r="B253" s="9" t="s">
        <v>821</v>
      </c>
      <c r="C253" s="9" t="s">
        <v>323</v>
      </c>
      <c r="D253" s="10" t="s">
        <v>478</v>
      </c>
      <c r="E253" s="9" t="s">
        <v>354</v>
      </c>
      <c r="F253" s="9" t="s">
        <v>326</v>
      </c>
      <c r="G253" s="10" t="s">
        <v>822</v>
      </c>
      <c r="H253" s="9" t="s">
        <v>823</v>
      </c>
      <c r="I253" s="11">
        <v>13.339454999999999</v>
      </c>
      <c r="J253" s="11">
        <v>108.538382</v>
      </c>
      <c r="K253" s="9" t="s">
        <v>329</v>
      </c>
      <c r="L253" s="10"/>
      <c r="M253" s="12" t="s">
        <v>51</v>
      </c>
      <c r="N253" s="13" t="s">
        <v>52</v>
      </c>
      <c r="O253" s="14"/>
      <c r="P253" s="14"/>
      <c r="Q253" s="13" t="s">
        <v>53</v>
      </c>
      <c r="R253" s="15" t="s">
        <v>54</v>
      </c>
      <c r="S253" s="13" t="s">
        <v>55</v>
      </c>
      <c r="T253" s="13" t="s">
        <v>824</v>
      </c>
      <c r="U253" s="16" t="str">
        <f t="shared" si="6"/>
        <v/>
      </c>
      <c r="V253" s="17" t="str">
        <f t="shared" si="7"/>
        <v>OK</v>
      </c>
    </row>
    <row r="254" spans="1:22" x14ac:dyDescent="0.25">
      <c r="A254" s="9">
        <v>250</v>
      </c>
      <c r="B254" s="9" t="s">
        <v>825</v>
      </c>
      <c r="C254" s="9" t="s">
        <v>323</v>
      </c>
      <c r="D254" s="10" t="s">
        <v>369</v>
      </c>
      <c r="E254" s="9" t="s">
        <v>354</v>
      </c>
      <c r="F254" s="9" t="s">
        <v>326</v>
      </c>
      <c r="G254" s="10" t="s">
        <v>822</v>
      </c>
      <c r="H254" s="9" t="s">
        <v>823</v>
      </c>
      <c r="I254" s="11">
        <v>13.311230999999999</v>
      </c>
      <c r="J254" s="11">
        <v>108.59123</v>
      </c>
      <c r="K254" s="9" t="s">
        <v>329</v>
      </c>
      <c r="L254" s="10"/>
      <c r="M254" s="12" t="s">
        <v>51</v>
      </c>
      <c r="N254" s="13" t="s">
        <v>69</v>
      </c>
      <c r="O254" s="14"/>
      <c r="P254" s="14"/>
      <c r="Q254" s="13" t="s">
        <v>70</v>
      </c>
      <c r="R254" s="15" t="s">
        <v>54</v>
      </c>
      <c r="S254" s="13" t="s">
        <v>55</v>
      </c>
      <c r="T254" s="13" t="s">
        <v>826</v>
      </c>
      <c r="U254" s="16" t="str">
        <f t="shared" si="6"/>
        <v/>
      </c>
      <c r="V254" s="17" t="str">
        <f t="shared" si="7"/>
        <v>OK</v>
      </c>
    </row>
    <row r="255" spans="1:22" x14ac:dyDescent="0.25">
      <c r="A255" s="9">
        <v>251</v>
      </c>
      <c r="B255" s="9" t="s">
        <v>827</v>
      </c>
      <c r="C255" s="9" t="s">
        <v>323</v>
      </c>
      <c r="D255" s="10" t="s">
        <v>353</v>
      </c>
      <c r="E255" s="9" t="s">
        <v>354</v>
      </c>
      <c r="F255" s="9" t="s">
        <v>326</v>
      </c>
      <c r="G255" s="10" t="s">
        <v>822</v>
      </c>
      <c r="H255" s="9" t="s">
        <v>823</v>
      </c>
      <c r="I255" s="11">
        <v>13.317988</v>
      </c>
      <c r="J255" s="11">
        <v>108.587806</v>
      </c>
      <c r="K255" s="9" t="s">
        <v>329</v>
      </c>
      <c r="L255" s="10"/>
      <c r="M255" s="12" t="s">
        <v>51</v>
      </c>
      <c r="N255" s="13" t="s">
        <v>62</v>
      </c>
      <c r="O255" s="14">
        <v>13.316927</v>
      </c>
      <c r="P255" s="14">
        <v>108.606328</v>
      </c>
      <c r="Q255" s="13" t="s">
        <v>53</v>
      </c>
      <c r="R255" s="15" t="s">
        <v>54</v>
      </c>
      <c r="S255" s="13" t="s">
        <v>55</v>
      </c>
      <c r="T255" s="13" t="s">
        <v>828</v>
      </c>
      <c r="U255" s="16">
        <f t="shared" si="6"/>
        <v>2010</v>
      </c>
      <c r="V255" s="17" t="str">
        <f t="shared" si="7"/>
        <v>OK</v>
      </c>
    </row>
    <row r="256" spans="1:22" ht="25.5" x14ac:dyDescent="0.25">
      <c r="A256" s="9">
        <v>252</v>
      </c>
      <c r="B256" s="9" t="s">
        <v>829</v>
      </c>
      <c r="C256" s="9" t="s">
        <v>323</v>
      </c>
      <c r="D256" s="10" t="s">
        <v>830</v>
      </c>
      <c r="E256" s="9" t="s">
        <v>354</v>
      </c>
      <c r="F256" s="9" t="s">
        <v>326</v>
      </c>
      <c r="G256" s="10" t="s">
        <v>831</v>
      </c>
      <c r="H256" s="9" t="s">
        <v>832</v>
      </c>
      <c r="I256" s="11">
        <v>14.097918999999999</v>
      </c>
      <c r="J256" s="11">
        <v>108.78622799999999</v>
      </c>
      <c r="K256" s="9" t="s">
        <v>329</v>
      </c>
      <c r="L256" s="10"/>
      <c r="M256" s="12" t="s">
        <v>51</v>
      </c>
      <c r="N256" s="13" t="s">
        <v>69</v>
      </c>
      <c r="O256" s="14"/>
      <c r="P256" s="14"/>
      <c r="Q256" s="13" t="s">
        <v>70</v>
      </c>
      <c r="R256" s="15" t="s">
        <v>54</v>
      </c>
      <c r="S256" s="13" t="s">
        <v>55</v>
      </c>
      <c r="T256" s="13" t="s">
        <v>378</v>
      </c>
      <c r="U256" s="16" t="str">
        <f t="shared" si="6"/>
        <v/>
      </c>
      <c r="V256" s="17" t="str">
        <f t="shared" si="7"/>
        <v>OK</v>
      </c>
    </row>
    <row r="257" spans="1:22" x14ac:dyDescent="0.25">
      <c r="A257" s="9">
        <v>253</v>
      </c>
      <c r="B257" s="9" t="s">
        <v>833</v>
      </c>
      <c r="C257" s="9" t="s">
        <v>323</v>
      </c>
      <c r="D257" s="10" t="s">
        <v>834</v>
      </c>
      <c r="E257" s="9" t="s">
        <v>354</v>
      </c>
      <c r="F257" s="9" t="s">
        <v>326</v>
      </c>
      <c r="G257" s="10" t="s">
        <v>831</v>
      </c>
      <c r="H257" s="9" t="s">
        <v>832</v>
      </c>
      <c r="I257" s="11">
        <v>14.08943</v>
      </c>
      <c r="J257" s="11">
        <v>108.784657</v>
      </c>
      <c r="K257" s="9" t="s">
        <v>329</v>
      </c>
      <c r="L257" s="10"/>
      <c r="M257" s="12" t="s">
        <v>51</v>
      </c>
      <c r="N257" s="13" t="s">
        <v>69</v>
      </c>
      <c r="O257" s="14"/>
      <c r="P257" s="14"/>
      <c r="Q257" s="13" t="s">
        <v>70</v>
      </c>
      <c r="R257" s="15" t="s">
        <v>54</v>
      </c>
      <c r="S257" s="13" t="s">
        <v>55</v>
      </c>
      <c r="T257" s="13" t="s">
        <v>835</v>
      </c>
      <c r="U257" s="16" t="str">
        <f t="shared" si="6"/>
        <v/>
      </c>
      <c r="V257" s="17" t="str">
        <f t="shared" si="7"/>
        <v>OK</v>
      </c>
    </row>
    <row r="258" spans="1:22" x14ac:dyDescent="0.25">
      <c r="A258" s="9">
        <v>254</v>
      </c>
      <c r="B258" s="9" t="s">
        <v>836</v>
      </c>
      <c r="C258" s="9" t="s">
        <v>323</v>
      </c>
      <c r="D258" s="10" t="s">
        <v>837</v>
      </c>
      <c r="E258" s="9" t="s">
        <v>354</v>
      </c>
      <c r="F258" s="9" t="s">
        <v>326</v>
      </c>
      <c r="G258" s="10" t="s">
        <v>838</v>
      </c>
      <c r="H258" s="9" t="s">
        <v>839</v>
      </c>
      <c r="I258" s="11">
        <v>14.097060000000001</v>
      </c>
      <c r="J258" s="11">
        <v>109.193139</v>
      </c>
      <c r="K258" s="9" t="s">
        <v>329</v>
      </c>
      <c r="L258" s="10"/>
      <c r="M258" s="12" t="s">
        <v>51</v>
      </c>
      <c r="N258" s="13" t="s">
        <v>69</v>
      </c>
      <c r="O258" s="14"/>
      <c r="P258" s="14"/>
      <c r="Q258" s="13" t="s">
        <v>70</v>
      </c>
      <c r="R258" s="15" t="s">
        <v>54</v>
      </c>
      <c r="S258" s="13" t="s">
        <v>55</v>
      </c>
      <c r="T258" s="13" t="s">
        <v>840</v>
      </c>
      <c r="U258" s="16" t="str">
        <f t="shared" si="6"/>
        <v/>
      </c>
      <c r="V258" s="17" t="str">
        <f t="shared" si="7"/>
        <v>OK</v>
      </c>
    </row>
    <row r="259" spans="1:22" x14ac:dyDescent="0.25">
      <c r="A259" s="9">
        <v>255</v>
      </c>
      <c r="B259" s="9" t="s">
        <v>841</v>
      </c>
      <c r="C259" s="9" t="s">
        <v>323</v>
      </c>
      <c r="D259" s="10" t="s">
        <v>353</v>
      </c>
      <c r="E259" s="9" t="s">
        <v>354</v>
      </c>
      <c r="F259" s="9" t="s">
        <v>326</v>
      </c>
      <c r="G259" s="10" t="s">
        <v>838</v>
      </c>
      <c r="H259" s="9" t="s">
        <v>839</v>
      </c>
      <c r="I259" s="11">
        <v>14.129296</v>
      </c>
      <c r="J259" s="11">
        <v>109.16985699999999</v>
      </c>
      <c r="K259" s="9" t="s">
        <v>329</v>
      </c>
      <c r="L259" s="10"/>
      <c r="M259" s="12" t="s">
        <v>51</v>
      </c>
      <c r="N259" s="13" t="s">
        <v>69</v>
      </c>
      <c r="O259" s="14"/>
      <c r="P259" s="14"/>
      <c r="Q259" s="13" t="s">
        <v>70</v>
      </c>
      <c r="R259" s="15" t="s">
        <v>54</v>
      </c>
      <c r="S259" s="13" t="s">
        <v>55</v>
      </c>
      <c r="T259" s="13" t="s">
        <v>842</v>
      </c>
      <c r="U259" s="16" t="str">
        <f t="shared" si="6"/>
        <v/>
      </c>
      <c r="V259" s="17" t="str">
        <f t="shared" si="7"/>
        <v>OK</v>
      </c>
    </row>
    <row r="260" spans="1:22" x14ac:dyDescent="0.25">
      <c r="A260" s="9">
        <v>256</v>
      </c>
      <c r="B260" s="9" t="s">
        <v>843</v>
      </c>
      <c r="C260" s="9" t="s">
        <v>323</v>
      </c>
      <c r="D260" s="10" t="s">
        <v>367</v>
      </c>
      <c r="E260" s="9" t="s">
        <v>354</v>
      </c>
      <c r="F260" s="9" t="s">
        <v>326</v>
      </c>
      <c r="G260" s="10" t="s">
        <v>350</v>
      </c>
      <c r="H260" s="9" t="s">
        <v>217</v>
      </c>
      <c r="I260" s="11">
        <v>13.817506</v>
      </c>
      <c r="J260" s="11">
        <v>107.71848199999999</v>
      </c>
      <c r="K260" s="9" t="s">
        <v>329</v>
      </c>
      <c r="L260" s="10"/>
      <c r="M260" s="12" t="s">
        <v>51</v>
      </c>
      <c r="N260" s="13" t="s">
        <v>69</v>
      </c>
      <c r="O260" s="14"/>
      <c r="P260" s="14"/>
      <c r="Q260" s="13" t="s">
        <v>70</v>
      </c>
      <c r="R260" s="15" t="s">
        <v>54</v>
      </c>
      <c r="S260" s="13" t="s">
        <v>55</v>
      </c>
      <c r="T260" s="13" t="s">
        <v>844</v>
      </c>
      <c r="U260" s="16" t="str">
        <f t="shared" si="6"/>
        <v/>
      </c>
      <c r="V260" s="17" t="str">
        <f t="shared" si="7"/>
        <v>OK</v>
      </c>
    </row>
    <row r="261" spans="1:22" x14ac:dyDescent="0.25">
      <c r="A261" s="9">
        <v>257</v>
      </c>
      <c r="B261" s="9" t="s">
        <v>845</v>
      </c>
      <c r="C261" s="9" t="s">
        <v>323</v>
      </c>
      <c r="D261" s="10" t="s">
        <v>367</v>
      </c>
      <c r="E261" s="9" t="s">
        <v>354</v>
      </c>
      <c r="F261" s="9" t="s">
        <v>326</v>
      </c>
      <c r="G261" s="10" t="s">
        <v>350</v>
      </c>
      <c r="H261" s="9" t="s">
        <v>217</v>
      </c>
      <c r="I261" s="11">
        <v>13.800779</v>
      </c>
      <c r="J261" s="11">
        <v>107.68745199999999</v>
      </c>
      <c r="K261" s="9" t="s">
        <v>329</v>
      </c>
      <c r="L261" s="10"/>
      <c r="M261" s="12" t="s">
        <v>51</v>
      </c>
      <c r="N261" s="13" t="s">
        <v>69</v>
      </c>
      <c r="O261" s="14"/>
      <c r="P261" s="14"/>
      <c r="Q261" s="13" t="s">
        <v>70</v>
      </c>
      <c r="R261" s="15" t="s">
        <v>54</v>
      </c>
      <c r="S261" s="13" t="s">
        <v>55</v>
      </c>
      <c r="T261" s="13" t="s">
        <v>844</v>
      </c>
      <c r="U261" s="16" t="str">
        <f t="shared" ref="U261:U324" si="8">IF(AND(ISNUMBER(O261),ISNUMBER(P261)),ROUND(SQRT(((P261-J261)*111320*COS(RADIANS(I261)))^2+((O261-I261)*110540)^2),0),"")</f>
        <v/>
      </c>
      <c r="V261" s="17" t="str">
        <f t="shared" ref="V261:V324" si="9">IF(N261="","",IF(N261="Sửa vị trí",IF(OR(O261="",P261=""),"Thiếu vĩ độ / kinh độ mới",IF(OR(O261&lt;12.5,O261&gt;15,P261&lt;107,P261&gt;109.6),"Toạ độ ngoài Gia Lai (đảo vĩ/kinh độ?)",IF(Q261="","Chọn cách xác định",IF(U261&gt;20000,"Dời hơn 20 km – kiểm tra lại","OK")))),IF(AND(N261&lt;&gt;"Sửa vị trí",OR(O261&lt;&gt;"",P261&lt;&gt;"")),"Có toạ độ mới nhưng kết quả không phải Sửa vị trí","OK")))</f>
        <v>OK</v>
      </c>
    </row>
    <row r="262" spans="1:22" x14ac:dyDescent="0.25">
      <c r="A262" s="9">
        <v>258</v>
      </c>
      <c r="B262" s="9" t="s">
        <v>846</v>
      </c>
      <c r="C262" s="9" t="s">
        <v>323</v>
      </c>
      <c r="D262" s="10" t="s">
        <v>367</v>
      </c>
      <c r="E262" s="9" t="s">
        <v>354</v>
      </c>
      <c r="F262" s="9" t="s">
        <v>326</v>
      </c>
      <c r="G262" s="10" t="s">
        <v>350</v>
      </c>
      <c r="H262" s="9" t="s">
        <v>217</v>
      </c>
      <c r="I262" s="11">
        <v>13.813859000000001</v>
      </c>
      <c r="J262" s="11">
        <v>107.71230199999999</v>
      </c>
      <c r="K262" s="9" t="s">
        <v>329</v>
      </c>
      <c r="L262" s="10"/>
      <c r="M262" s="12" t="s">
        <v>51</v>
      </c>
      <c r="N262" s="13" t="s">
        <v>69</v>
      </c>
      <c r="O262" s="14"/>
      <c r="P262" s="14"/>
      <c r="Q262" s="13" t="s">
        <v>70</v>
      </c>
      <c r="R262" s="15" t="s">
        <v>54</v>
      </c>
      <c r="S262" s="13" t="s">
        <v>55</v>
      </c>
      <c r="T262" s="13" t="s">
        <v>844</v>
      </c>
      <c r="U262" s="16" t="str">
        <f t="shared" si="8"/>
        <v/>
      </c>
      <c r="V262" s="17" t="str">
        <f t="shared" si="9"/>
        <v>OK</v>
      </c>
    </row>
    <row r="263" spans="1:22" x14ac:dyDescent="0.25">
      <c r="A263" s="9">
        <v>259</v>
      </c>
      <c r="B263" s="9" t="s">
        <v>847</v>
      </c>
      <c r="C263" s="9" t="s">
        <v>323</v>
      </c>
      <c r="D263" s="10" t="s">
        <v>848</v>
      </c>
      <c r="E263" s="9" t="s">
        <v>354</v>
      </c>
      <c r="F263" s="9" t="s">
        <v>326</v>
      </c>
      <c r="G263" s="10" t="s">
        <v>350</v>
      </c>
      <c r="H263" s="9" t="s">
        <v>217</v>
      </c>
      <c r="I263" s="11">
        <v>13.812426</v>
      </c>
      <c r="J263" s="11">
        <v>107.70846400000001</v>
      </c>
      <c r="K263" s="9" t="s">
        <v>329</v>
      </c>
      <c r="L263" s="10"/>
      <c r="M263" s="12" t="s">
        <v>51</v>
      </c>
      <c r="N263" s="13" t="s">
        <v>62</v>
      </c>
      <c r="O263" s="14">
        <v>13.813314999999999</v>
      </c>
      <c r="P263" s="14">
        <v>107.706237</v>
      </c>
      <c r="Q263" s="13" t="s">
        <v>53</v>
      </c>
      <c r="R263" s="15" t="s">
        <v>54</v>
      </c>
      <c r="S263" s="13" t="s">
        <v>55</v>
      </c>
      <c r="T263" s="13" t="s">
        <v>849</v>
      </c>
      <c r="U263" s="16">
        <f t="shared" si="8"/>
        <v>260</v>
      </c>
      <c r="V263" s="17" t="str">
        <f t="shared" si="9"/>
        <v>OK</v>
      </c>
    </row>
    <row r="264" spans="1:22" ht="38.25" x14ac:dyDescent="0.25">
      <c r="A264" s="9">
        <v>260</v>
      </c>
      <c r="B264" s="9" t="s">
        <v>850</v>
      </c>
      <c r="C264" s="9" t="s">
        <v>323</v>
      </c>
      <c r="D264" s="10" t="s">
        <v>851</v>
      </c>
      <c r="E264" s="9" t="s">
        <v>45</v>
      </c>
      <c r="F264" s="9" t="s">
        <v>46</v>
      </c>
      <c r="G264" s="10" t="s">
        <v>852</v>
      </c>
      <c r="H264" s="9" t="s">
        <v>115</v>
      </c>
      <c r="I264" s="11">
        <v>14.046859</v>
      </c>
      <c r="J264" s="11">
        <v>107.99600700000001</v>
      </c>
      <c r="K264" s="9" t="s">
        <v>853</v>
      </c>
      <c r="L264" s="10" t="s">
        <v>854</v>
      </c>
      <c r="M264" s="12" t="s">
        <v>51</v>
      </c>
      <c r="N264" s="13" t="s">
        <v>62</v>
      </c>
      <c r="O264" s="14">
        <v>14.040322</v>
      </c>
      <c r="P264" s="14">
        <v>108.00003100000001</v>
      </c>
      <c r="Q264" s="13" t="s">
        <v>53</v>
      </c>
      <c r="R264" s="15" t="s">
        <v>54</v>
      </c>
      <c r="S264" s="13" t="s">
        <v>55</v>
      </c>
      <c r="T264" s="13" t="s">
        <v>855</v>
      </c>
      <c r="U264" s="16">
        <f t="shared" si="8"/>
        <v>843</v>
      </c>
      <c r="V264" s="17" t="str">
        <f t="shared" si="9"/>
        <v>OK</v>
      </c>
    </row>
    <row r="265" spans="1:22" x14ac:dyDescent="0.25">
      <c r="A265" s="9">
        <v>261</v>
      </c>
      <c r="B265" s="9" t="s">
        <v>856</v>
      </c>
      <c r="C265" s="9" t="s">
        <v>323</v>
      </c>
      <c r="D265" s="10" t="s">
        <v>857</v>
      </c>
      <c r="E265" s="9" t="s">
        <v>179</v>
      </c>
      <c r="F265" s="9" t="s">
        <v>326</v>
      </c>
      <c r="G265" s="10" t="s">
        <v>388</v>
      </c>
      <c r="H265" s="9" t="s">
        <v>88</v>
      </c>
      <c r="I265" s="11">
        <v>13.969184</v>
      </c>
      <c r="J265" s="11">
        <v>107.98898800000001</v>
      </c>
      <c r="K265" s="9" t="s">
        <v>329</v>
      </c>
      <c r="L265" s="10"/>
      <c r="M265" s="12" t="s">
        <v>51</v>
      </c>
      <c r="N265" s="13" t="s">
        <v>52</v>
      </c>
      <c r="O265" s="14"/>
      <c r="P265" s="14"/>
      <c r="Q265" s="13" t="s">
        <v>53</v>
      </c>
      <c r="R265" s="15" t="s">
        <v>54</v>
      </c>
      <c r="S265" s="13" t="s">
        <v>55</v>
      </c>
      <c r="T265" s="13" t="s">
        <v>858</v>
      </c>
      <c r="U265" s="16" t="str">
        <f t="shared" si="8"/>
        <v/>
      </c>
      <c r="V265" s="17" t="str">
        <f t="shared" si="9"/>
        <v>OK</v>
      </c>
    </row>
    <row r="266" spans="1:22" x14ac:dyDescent="0.25">
      <c r="A266" s="9">
        <v>262</v>
      </c>
      <c r="B266" s="9" t="s">
        <v>859</v>
      </c>
      <c r="C266" s="9" t="s">
        <v>323</v>
      </c>
      <c r="D266" s="10" t="s">
        <v>860</v>
      </c>
      <c r="E266" s="9" t="s">
        <v>179</v>
      </c>
      <c r="F266" s="9" t="s">
        <v>326</v>
      </c>
      <c r="G266" s="10" t="s">
        <v>388</v>
      </c>
      <c r="H266" s="9" t="s">
        <v>88</v>
      </c>
      <c r="I266" s="11">
        <v>13.972614999999999</v>
      </c>
      <c r="J266" s="11">
        <v>107.988967</v>
      </c>
      <c r="K266" s="9" t="s">
        <v>329</v>
      </c>
      <c r="L266" s="10"/>
      <c r="M266" s="12" t="s">
        <v>51</v>
      </c>
      <c r="N266" s="13" t="s">
        <v>52</v>
      </c>
      <c r="O266" s="14"/>
      <c r="P266" s="14"/>
      <c r="Q266" s="13" t="s">
        <v>53</v>
      </c>
      <c r="R266" s="15" t="s">
        <v>54</v>
      </c>
      <c r="S266" s="13" t="s">
        <v>55</v>
      </c>
      <c r="T266" s="13" t="s">
        <v>861</v>
      </c>
      <c r="U266" s="16" t="str">
        <f t="shared" si="8"/>
        <v/>
      </c>
      <c r="V266" s="17" t="str">
        <f t="shared" si="9"/>
        <v>OK</v>
      </c>
    </row>
    <row r="267" spans="1:22" x14ac:dyDescent="0.25">
      <c r="A267" s="9">
        <v>263</v>
      </c>
      <c r="B267" s="9" t="s">
        <v>862</v>
      </c>
      <c r="C267" s="9" t="s">
        <v>323</v>
      </c>
      <c r="D267" s="10" t="s">
        <v>863</v>
      </c>
      <c r="E267" s="9" t="s">
        <v>179</v>
      </c>
      <c r="F267" s="9" t="s">
        <v>326</v>
      </c>
      <c r="G267" s="10" t="s">
        <v>388</v>
      </c>
      <c r="H267" s="9" t="s">
        <v>88</v>
      </c>
      <c r="I267" s="11">
        <v>13.980119999999999</v>
      </c>
      <c r="J267" s="11">
        <v>107.99629899999999</v>
      </c>
      <c r="K267" s="9" t="s">
        <v>329</v>
      </c>
      <c r="L267" s="10"/>
      <c r="M267" s="12" t="s">
        <v>51</v>
      </c>
      <c r="N267" s="13" t="s">
        <v>62</v>
      </c>
      <c r="O267" s="14">
        <v>13.979264000000001</v>
      </c>
      <c r="P267" s="14">
        <v>107.993432</v>
      </c>
      <c r="Q267" s="13" t="s">
        <v>53</v>
      </c>
      <c r="R267" s="15" t="s">
        <v>54</v>
      </c>
      <c r="S267" s="13" t="s">
        <v>55</v>
      </c>
      <c r="T267" s="13" t="s">
        <v>864</v>
      </c>
      <c r="U267" s="16">
        <f t="shared" si="8"/>
        <v>324</v>
      </c>
      <c r="V267" s="17" t="str">
        <f t="shared" si="9"/>
        <v>OK</v>
      </c>
    </row>
    <row r="268" spans="1:22" x14ac:dyDescent="0.25">
      <c r="A268" s="9">
        <v>264</v>
      </c>
      <c r="B268" s="9" t="s">
        <v>865</v>
      </c>
      <c r="C268" s="9" t="s">
        <v>323</v>
      </c>
      <c r="D268" s="10" t="s">
        <v>866</v>
      </c>
      <c r="E268" s="9" t="s">
        <v>179</v>
      </c>
      <c r="F268" s="9" t="s">
        <v>326</v>
      </c>
      <c r="G268" s="10" t="s">
        <v>388</v>
      </c>
      <c r="H268" s="9" t="s">
        <v>88</v>
      </c>
      <c r="I268" s="11">
        <v>13.983238999999999</v>
      </c>
      <c r="J268" s="11">
        <v>107.991046</v>
      </c>
      <c r="K268" s="9" t="s">
        <v>329</v>
      </c>
      <c r="L268" s="10"/>
      <c r="M268" s="12" t="s">
        <v>51</v>
      </c>
      <c r="N268" s="13" t="s">
        <v>62</v>
      </c>
      <c r="O268" s="14">
        <v>13.983252999999999</v>
      </c>
      <c r="P268" s="14">
        <v>107.99339999999999</v>
      </c>
      <c r="Q268" s="13" t="s">
        <v>53</v>
      </c>
      <c r="R268" s="15" t="s">
        <v>54</v>
      </c>
      <c r="S268" s="13" t="s">
        <v>55</v>
      </c>
      <c r="T268" s="13" t="s">
        <v>867</v>
      </c>
      <c r="U268" s="16">
        <f t="shared" si="8"/>
        <v>254</v>
      </c>
      <c r="V268" s="17" t="str">
        <f t="shared" si="9"/>
        <v>OK</v>
      </c>
    </row>
    <row r="269" spans="1:22" x14ac:dyDescent="0.25">
      <c r="A269" s="9">
        <v>265</v>
      </c>
      <c r="B269" s="9" t="s">
        <v>868</v>
      </c>
      <c r="C269" s="9" t="s">
        <v>323</v>
      </c>
      <c r="D269" s="10" t="s">
        <v>869</v>
      </c>
      <c r="E269" s="9" t="s">
        <v>179</v>
      </c>
      <c r="F269" s="9" t="s">
        <v>326</v>
      </c>
      <c r="G269" s="10" t="s">
        <v>388</v>
      </c>
      <c r="H269" s="9" t="s">
        <v>88</v>
      </c>
      <c r="I269" s="11">
        <v>13.978301999999999</v>
      </c>
      <c r="J269" s="11">
        <v>107.986994</v>
      </c>
      <c r="K269" s="9" t="s">
        <v>329</v>
      </c>
      <c r="L269" s="10"/>
      <c r="M269" s="12" t="s">
        <v>51</v>
      </c>
      <c r="N269" s="13" t="s">
        <v>62</v>
      </c>
      <c r="O269" s="14">
        <v>13.979290000000001</v>
      </c>
      <c r="P269" s="14">
        <v>107.993571</v>
      </c>
      <c r="Q269" s="13" t="s">
        <v>53</v>
      </c>
      <c r="R269" s="15" t="s">
        <v>54</v>
      </c>
      <c r="S269" s="13" t="s">
        <v>55</v>
      </c>
      <c r="T269" s="13" t="s">
        <v>870</v>
      </c>
      <c r="U269" s="16">
        <f t="shared" si="8"/>
        <v>719</v>
      </c>
      <c r="V269" s="17" t="str">
        <f t="shared" si="9"/>
        <v>OK</v>
      </c>
    </row>
    <row r="270" spans="1:22" x14ac:dyDescent="0.25">
      <c r="A270" s="9">
        <v>266</v>
      </c>
      <c r="B270" s="9" t="s">
        <v>871</v>
      </c>
      <c r="C270" s="9" t="s">
        <v>323</v>
      </c>
      <c r="D270" s="10" t="s">
        <v>872</v>
      </c>
      <c r="E270" s="9" t="s">
        <v>179</v>
      </c>
      <c r="F270" s="9" t="s">
        <v>326</v>
      </c>
      <c r="G270" s="10" t="s">
        <v>388</v>
      </c>
      <c r="H270" s="9" t="s">
        <v>88</v>
      </c>
      <c r="I270" s="11">
        <v>13.980267</v>
      </c>
      <c r="J270" s="11">
        <v>107.989479</v>
      </c>
      <c r="K270" s="9" t="s">
        <v>329</v>
      </c>
      <c r="L270" s="10"/>
      <c r="M270" s="12" t="s">
        <v>51</v>
      </c>
      <c r="N270" s="13" t="s">
        <v>52</v>
      </c>
      <c r="O270" s="14"/>
      <c r="P270" s="14"/>
      <c r="Q270" s="13" t="s">
        <v>53</v>
      </c>
      <c r="R270" s="15" t="s">
        <v>54</v>
      </c>
      <c r="S270" s="13" t="s">
        <v>55</v>
      </c>
      <c r="T270" s="13" t="s">
        <v>873</v>
      </c>
      <c r="U270" s="16" t="str">
        <f t="shared" si="8"/>
        <v/>
      </c>
      <c r="V270" s="17" t="str">
        <f t="shared" si="9"/>
        <v>OK</v>
      </c>
    </row>
    <row r="271" spans="1:22" x14ac:dyDescent="0.25">
      <c r="A271" s="9">
        <v>267</v>
      </c>
      <c r="B271" s="9" t="s">
        <v>874</v>
      </c>
      <c r="C271" s="9" t="s">
        <v>323</v>
      </c>
      <c r="D271" s="10" t="s">
        <v>875</v>
      </c>
      <c r="E271" s="9" t="s">
        <v>179</v>
      </c>
      <c r="F271" s="9" t="s">
        <v>326</v>
      </c>
      <c r="G271" s="10" t="s">
        <v>388</v>
      </c>
      <c r="H271" s="9" t="s">
        <v>88</v>
      </c>
      <c r="I271" s="11">
        <v>13.976554</v>
      </c>
      <c r="J271" s="11">
        <v>108.000868</v>
      </c>
      <c r="K271" s="9" t="s">
        <v>329</v>
      </c>
      <c r="L271" s="10"/>
      <c r="M271" s="12" t="s">
        <v>51</v>
      </c>
      <c r="N271" s="13" t="s">
        <v>62</v>
      </c>
      <c r="O271" s="14">
        <v>13.976296</v>
      </c>
      <c r="P271" s="14">
        <v>107.992159</v>
      </c>
      <c r="Q271" s="13" t="s">
        <v>53</v>
      </c>
      <c r="R271" s="15" t="s">
        <v>54</v>
      </c>
      <c r="S271" s="13" t="s">
        <v>55</v>
      </c>
      <c r="T271" s="13" t="s">
        <v>876</v>
      </c>
      <c r="U271" s="16">
        <f t="shared" si="8"/>
        <v>941</v>
      </c>
      <c r="V271" s="17" t="str">
        <f t="shared" si="9"/>
        <v>OK</v>
      </c>
    </row>
    <row r="272" spans="1:22" x14ac:dyDescent="0.25">
      <c r="A272" s="9">
        <v>268</v>
      </c>
      <c r="B272" s="9" t="s">
        <v>877</v>
      </c>
      <c r="C272" s="9" t="s">
        <v>323</v>
      </c>
      <c r="D272" s="10" t="s">
        <v>878</v>
      </c>
      <c r="E272" s="9" t="s">
        <v>179</v>
      </c>
      <c r="F272" s="9" t="s">
        <v>326</v>
      </c>
      <c r="G272" s="10" t="s">
        <v>388</v>
      </c>
      <c r="H272" s="9" t="s">
        <v>88</v>
      </c>
      <c r="I272" s="11">
        <v>13.970364</v>
      </c>
      <c r="J272" s="11">
        <v>107.999584</v>
      </c>
      <c r="K272" s="9" t="s">
        <v>329</v>
      </c>
      <c r="L272" s="10"/>
      <c r="M272" s="12" t="s">
        <v>51</v>
      </c>
      <c r="N272" s="13" t="s">
        <v>52</v>
      </c>
      <c r="O272" s="14"/>
      <c r="P272" s="14"/>
      <c r="Q272" s="13" t="s">
        <v>53</v>
      </c>
      <c r="R272" s="15" t="s">
        <v>54</v>
      </c>
      <c r="S272" s="13" t="s">
        <v>55</v>
      </c>
      <c r="T272" s="13" t="s">
        <v>879</v>
      </c>
      <c r="U272" s="16" t="str">
        <f t="shared" si="8"/>
        <v/>
      </c>
      <c r="V272" s="17" t="str">
        <f t="shared" si="9"/>
        <v>OK</v>
      </c>
    </row>
    <row r="273" spans="1:22" ht="25.5" x14ac:dyDescent="0.25">
      <c r="A273" s="9">
        <v>269</v>
      </c>
      <c r="B273" s="9" t="s">
        <v>880</v>
      </c>
      <c r="C273" s="9" t="s">
        <v>323</v>
      </c>
      <c r="D273" s="10" t="s">
        <v>881</v>
      </c>
      <c r="E273" s="9" t="s">
        <v>179</v>
      </c>
      <c r="F273" s="9" t="s">
        <v>326</v>
      </c>
      <c r="G273" s="10" t="s">
        <v>882</v>
      </c>
      <c r="H273" s="9" t="s">
        <v>88</v>
      </c>
      <c r="I273" s="11">
        <v>13.979965</v>
      </c>
      <c r="J273" s="11">
        <v>107.998626</v>
      </c>
      <c r="K273" s="9" t="s">
        <v>329</v>
      </c>
      <c r="L273" s="10"/>
      <c r="M273" s="12" t="s">
        <v>51</v>
      </c>
      <c r="N273" s="13" t="s">
        <v>52</v>
      </c>
      <c r="O273" s="14"/>
      <c r="P273" s="14"/>
      <c r="Q273" s="13" t="s">
        <v>53</v>
      </c>
      <c r="R273" s="15" t="s">
        <v>54</v>
      </c>
      <c r="S273" s="13" t="s">
        <v>55</v>
      </c>
      <c r="T273" s="13" t="s">
        <v>883</v>
      </c>
      <c r="U273" s="16" t="str">
        <f t="shared" si="8"/>
        <v/>
      </c>
      <c r="V273" s="17" t="str">
        <f t="shared" si="9"/>
        <v>OK</v>
      </c>
    </row>
    <row r="274" spans="1:22" ht="25.5" x14ac:dyDescent="0.25">
      <c r="A274" s="9">
        <v>270</v>
      </c>
      <c r="B274" s="9" t="s">
        <v>884</v>
      </c>
      <c r="C274" s="9" t="s">
        <v>323</v>
      </c>
      <c r="D274" s="10" t="s">
        <v>881</v>
      </c>
      <c r="E274" s="9" t="s">
        <v>179</v>
      </c>
      <c r="F274" s="9" t="s">
        <v>326</v>
      </c>
      <c r="G274" s="10" t="s">
        <v>882</v>
      </c>
      <c r="H274" s="9" t="s">
        <v>88</v>
      </c>
      <c r="I274" s="11">
        <v>13.97996</v>
      </c>
      <c r="J274" s="11">
        <v>107.998649</v>
      </c>
      <c r="K274" s="9" t="s">
        <v>329</v>
      </c>
      <c r="L274" s="10"/>
      <c r="M274" s="12" t="s">
        <v>51</v>
      </c>
      <c r="N274" s="13" t="s">
        <v>52</v>
      </c>
      <c r="O274" s="14"/>
      <c r="P274" s="14"/>
      <c r="Q274" s="13" t="s">
        <v>53</v>
      </c>
      <c r="R274" s="15" t="s">
        <v>54</v>
      </c>
      <c r="S274" s="13" t="s">
        <v>55</v>
      </c>
      <c r="T274" s="13" t="s">
        <v>885</v>
      </c>
      <c r="U274" s="16" t="str">
        <f t="shared" si="8"/>
        <v/>
      </c>
      <c r="V274" s="17" t="str">
        <f t="shared" si="9"/>
        <v>OK</v>
      </c>
    </row>
    <row r="275" spans="1:22" x14ac:dyDescent="0.25">
      <c r="A275" s="9">
        <v>271</v>
      </c>
      <c r="B275" s="9" t="s">
        <v>886</v>
      </c>
      <c r="C275" s="9" t="s">
        <v>323</v>
      </c>
      <c r="D275" s="10" t="s">
        <v>887</v>
      </c>
      <c r="E275" s="9" t="s">
        <v>179</v>
      </c>
      <c r="F275" s="9" t="s">
        <v>326</v>
      </c>
      <c r="G275" s="10" t="s">
        <v>417</v>
      </c>
      <c r="H275" s="9" t="s">
        <v>48</v>
      </c>
      <c r="I275" s="11">
        <v>13.964694</v>
      </c>
      <c r="J275" s="11">
        <v>108.017303</v>
      </c>
      <c r="K275" s="9" t="s">
        <v>329</v>
      </c>
      <c r="L275" s="10"/>
      <c r="M275" s="12" t="s">
        <v>51</v>
      </c>
      <c r="N275" s="13" t="s">
        <v>52</v>
      </c>
      <c r="O275" s="14"/>
      <c r="P275" s="14"/>
      <c r="Q275" s="13" t="s">
        <v>53</v>
      </c>
      <c r="R275" s="15" t="s">
        <v>54</v>
      </c>
      <c r="S275" s="13" t="s">
        <v>55</v>
      </c>
      <c r="T275" s="13" t="s">
        <v>888</v>
      </c>
      <c r="U275" s="16" t="str">
        <f t="shared" si="8"/>
        <v/>
      </c>
      <c r="V275" s="17" t="str">
        <f t="shared" si="9"/>
        <v>OK</v>
      </c>
    </row>
    <row r="276" spans="1:22" x14ac:dyDescent="0.25">
      <c r="A276" s="9">
        <v>272</v>
      </c>
      <c r="B276" s="9" t="s">
        <v>889</v>
      </c>
      <c r="C276" s="9" t="s">
        <v>323</v>
      </c>
      <c r="D276" s="10" t="s">
        <v>890</v>
      </c>
      <c r="E276" s="9" t="s">
        <v>179</v>
      </c>
      <c r="F276" s="9" t="s">
        <v>326</v>
      </c>
      <c r="G276" s="10" t="s">
        <v>417</v>
      </c>
      <c r="H276" s="9" t="s">
        <v>48</v>
      </c>
      <c r="I276" s="11">
        <v>13.963552999999999</v>
      </c>
      <c r="J276" s="11">
        <v>108.02049599999999</v>
      </c>
      <c r="K276" s="9" t="s">
        <v>329</v>
      </c>
      <c r="L276" s="10"/>
      <c r="M276" s="12" t="s">
        <v>51</v>
      </c>
      <c r="N276" s="13" t="s">
        <v>52</v>
      </c>
      <c r="O276" s="14"/>
      <c r="P276" s="14"/>
      <c r="Q276" s="13" t="s">
        <v>53</v>
      </c>
      <c r="R276" s="15" t="s">
        <v>54</v>
      </c>
      <c r="S276" s="13" t="s">
        <v>55</v>
      </c>
      <c r="T276" s="13" t="s">
        <v>891</v>
      </c>
      <c r="U276" s="16" t="str">
        <f t="shared" si="8"/>
        <v/>
      </c>
      <c r="V276" s="17" t="str">
        <f t="shared" si="9"/>
        <v>OK</v>
      </c>
    </row>
    <row r="277" spans="1:22" x14ac:dyDescent="0.25">
      <c r="A277" s="9">
        <v>273</v>
      </c>
      <c r="B277" s="9" t="s">
        <v>892</v>
      </c>
      <c r="C277" s="9" t="s">
        <v>323</v>
      </c>
      <c r="D277" s="10" t="s">
        <v>893</v>
      </c>
      <c r="E277" s="9" t="s">
        <v>179</v>
      </c>
      <c r="F277" s="9" t="s">
        <v>326</v>
      </c>
      <c r="G277" s="10" t="s">
        <v>417</v>
      </c>
      <c r="H277" s="9" t="s">
        <v>48</v>
      </c>
      <c r="I277" s="11">
        <v>13.970603000000001</v>
      </c>
      <c r="J277" s="11">
        <v>108.026391</v>
      </c>
      <c r="K277" s="9" t="s">
        <v>329</v>
      </c>
      <c r="L277" s="10"/>
      <c r="M277" s="12" t="s">
        <v>51</v>
      </c>
      <c r="N277" s="13" t="s">
        <v>52</v>
      </c>
      <c r="O277" s="14"/>
      <c r="P277" s="14"/>
      <c r="Q277" s="13" t="s">
        <v>53</v>
      </c>
      <c r="R277" s="15" t="s">
        <v>54</v>
      </c>
      <c r="S277" s="13" t="s">
        <v>55</v>
      </c>
      <c r="T277" s="13" t="s">
        <v>894</v>
      </c>
      <c r="U277" s="16" t="str">
        <f t="shared" si="8"/>
        <v/>
      </c>
      <c r="V277" s="17" t="str">
        <f t="shared" si="9"/>
        <v>OK</v>
      </c>
    </row>
    <row r="278" spans="1:22" ht="25.5" x14ac:dyDescent="0.25">
      <c r="A278" s="9">
        <v>274</v>
      </c>
      <c r="B278" s="9" t="s">
        <v>895</v>
      </c>
      <c r="C278" s="9" t="s">
        <v>323</v>
      </c>
      <c r="D278" s="10" t="s">
        <v>896</v>
      </c>
      <c r="E278" s="9" t="s">
        <v>179</v>
      </c>
      <c r="F278" s="9" t="s">
        <v>326</v>
      </c>
      <c r="G278" s="10" t="s">
        <v>897</v>
      </c>
      <c r="H278" s="9" t="s">
        <v>60</v>
      </c>
      <c r="I278" s="11">
        <v>13.976794</v>
      </c>
      <c r="J278" s="11">
        <v>108.002227</v>
      </c>
      <c r="K278" s="9" t="s">
        <v>329</v>
      </c>
      <c r="L278" s="10"/>
      <c r="M278" s="12" t="s">
        <v>51</v>
      </c>
      <c r="N278" s="13" t="s">
        <v>52</v>
      </c>
      <c r="O278" s="14"/>
      <c r="P278" s="14"/>
      <c r="Q278" s="13" t="s">
        <v>53</v>
      </c>
      <c r="R278" s="15" t="s">
        <v>54</v>
      </c>
      <c r="S278" s="13" t="s">
        <v>55</v>
      </c>
      <c r="T278" s="13" t="s">
        <v>898</v>
      </c>
      <c r="U278" s="16" t="str">
        <f t="shared" si="8"/>
        <v/>
      </c>
      <c r="V278" s="17" t="str">
        <f t="shared" si="9"/>
        <v>OK</v>
      </c>
    </row>
    <row r="279" spans="1:22" ht="25.5" x14ac:dyDescent="0.25">
      <c r="A279" s="9">
        <v>275</v>
      </c>
      <c r="B279" s="9" t="s">
        <v>899</v>
      </c>
      <c r="C279" s="9" t="s">
        <v>323</v>
      </c>
      <c r="D279" s="10" t="s">
        <v>900</v>
      </c>
      <c r="E279" s="9" t="s">
        <v>179</v>
      </c>
      <c r="F279" s="9" t="s">
        <v>326</v>
      </c>
      <c r="G279" s="10" t="s">
        <v>148</v>
      </c>
      <c r="H279" s="9" t="s">
        <v>60</v>
      </c>
      <c r="I279" s="11">
        <v>13.979495999999999</v>
      </c>
      <c r="J279" s="11">
        <v>107.999217</v>
      </c>
      <c r="K279" s="9" t="s">
        <v>329</v>
      </c>
      <c r="L279" s="10"/>
      <c r="M279" s="12" t="s">
        <v>51</v>
      </c>
      <c r="N279" s="13" t="s">
        <v>52</v>
      </c>
      <c r="O279" s="14"/>
      <c r="P279" s="14"/>
      <c r="Q279" s="13" t="s">
        <v>53</v>
      </c>
      <c r="R279" s="15" t="s">
        <v>54</v>
      </c>
      <c r="S279" s="13" t="s">
        <v>55</v>
      </c>
      <c r="T279" s="13" t="s">
        <v>901</v>
      </c>
      <c r="U279" s="16" t="str">
        <f t="shared" si="8"/>
        <v/>
      </c>
      <c r="V279" s="17" t="str">
        <f t="shared" si="9"/>
        <v>OK</v>
      </c>
    </row>
    <row r="280" spans="1:22" ht="25.5" x14ac:dyDescent="0.25">
      <c r="A280" s="9">
        <v>276</v>
      </c>
      <c r="B280" s="9" t="s">
        <v>902</v>
      </c>
      <c r="C280" s="9" t="s">
        <v>323</v>
      </c>
      <c r="D280" s="10" t="s">
        <v>903</v>
      </c>
      <c r="E280" s="9" t="s">
        <v>179</v>
      </c>
      <c r="F280" s="9" t="s">
        <v>326</v>
      </c>
      <c r="G280" s="10" t="s">
        <v>904</v>
      </c>
      <c r="H280" s="9" t="s">
        <v>60</v>
      </c>
      <c r="I280" s="11">
        <v>13.97241</v>
      </c>
      <c r="J280" s="11">
        <v>108.014668</v>
      </c>
      <c r="K280" s="9" t="s">
        <v>329</v>
      </c>
      <c r="L280" s="10"/>
      <c r="M280" s="12" t="s">
        <v>51</v>
      </c>
      <c r="N280" s="13" t="s">
        <v>52</v>
      </c>
      <c r="O280" s="14"/>
      <c r="P280" s="14"/>
      <c r="Q280" s="13" t="s">
        <v>53</v>
      </c>
      <c r="R280" s="15" t="s">
        <v>54</v>
      </c>
      <c r="S280" s="13" t="s">
        <v>55</v>
      </c>
      <c r="T280" s="13" t="s">
        <v>905</v>
      </c>
      <c r="U280" s="16" t="str">
        <f t="shared" si="8"/>
        <v/>
      </c>
      <c r="V280" s="17" t="str">
        <f t="shared" si="9"/>
        <v>OK</v>
      </c>
    </row>
    <row r="281" spans="1:22" x14ac:dyDescent="0.25">
      <c r="A281" s="9">
        <v>277</v>
      </c>
      <c r="B281" s="9" t="s">
        <v>906</v>
      </c>
      <c r="C281" s="9" t="s">
        <v>323</v>
      </c>
      <c r="D281" s="10" t="s">
        <v>907</v>
      </c>
      <c r="E281" s="9" t="s">
        <v>179</v>
      </c>
      <c r="F281" s="9" t="s">
        <v>326</v>
      </c>
      <c r="G281" s="10" t="s">
        <v>148</v>
      </c>
      <c r="H281" s="9" t="s">
        <v>60</v>
      </c>
      <c r="I281" s="11">
        <v>13.978379</v>
      </c>
      <c r="J281" s="11">
        <v>108.01444600000001</v>
      </c>
      <c r="K281" s="9" t="s">
        <v>329</v>
      </c>
      <c r="L281" s="10"/>
      <c r="M281" s="12" t="s">
        <v>51</v>
      </c>
      <c r="N281" s="13" t="s">
        <v>52</v>
      </c>
      <c r="O281" s="14"/>
      <c r="P281" s="14"/>
      <c r="Q281" s="13" t="s">
        <v>53</v>
      </c>
      <c r="R281" s="15" t="s">
        <v>54</v>
      </c>
      <c r="S281" s="13" t="s">
        <v>55</v>
      </c>
      <c r="T281" s="13" t="s">
        <v>908</v>
      </c>
      <c r="U281" s="16" t="str">
        <f t="shared" si="8"/>
        <v/>
      </c>
      <c r="V281" s="17" t="str">
        <f t="shared" si="9"/>
        <v>OK</v>
      </c>
    </row>
    <row r="282" spans="1:22" x14ac:dyDescent="0.25">
      <c r="A282" s="9">
        <v>278</v>
      </c>
      <c r="B282" s="9" t="s">
        <v>909</v>
      </c>
      <c r="C282" s="9" t="s">
        <v>323</v>
      </c>
      <c r="D282" s="10" t="s">
        <v>910</v>
      </c>
      <c r="E282" s="9" t="s">
        <v>179</v>
      </c>
      <c r="F282" s="9" t="s">
        <v>326</v>
      </c>
      <c r="G282" s="10" t="s">
        <v>148</v>
      </c>
      <c r="H282" s="9" t="s">
        <v>60</v>
      </c>
      <c r="I282" s="11">
        <v>13.979419</v>
      </c>
      <c r="J282" s="11">
        <v>108.01063600000001</v>
      </c>
      <c r="K282" s="9" t="s">
        <v>329</v>
      </c>
      <c r="L282" s="10"/>
      <c r="M282" s="12" t="s">
        <v>51</v>
      </c>
      <c r="N282" s="13" t="s">
        <v>52</v>
      </c>
      <c r="O282" s="14"/>
      <c r="P282" s="14"/>
      <c r="Q282" s="13" t="s">
        <v>53</v>
      </c>
      <c r="R282" s="15" t="s">
        <v>54</v>
      </c>
      <c r="S282" s="13" t="s">
        <v>55</v>
      </c>
      <c r="T282" s="13" t="s">
        <v>911</v>
      </c>
      <c r="U282" s="16" t="str">
        <f t="shared" si="8"/>
        <v/>
      </c>
      <c r="V282" s="17" t="str">
        <f t="shared" si="9"/>
        <v>OK</v>
      </c>
    </row>
    <row r="283" spans="1:22" x14ac:dyDescent="0.25">
      <c r="A283" s="9">
        <v>279</v>
      </c>
      <c r="B283" s="9" t="s">
        <v>912</v>
      </c>
      <c r="C283" s="9" t="s">
        <v>323</v>
      </c>
      <c r="D283" s="10" t="s">
        <v>913</v>
      </c>
      <c r="E283" s="9" t="s">
        <v>179</v>
      </c>
      <c r="F283" s="9" t="s">
        <v>326</v>
      </c>
      <c r="G283" s="10" t="s">
        <v>148</v>
      </c>
      <c r="H283" s="9" t="s">
        <v>60</v>
      </c>
      <c r="I283" s="11">
        <v>13.976822</v>
      </c>
      <c r="J283" s="11">
        <v>108.006305</v>
      </c>
      <c r="K283" s="9" t="s">
        <v>329</v>
      </c>
      <c r="L283" s="10"/>
      <c r="M283" s="12" t="s">
        <v>51</v>
      </c>
      <c r="N283" s="13" t="s">
        <v>62</v>
      </c>
      <c r="O283" s="14">
        <v>13.976448</v>
      </c>
      <c r="P283" s="14">
        <v>108.00635699999999</v>
      </c>
      <c r="Q283" s="13" t="s">
        <v>53</v>
      </c>
      <c r="R283" s="15" t="s">
        <v>54</v>
      </c>
      <c r="S283" s="13" t="s">
        <v>55</v>
      </c>
      <c r="T283" s="13" t="s">
        <v>914</v>
      </c>
      <c r="U283" s="16">
        <f t="shared" si="8"/>
        <v>42</v>
      </c>
      <c r="V283" s="17" t="str">
        <f t="shared" si="9"/>
        <v>OK</v>
      </c>
    </row>
    <row r="284" spans="1:22" x14ac:dyDescent="0.25">
      <c r="A284" s="9">
        <v>280</v>
      </c>
      <c r="B284" s="9" t="s">
        <v>915</v>
      </c>
      <c r="C284" s="9" t="s">
        <v>323</v>
      </c>
      <c r="D284" s="10" t="s">
        <v>916</v>
      </c>
      <c r="E284" s="9" t="s">
        <v>179</v>
      </c>
      <c r="F284" s="9" t="s">
        <v>326</v>
      </c>
      <c r="G284" s="10" t="s">
        <v>148</v>
      </c>
      <c r="H284" s="9" t="s">
        <v>60</v>
      </c>
      <c r="I284" s="11">
        <v>13.981437</v>
      </c>
      <c r="J284" s="11">
        <v>108.00019500000001</v>
      </c>
      <c r="K284" s="9" t="s">
        <v>329</v>
      </c>
      <c r="L284" s="10"/>
      <c r="M284" s="12" t="s">
        <v>51</v>
      </c>
      <c r="N284" s="13" t="s">
        <v>52</v>
      </c>
      <c r="O284" s="14"/>
      <c r="P284" s="14"/>
      <c r="Q284" s="13" t="s">
        <v>53</v>
      </c>
      <c r="R284" s="15" t="s">
        <v>54</v>
      </c>
      <c r="S284" s="13" t="s">
        <v>55</v>
      </c>
      <c r="T284" s="13" t="s">
        <v>917</v>
      </c>
      <c r="U284" s="16" t="str">
        <f t="shared" si="8"/>
        <v/>
      </c>
      <c r="V284" s="17" t="str">
        <f t="shared" si="9"/>
        <v>OK</v>
      </c>
    </row>
    <row r="285" spans="1:22" x14ac:dyDescent="0.25">
      <c r="A285" s="9">
        <v>281</v>
      </c>
      <c r="B285" s="9" t="s">
        <v>918</v>
      </c>
      <c r="C285" s="9" t="s">
        <v>323</v>
      </c>
      <c r="D285" s="10" t="s">
        <v>919</v>
      </c>
      <c r="E285" s="9" t="s">
        <v>179</v>
      </c>
      <c r="F285" s="9" t="s">
        <v>326</v>
      </c>
      <c r="G285" s="10" t="s">
        <v>148</v>
      </c>
      <c r="H285" s="9" t="s">
        <v>60</v>
      </c>
      <c r="I285" s="11">
        <v>13.979938000000001</v>
      </c>
      <c r="J285" s="11">
        <v>107.99922100000001</v>
      </c>
      <c r="K285" s="9" t="s">
        <v>329</v>
      </c>
      <c r="L285" s="10"/>
      <c r="M285" s="12" t="s">
        <v>51</v>
      </c>
      <c r="N285" s="13" t="s">
        <v>52</v>
      </c>
      <c r="O285" s="14"/>
      <c r="P285" s="14"/>
      <c r="Q285" s="13" t="s">
        <v>53</v>
      </c>
      <c r="R285" s="15" t="s">
        <v>54</v>
      </c>
      <c r="S285" s="13" t="s">
        <v>55</v>
      </c>
      <c r="T285" s="13" t="s">
        <v>920</v>
      </c>
      <c r="U285" s="16" t="str">
        <f t="shared" si="8"/>
        <v/>
      </c>
      <c r="V285" s="17" t="str">
        <f t="shared" si="9"/>
        <v>OK</v>
      </c>
    </row>
    <row r="286" spans="1:22" x14ac:dyDescent="0.25">
      <c r="A286" s="9">
        <v>282</v>
      </c>
      <c r="B286" s="9" t="s">
        <v>921</v>
      </c>
      <c r="C286" s="9" t="s">
        <v>323</v>
      </c>
      <c r="D286" s="10" t="s">
        <v>922</v>
      </c>
      <c r="E286" s="9" t="s">
        <v>179</v>
      </c>
      <c r="F286" s="9" t="s">
        <v>326</v>
      </c>
      <c r="G286" s="10" t="s">
        <v>148</v>
      </c>
      <c r="H286" s="9" t="s">
        <v>60</v>
      </c>
      <c r="I286" s="11">
        <v>13.978643999999999</v>
      </c>
      <c r="J286" s="11">
        <v>108.011233</v>
      </c>
      <c r="K286" s="9" t="s">
        <v>329</v>
      </c>
      <c r="L286" s="10"/>
      <c r="M286" s="12" t="s">
        <v>51</v>
      </c>
      <c r="N286" s="13" t="s">
        <v>52</v>
      </c>
      <c r="O286" s="14"/>
      <c r="P286" s="14"/>
      <c r="Q286" s="13" t="s">
        <v>53</v>
      </c>
      <c r="R286" s="15" t="s">
        <v>54</v>
      </c>
      <c r="S286" s="13" t="s">
        <v>55</v>
      </c>
      <c r="T286" s="13" t="s">
        <v>923</v>
      </c>
      <c r="U286" s="16" t="str">
        <f t="shared" si="8"/>
        <v/>
      </c>
      <c r="V286" s="17" t="str">
        <f t="shared" si="9"/>
        <v>OK</v>
      </c>
    </row>
    <row r="287" spans="1:22" x14ac:dyDescent="0.25">
      <c r="A287" s="9">
        <v>283</v>
      </c>
      <c r="B287" s="9" t="s">
        <v>924</v>
      </c>
      <c r="C287" s="9" t="s">
        <v>323</v>
      </c>
      <c r="D287" s="10" t="s">
        <v>925</v>
      </c>
      <c r="E287" s="9" t="s">
        <v>179</v>
      </c>
      <c r="F287" s="9" t="s">
        <v>326</v>
      </c>
      <c r="G287" s="10" t="s">
        <v>148</v>
      </c>
      <c r="H287" s="9" t="s">
        <v>60</v>
      </c>
      <c r="I287" s="11">
        <v>13.969830999999999</v>
      </c>
      <c r="J287" s="11">
        <v>108.01844699999999</v>
      </c>
      <c r="K287" s="9" t="s">
        <v>329</v>
      </c>
      <c r="L287" s="10"/>
      <c r="M287" s="12" t="s">
        <v>51</v>
      </c>
      <c r="N287" s="13" t="s">
        <v>62</v>
      </c>
      <c r="O287" s="14">
        <v>13.970364999999999</v>
      </c>
      <c r="P287" s="14">
        <v>108.01853199999999</v>
      </c>
      <c r="Q287" s="13" t="s">
        <v>53</v>
      </c>
      <c r="R287" s="15" t="s">
        <v>54</v>
      </c>
      <c r="S287" s="13" t="s">
        <v>55</v>
      </c>
      <c r="T287" s="13" t="s">
        <v>926</v>
      </c>
      <c r="U287" s="16">
        <f t="shared" si="8"/>
        <v>60</v>
      </c>
      <c r="V287" s="17" t="str">
        <f t="shared" si="9"/>
        <v>OK</v>
      </c>
    </row>
    <row r="288" spans="1:22" x14ac:dyDescent="0.25">
      <c r="A288" s="9">
        <v>284</v>
      </c>
      <c r="B288" s="9" t="s">
        <v>927</v>
      </c>
      <c r="C288" s="9" t="s">
        <v>323</v>
      </c>
      <c r="D288" s="10" t="s">
        <v>928</v>
      </c>
      <c r="E288" s="9" t="s">
        <v>179</v>
      </c>
      <c r="F288" s="9" t="s">
        <v>326</v>
      </c>
      <c r="G288" s="10" t="s">
        <v>148</v>
      </c>
      <c r="H288" s="9" t="s">
        <v>60</v>
      </c>
      <c r="I288" s="11">
        <v>13.970573</v>
      </c>
      <c r="J288" s="11">
        <v>108.01572899999999</v>
      </c>
      <c r="K288" s="9" t="s">
        <v>329</v>
      </c>
      <c r="L288" s="10"/>
      <c r="M288" s="12" t="s">
        <v>51</v>
      </c>
      <c r="N288" s="13" t="s">
        <v>62</v>
      </c>
      <c r="O288" s="14">
        <v>13.972530000000001</v>
      </c>
      <c r="P288" s="14">
        <v>108.014253</v>
      </c>
      <c r="Q288" s="13" t="s">
        <v>53</v>
      </c>
      <c r="R288" s="15" t="s">
        <v>54</v>
      </c>
      <c r="S288" s="13" t="s">
        <v>55</v>
      </c>
      <c r="T288" s="13" t="s">
        <v>929</v>
      </c>
      <c r="U288" s="16">
        <f t="shared" si="8"/>
        <v>269</v>
      </c>
      <c r="V288" s="17" t="str">
        <f t="shared" si="9"/>
        <v>OK</v>
      </c>
    </row>
    <row r="289" spans="1:22" x14ac:dyDescent="0.25">
      <c r="A289" s="9">
        <v>285</v>
      </c>
      <c r="B289" s="9" t="s">
        <v>930</v>
      </c>
      <c r="C289" s="9" t="s">
        <v>323</v>
      </c>
      <c r="D289" s="10" t="s">
        <v>931</v>
      </c>
      <c r="E289" s="9" t="s">
        <v>179</v>
      </c>
      <c r="F289" s="9" t="s">
        <v>326</v>
      </c>
      <c r="G289" s="10" t="s">
        <v>148</v>
      </c>
      <c r="H289" s="9" t="s">
        <v>60</v>
      </c>
      <c r="I289" s="11">
        <v>13.978444</v>
      </c>
      <c r="J289" s="11">
        <v>108.01283100000001</v>
      </c>
      <c r="K289" s="9" t="s">
        <v>329</v>
      </c>
      <c r="L289" s="10"/>
      <c r="M289" s="12" t="s">
        <v>51</v>
      </c>
      <c r="N289" s="13" t="s">
        <v>62</v>
      </c>
      <c r="O289" s="14">
        <v>13.97899</v>
      </c>
      <c r="P289" s="14">
        <v>108.012292</v>
      </c>
      <c r="Q289" s="13" t="s">
        <v>53</v>
      </c>
      <c r="R289" s="15" t="s">
        <v>54</v>
      </c>
      <c r="S289" s="13" t="s">
        <v>55</v>
      </c>
      <c r="T289" s="13" t="s">
        <v>932</v>
      </c>
      <c r="U289" s="16">
        <f t="shared" si="8"/>
        <v>84</v>
      </c>
      <c r="V289" s="17" t="str">
        <f t="shared" si="9"/>
        <v>OK</v>
      </c>
    </row>
    <row r="290" spans="1:22" x14ac:dyDescent="0.25">
      <c r="A290" s="9">
        <v>286</v>
      </c>
      <c r="B290" s="9" t="s">
        <v>933</v>
      </c>
      <c r="C290" s="9" t="s">
        <v>323</v>
      </c>
      <c r="D290" s="10" t="s">
        <v>934</v>
      </c>
      <c r="E290" s="9" t="s">
        <v>179</v>
      </c>
      <c r="F290" s="9" t="s">
        <v>326</v>
      </c>
      <c r="G290" s="10" t="s">
        <v>148</v>
      </c>
      <c r="H290" s="9" t="s">
        <v>60</v>
      </c>
      <c r="I290" s="11">
        <v>13.975266</v>
      </c>
      <c r="J290" s="11">
        <v>108.015095</v>
      </c>
      <c r="K290" s="9" t="s">
        <v>329</v>
      </c>
      <c r="L290" s="10"/>
      <c r="M290" s="12" t="s">
        <v>51</v>
      </c>
      <c r="N290" s="13" t="s">
        <v>52</v>
      </c>
      <c r="O290" s="14"/>
      <c r="P290" s="14"/>
      <c r="Q290" s="13" t="s">
        <v>53</v>
      </c>
      <c r="R290" s="15" t="s">
        <v>54</v>
      </c>
      <c r="S290" s="13" t="s">
        <v>55</v>
      </c>
      <c r="T290" s="13" t="s">
        <v>935</v>
      </c>
      <c r="U290" s="16" t="str">
        <f t="shared" si="8"/>
        <v/>
      </c>
      <c r="V290" s="17" t="str">
        <f t="shared" si="9"/>
        <v>OK</v>
      </c>
    </row>
    <row r="291" spans="1:22" x14ac:dyDescent="0.25">
      <c r="A291" s="9">
        <v>287</v>
      </c>
      <c r="B291" s="9" t="s">
        <v>936</v>
      </c>
      <c r="C291" s="9" t="s">
        <v>323</v>
      </c>
      <c r="D291" s="10" t="s">
        <v>937</v>
      </c>
      <c r="E291" s="9" t="s">
        <v>179</v>
      </c>
      <c r="F291" s="9" t="s">
        <v>326</v>
      </c>
      <c r="G291" s="10" t="s">
        <v>148</v>
      </c>
      <c r="H291" s="9" t="s">
        <v>60</v>
      </c>
      <c r="I291" s="11">
        <v>13.981680000000001</v>
      </c>
      <c r="J291" s="11">
        <v>108.00838899999999</v>
      </c>
      <c r="K291" s="9" t="s">
        <v>329</v>
      </c>
      <c r="L291" s="10"/>
      <c r="M291" s="12" t="s">
        <v>51</v>
      </c>
      <c r="N291" s="13" t="s">
        <v>62</v>
      </c>
      <c r="O291" s="14">
        <v>13.98526</v>
      </c>
      <c r="P291" s="14">
        <v>108.007592</v>
      </c>
      <c r="Q291" s="13" t="s">
        <v>53</v>
      </c>
      <c r="R291" s="15" t="s">
        <v>54</v>
      </c>
      <c r="S291" s="13" t="s">
        <v>55</v>
      </c>
      <c r="T291" s="13" t="s">
        <v>938</v>
      </c>
      <c r="U291" s="16">
        <f t="shared" si="8"/>
        <v>405</v>
      </c>
      <c r="V291" s="17" t="str">
        <f t="shared" si="9"/>
        <v>OK</v>
      </c>
    </row>
    <row r="292" spans="1:22" ht="25.5" x14ac:dyDescent="0.25">
      <c r="A292" s="9">
        <v>288</v>
      </c>
      <c r="B292" s="9" t="s">
        <v>939</v>
      </c>
      <c r="C292" s="9" t="s">
        <v>323</v>
      </c>
      <c r="D292" s="10" t="s">
        <v>940</v>
      </c>
      <c r="E292" s="9" t="s">
        <v>179</v>
      </c>
      <c r="F292" s="9" t="s">
        <v>326</v>
      </c>
      <c r="G292" s="10" t="s">
        <v>941</v>
      </c>
      <c r="H292" s="9" t="s">
        <v>60</v>
      </c>
      <c r="I292" s="11">
        <v>13.970082</v>
      </c>
      <c r="J292" s="11">
        <v>108.014993</v>
      </c>
      <c r="K292" s="9" t="s">
        <v>329</v>
      </c>
      <c r="L292" s="10"/>
      <c r="M292" s="12" t="s">
        <v>51</v>
      </c>
      <c r="N292" s="13" t="s">
        <v>62</v>
      </c>
      <c r="O292" s="14">
        <v>13.969942</v>
      </c>
      <c r="P292" s="14">
        <v>108.01544</v>
      </c>
      <c r="Q292" s="13" t="s">
        <v>53</v>
      </c>
      <c r="R292" s="15" t="s">
        <v>54</v>
      </c>
      <c r="S292" s="13" t="s">
        <v>55</v>
      </c>
      <c r="T292" s="13" t="s">
        <v>942</v>
      </c>
      <c r="U292" s="16">
        <f t="shared" si="8"/>
        <v>51</v>
      </c>
      <c r="V292" s="17" t="str">
        <f t="shared" si="9"/>
        <v>OK</v>
      </c>
    </row>
    <row r="293" spans="1:22" ht="25.5" x14ac:dyDescent="0.25">
      <c r="A293" s="9">
        <v>289</v>
      </c>
      <c r="B293" s="9" t="s">
        <v>943</v>
      </c>
      <c r="C293" s="9" t="s">
        <v>323</v>
      </c>
      <c r="D293" s="10" t="s">
        <v>944</v>
      </c>
      <c r="E293" s="9" t="s">
        <v>179</v>
      </c>
      <c r="F293" s="9" t="s">
        <v>326</v>
      </c>
      <c r="G293" s="10" t="s">
        <v>945</v>
      </c>
      <c r="H293" s="9" t="s">
        <v>110</v>
      </c>
      <c r="I293" s="11">
        <v>14.009646</v>
      </c>
      <c r="J293" s="11">
        <v>107.993393</v>
      </c>
      <c r="K293" s="9" t="s">
        <v>329</v>
      </c>
      <c r="L293" s="10"/>
      <c r="M293" s="12" t="s">
        <v>51</v>
      </c>
      <c r="N293" s="13" t="s">
        <v>52</v>
      </c>
      <c r="O293" s="14"/>
      <c r="P293" s="14"/>
      <c r="Q293" s="13" t="s">
        <v>53</v>
      </c>
      <c r="R293" s="15" t="s">
        <v>54</v>
      </c>
      <c r="S293" s="13" t="s">
        <v>55</v>
      </c>
      <c r="T293" s="13" t="s">
        <v>946</v>
      </c>
      <c r="U293" s="16" t="str">
        <f t="shared" si="8"/>
        <v/>
      </c>
      <c r="V293" s="17" t="str">
        <f t="shared" si="9"/>
        <v>OK</v>
      </c>
    </row>
    <row r="294" spans="1:22" x14ac:dyDescent="0.25">
      <c r="A294" s="9">
        <v>290</v>
      </c>
      <c r="B294" s="9" t="s">
        <v>947</v>
      </c>
      <c r="C294" s="9" t="s">
        <v>323</v>
      </c>
      <c r="D294" s="10" t="s">
        <v>948</v>
      </c>
      <c r="E294" s="9" t="s">
        <v>179</v>
      </c>
      <c r="F294" s="9" t="s">
        <v>326</v>
      </c>
      <c r="G294" s="10" t="s">
        <v>475</v>
      </c>
      <c r="H294" s="9" t="s">
        <v>110</v>
      </c>
      <c r="I294" s="11">
        <v>14.000926</v>
      </c>
      <c r="J294" s="11">
        <v>107.991416</v>
      </c>
      <c r="K294" s="9" t="s">
        <v>329</v>
      </c>
      <c r="L294" s="10"/>
      <c r="M294" s="12" t="s">
        <v>51</v>
      </c>
      <c r="N294" s="13" t="s">
        <v>62</v>
      </c>
      <c r="O294" s="14">
        <v>14.000697000000001</v>
      </c>
      <c r="P294" s="14">
        <v>107.992192</v>
      </c>
      <c r="Q294" s="13" t="s">
        <v>53</v>
      </c>
      <c r="R294" s="15" t="s">
        <v>54</v>
      </c>
      <c r="S294" s="13" t="s">
        <v>55</v>
      </c>
      <c r="T294" s="13" t="s">
        <v>949</v>
      </c>
      <c r="U294" s="16">
        <f t="shared" si="8"/>
        <v>88</v>
      </c>
      <c r="V294" s="17" t="str">
        <f t="shared" si="9"/>
        <v>OK</v>
      </c>
    </row>
    <row r="295" spans="1:22" x14ac:dyDescent="0.25">
      <c r="A295" s="9">
        <v>291</v>
      </c>
      <c r="B295" s="9" t="s">
        <v>950</v>
      </c>
      <c r="C295" s="9" t="s">
        <v>323</v>
      </c>
      <c r="D295" s="10" t="s">
        <v>951</v>
      </c>
      <c r="E295" s="9" t="s">
        <v>179</v>
      </c>
      <c r="F295" s="9" t="s">
        <v>326</v>
      </c>
      <c r="G295" s="10" t="s">
        <v>475</v>
      </c>
      <c r="H295" s="9" t="s">
        <v>110</v>
      </c>
      <c r="I295" s="11">
        <v>14.004752</v>
      </c>
      <c r="J295" s="11">
        <v>107.994981</v>
      </c>
      <c r="K295" s="9" t="s">
        <v>329</v>
      </c>
      <c r="L295" s="10"/>
      <c r="M295" s="12" t="s">
        <v>51</v>
      </c>
      <c r="N295" s="13" t="s">
        <v>52</v>
      </c>
      <c r="O295" s="14"/>
      <c r="P295" s="14"/>
      <c r="Q295" s="13" t="s">
        <v>53</v>
      </c>
      <c r="R295" s="15" t="s">
        <v>54</v>
      </c>
      <c r="S295" s="13" t="s">
        <v>55</v>
      </c>
      <c r="T295" s="13" t="s">
        <v>952</v>
      </c>
      <c r="U295" s="16" t="str">
        <f t="shared" si="8"/>
        <v/>
      </c>
      <c r="V295" s="17" t="str">
        <f t="shared" si="9"/>
        <v>OK</v>
      </c>
    </row>
    <row r="296" spans="1:22" ht="25.5" x14ac:dyDescent="0.25">
      <c r="A296" s="9">
        <v>292</v>
      </c>
      <c r="B296" s="9" t="s">
        <v>953</v>
      </c>
      <c r="C296" s="9" t="s">
        <v>323</v>
      </c>
      <c r="D296" s="10" t="s">
        <v>336</v>
      </c>
      <c r="E296" s="9" t="s">
        <v>954</v>
      </c>
      <c r="F296" s="9" t="s">
        <v>326</v>
      </c>
      <c r="G296" s="10" t="s">
        <v>955</v>
      </c>
      <c r="H296" s="9" t="s">
        <v>377</v>
      </c>
      <c r="I296" s="11">
        <v>13.888449</v>
      </c>
      <c r="J296" s="11">
        <v>109.113018</v>
      </c>
      <c r="K296" s="9" t="s">
        <v>329</v>
      </c>
      <c r="L296" s="10"/>
      <c r="M296" s="12" t="s">
        <v>51</v>
      </c>
      <c r="N296" s="13" t="s">
        <v>69</v>
      </c>
      <c r="O296" s="14"/>
      <c r="P296" s="14"/>
      <c r="Q296" s="13" t="s">
        <v>70</v>
      </c>
      <c r="R296" s="15" t="s">
        <v>54</v>
      </c>
      <c r="S296" s="13" t="s">
        <v>55</v>
      </c>
      <c r="T296" s="13" t="s">
        <v>378</v>
      </c>
      <c r="U296" s="16" t="str">
        <f t="shared" si="8"/>
        <v/>
      </c>
      <c r="V296" s="17" t="str">
        <f t="shared" si="9"/>
        <v>OK</v>
      </c>
    </row>
    <row r="297" spans="1:22" ht="25.5" x14ac:dyDescent="0.25">
      <c r="A297" s="9">
        <v>293</v>
      </c>
      <c r="B297" s="9" t="s">
        <v>956</v>
      </c>
      <c r="C297" s="9" t="s">
        <v>323</v>
      </c>
      <c r="D297" s="10" t="s">
        <v>957</v>
      </c>
      <c r="E297" s="9" t="s">
        <v>954</v>
      </c>
      <c r="F297" s="9" t="s">
        <v>326</v>
      </c>
      <c r="G297" s="10" t="s">
        <v>958</v>
      </c>
      <c r="H297" s="9" t="s">
        <v>377</v>
      </c>
      <c r="I297" s="11">
        <v>13.889094999999999</v>
      </c>
      <c r="J297" s="11">
        <v>109.113241</v>
      </c>
      <c r="K297" s="9" t="s">
        <v>329</v>
      </c>
      <c r="L297" s="10"/>
      <c r="M297" s="12" t="s">
        <v>51</v>
      </c>
      <c r="N297" s="13" t="s">
        <v>69</v>
      </c>
      <c r="O297" s="14"/>
      <c r="P297" s="14"/>
      <c r="Q297" s="13" t="s">
        <v>70</v>
      </c>
      <c r="R297" s="15" t="s">
        <v>54</v>
      </c>
      <c r="S297" s="13" t="s">
        <v>55</v>
      </c>
      <c r="T297" s="13" t="s">
        <v>378</v>
      </c>
      <c r="U297" s="16" t="str">
        <f t="shared" si="8"/>
        <v/>
      </c>
      <c r="V297" s="17" t="str">
        <f t="shared" si="9"/>
        <v>OK</v>
      </c>
    </row>
    <row r="298" spans="1:22" ht="38.25" x14ac:dyDescent="0.25">
      <c r="A298" s="9">
        <v>294</v>
      </c>
      <c r="B298" s="9" t="s">
        <v>959</v>
      </c>
      <c r="C298" s="9" t="s">
        <v>323</v>
      </c>
      <c r="D298" s="10" t="s">
        <v>960</v>
      </c>
      <c r="E298" s="9" t="s">
        <v>954</v>
      </c>
      <c r="F298" s="9" t="s">
        <v>326</v>
      </c>
      <c r="G298" s="10" t="s">
        <v>388</v>
      </c>
      <c r="H298" s="9" t="s">
        <v>88</v>
      </c>
      <c r="I298" s="11">
        <v>13.97687</v>
      </c>
      <c r="J298" s="11">
        <v>107.990679</v>
      </c>
      <c r="K298" s="9" t="s">
        <v>329</v>
      </c>
      <c r="L298" s="10"/>
      <c r="M298" s="12" t="s">
        <v>51</v>
      </c>
      <c r="N298" s="13" t="s">
        <v>62</v>
      </c>
      <c r="O298" s="14">
        <v>13.985737</v>
      </c>
      <c r="P298" s="14">
        <v>108.00449999999999</v>
      </c>
      <c r="Q298" s="13" t="s">
        <v>53</v>
      </c>
      <c r="R298" s="15" t="s">
        <v>54</v>
      </c>
      <c r="S298" s="13" t="s">
        <v>55</v>
      </c>
      <c r="T298" s="13" t="s">
        <v>961</v>
      </c>
      <c r="U298" s="16">
        <f t="shared" si="8"/>
        <v>1786</v>
      </c>
      <c r="V298" s="17" t="str">
        <f t="shared" si="9"/>
        <v>OK</v>
      </c>
    </row>
    <row r="299" spans="1:22" ht="25.5" x14ac:dyDescent="0.25">
      <c r="A299" s="9">
        <v>295</v>
      </c>
      <c r="B299" s="9" t="s">
        <v>962</v>
      </c>
      <c r="C299" s="9" t="s">
        <v>323</v>
      </c>
      <c r="D299" s="10" t="s">
        <v>336</v>
      </c>
      <c r="E299" s="9" t="s">
        <v>954</v>
      </c>
      <c r="F299" s="9" t="s">
        <v>326</v>
      </c>
      <c r="G299" s="10" t="s">
        <v>963</v>
      </c>
      <c r="H299" s="9" t="s">
        <v>60</v>
      </c>
      <c r="I299" s="11">
        <v>13.985977</v>
      </c>
      <c r="J299" s="11">
        <v>108.00736999999999</v>
      </c>
      <c r="K299" s="9" t="s">
        <v>329</v>
      </c>
      <c r="L299" s="10"/>
      <c r="M299" s="12" t="s">
        <v>51</v>
      </c>
      <c r="N299" s="13" t="s">
        <v>52</v>
      </c>
      <c r="O299" s="14"/>
      <c r="P299" s="14"/>
      <c r="Q299" s="13" t="s">
        <v>53</v>
      </c>
      <c r="R299" s="15" t="s">
        <v>54</v>
      </c>
      <c r="S299" s="13" t="s">
        <v>55</v>
      </c>
      <c r="T299" s="13" t="s">
        <v>964</v>
      </c>
      <c r="U299" s="16" t="str">
        <f t="shared" si="8"/>
        <v/>
      </c>
      <c r="V299" s="17" t="str">
        <f t="shared" si="9"/>
        <v>OK</v>
      </c>
    </row>
    <row r="300" spans="1:22" ht="25.5" x14ac:dyDescent="0.25">
      <c r="A300" s="9">
        <v>296</v>
      </c>
      <c r="B300" s="9" t="s">
        <v>965</v>
      </c>
      <c r="C300" s="9" t="s">
        <v>323</v>
      </c>
      <c r="D300" s="10" t="s">
        <v>336</v>
      </c>
      <c r="E300" s="9" t="s">
        <v>954</v>
      </c>
      <c r="F300" s="9" t="s">
        <v>326</v>
      </c>
      <c r="G300" s="10" t="s">
        <v>966</v>
      </c>
      <c r="H300" s="9" t="s">
        <v>328</v>
      </c>
      <c r="I300" s="11">
        <v>13.767364000000001</v>
      </c>
      <c r="J300" s="11">
        <v>109.220744</v>
      </c>
      <c r="K300" s="9" t="s">
        <v>329</v>
      </c>
      <c r="L300" s="10"/>
      <c r="M300" s="12" t="s">
        <v>51</v>
      </c>
      <c r="N300" s="13" t="s">
        <v>69</v>
      </c>
      <c r="O300" s="14"/>
      <c r="P300" s="14"/>
      <c r="Q300" s="13" t="s">
        <v>70</v>
      </c>
      <c r="R300" s="15" t="s">
        <v>54</v>
      </c>
      <c r="S300" s="13" t="s">
        <v>55</v>
      </c>
      <c r="T300" s="13" t="s">
        <v>330</v>
      </c>
      <c r="U300" s="16" t="str">
        <f t="shared" si="8"/>
        <v/>
      </c>
      <c r="V300" s="17" t="str">
        <f t="shared" si="9"/>
        <v>OK</v>
      </c>
    </row>
    <row r="301" spans="1:22" ht="25.5" x14ac:dyDescent="0.25">
      <c r="A301" s="9">
        <v>297</v>
      </c>
      <c r="B301" s="9" t="s">
        <v>967</v>
      </c>
      <c r="C301" s="9" t="s">
        <v>323</v>
      </c>
      <c r="D301" s="10" t="s">
        <v>336</v>
      </c>
      <c r="E301" s="9" t="s">
        <v>954</v>
      </c>
      <c r="F301" s="9" t="s">
        <v>326</v>
      </c>
      <c r="G301" s="10" t="s">
        <v>966</v>
      </c>
      <c r="H301" s="9" t="s">
        <v>328</v>
      </c>
      <c r="I301" s="11">
        <v>13.767369</v>
      </c>
      <c r="J301" s="11">
        <v>109.220755</v>
      </c>
      <c r="K301" s="9" t="s">
        <v>329</v>
      </c>
      <c r="L301" s="10"/>
      <c r="M301" s="12" t="s">
        <v>51</v>
      </c>
      <c r="N301" s="13" t="s">
        <v>69</v>
      </c>
      <c r="O301" s="14"/>
      <c r="P301" s="14"/>
      <c r="Q301" s="13" t="s">
        <v>70</v>
      </c>
      <c r="R301" s="15" t="s">
        <v>54</v>
      </c>
      <c r="S301" s="13" t="s">
        <v>55</v>
      </c>
      <c r="T301" s="13" t="s">
        <v>330</v>
      </c>
      <c r="U301" s="16" t="str">
        <f t="shared" si="8"/>
        <v/>
      </c>
      <c r="V301" s="17" t="str">
        <f t="shared" si="9"/>
        <v>OK</v>
      </c>
    </row>
    <row r="302" spans="1:22" x14ac:dyDescent="0.25">
      <c r="A302" s="9">
        <v>298</v>
      </c>
      <c r="B302" s="9" t="s">
        <v>968</v>
      </c>
      <c r="C302" s="9" t="s">
        <v>323</v>
      </c>
      <c r="D302" s="10" t="s">
        <v>338</v>
      </c>
      <c r="E302" s="9" t="s">
        <v>954</v>
      </c>
      <c r="F302" s="9" t="s">
        <v>326</v>
      </c>
      <c r="G302" s="10" t="s">
        <v>333</v>
      </c>
      <c r="H302" s="9" t="s">
        <v>334</v>
      </c>
      <c r="I302" s="11">
        <v>13.749947000000001</v>
      </c>
      <c r="J302" s="11">
        <v>109.211906</v>
      </c>
      <c r="K302" s="9" t="s">
        <v>329</v>
      </c>
      <c r="L302" s="10"/>
      <c r="M302" s="12" t="s">
        <v>51</v>
      </c>
      <c r="N302" s="13" t="s">
        <v>69</v>
      </c>
      <c r="O302" s="14"/>
      <c r="P302" s="14"/>
      <c r="Q302" s="13" t="s">
        <v>70</v>
      </c>
      <c r="R302" s="15" t="s">
        <v>54</v>
      </c>
      <c r="S302" s="13" t="s">
        <v>55</v>
      </c>
      <c r="T302" s="13" t="s">
        <v>330</v>
      </c>
      <c r="U302" s="16" t="str">
        <f t="shared" si="8"/>
        <v/>
      </c>
      <c r="V302" s="17" t="str">
        <f t="shared" si="9"/>
        <v>OK</v>
      </c>
    </row>
    <row r="303" spans="1:22" ht="25.5" x14ac:dyDescent="0.25">
      <c r="A303" s="9">
        <v>299</v>
      </c>
      <c r="B303" s="9" t="s">
        <v>969</v>
      </c>
      <c r="C303" s="9" t="s">
        <v>323</v>
      </c>
      <c r="D303" s="10" t="s">
        <v>970</v>
      </c>
      <c r="E303" s="9" t="s">
        <v>954</v>
      </c>
      <c r="F303" s="9" t="s">
        <v>326</v>
      </c>
      <c r="G303" s="10" t="s">
        <v>971</v>
      </c>
      <c r="H303" s="9" t="s">
        <v>110</v>
      </c>
      <c r="I303" s="11">
        <v>13.995564</v>
      </c>
      <c r="J303" s="11">
        <v>107.998273</v>
      </c>
      <c r="K303" s="9" t="s">
        <v>329</v>
      </c>
      <c r="L303" s="10"/>
      <c r="M303" s="12" t="s">
        <v>51</v>
      </c>
      <c r="N303" s="13" t="s">
        <v>62</v>
      </c>
      <c r="O303" s="14">
        <v>13.995258</v>
      </c>
      <c r="P303" s="14">
        <v>107.998553</v>
      </c>
      <c r="Q303" s="13" t="s">
        <v>53</v>
      </c>
      <c r="R303" s="15" t="s">
        <v>54</v>
      </c>
      <c r="S303" s="13" t="s">
        <v>55</v>
      </c>
      <c r="T303" s="13" t="s">
        <v>972</v>
      </c>
      <c r="U303" s="16">
        <f t="shared" si="8"/>
        <v>45</v>
      </c>
      <c r="V303" s="17" t="str">
        <f t="shared" si="9"/>
        <v>OK</v>
      </c>
    </row>
    <row r="304" spans="1:22" ht="25.5" x14ac:dyDescent="0.25">
      <c r="A304" s="9">
        <v>300</v>
      </c>
      <c r="B304" s="9" t="s">
        <v>973</v>
      </c>
      <c r="C304" s="9" t="s">
        <v>323</v>
      </c>
      <c r="D304" s="10" t="s">
        <v>974</v>
      </c>
      <c r="E304" s="9" t="s">
        <v>954</v>
      </c>
      <c r="F304" s="9" t="s">
        <v>326</v>
      </c>
      <c r="G304" s="10" t="s">
        <v>975</v>
      </c>
      <c r="H304" s="9" t="s">
        <v>157</v>
      </c>
      <c r="I304" s="11">
        <v>13.696572</v>
      </c>
      <c r="J304" s="11">
        <v>108.07533599999999</v>
      </c>
      <c r="K304" s="9" t="s">
        <v>329</v>
      </c>
      <c r="L304" s="10"/>
      <c r="M304" s="12" t="s">
        <v>51</v>
      </c>
      <c r="N304" s="13" t="s">
        <v>69</v>
      </c>
      <c r="O304" s="14"/>
      <c r="P304" s="14"/>
      <c r="Q304" s="13" t="s">
        <v>70</v>
      </c>
      <c r="R304" s="15" t="s">
        <v>54</v>
      </c>
      <c r="S304" s="13" t="s">
        <v>55</v>
      </c>
      <c r="T304" s="13" t="s">
        <v>976</v>
      </c>
      <c r="U304" s="16" t="str">
        <f t="shared" si="8"/>
        <v/>
      </c>
      <c r="V304" s="17" t="str">
        <f t="shared" si="9"/>
        <v>OK</v>
      </c>
    </row>
    <row r="305" spans="1:22" ht="25.5" x14ac:dyDescent="0.25">
      <c r="A305" s="9">
        <v>301</v>
      </c>
      <c r="B305" s="9" t="s">
        <v>977</v>
      </c>
      <c r="C305" s="9" t="s">
        <v>323</v>
      </c>
      <c r="D305" s="10" t="s">
        <v>336</v>
      </c>
      <c r="E305" s="9" t="s">
        <v>954</v>
      </c>
      <c r="F305" s="9" t="s">
        <v>326</v>
      </c>
      <c r="G305" s="10" t="s">
        <v>978</v>
      </c>
      <c r="H305" s="9" t="s">
        <v>157</v>
      </c>
      <c r="I305" s="11">
        <v>13.695918000000001</v>
      </c>
      <c r="J305" s="11">
        <v>108.075839</v>
      </c>
      <c r="K305" s="9" t="s">
        <v>329</v>
      </c>
      <c r="L305" s="10"/>
      <c r="M305" s="12" t="s">
        <v>51</v>
      </c>
      <c r="N305" s="13" t="s">
        <v>69</v>
      </c>
      <c r="O305" s="14"/>
      <c r="P305" s="14"/>
      <c r="Q305" s="13" t="s">
        <v>70</v>
      </c>
      <c r="R305" s="15" t="s">
        <v>54</v>
      </c>
      <c r="S305" s="13" t="s">
        <v>55</v>
      </c>
      <c r="T305" s="13" t="s">
        <v>979</v>
      </c>
      <c r="U305" s="16" t="str">
        <f t="shared" si="8"/>
        <v/>
      </c>
      <c r="V305" s="17" t="str">
        <f t="shared" si="9"/>
        <v>OK</v>
      </c>
    </row>
    <row r="306" spans="1:22" ht="25.5" x14ac:dyDescent="0.25">
      <c r="A306" s="9">
        <v>302</v>
      </c>
      <c r="B306" s="9" t="s">
        <v>980</v>
      </c>
      <c r="C306" s="9" t="s">
        <v>323</v>
      </c>
      <c r="D306" s="10" t="s">
        <v>336</v>
      </c>
      <c r="E306" s="9" t="s">
        <v>954</v>
      </c>
      <c r="F306" s="9" t="s">
        <v>326</v>
      </c>
      <c r="G306" s="10" t="s">
        <v>981</v>
      </c>
      <c r="H306" s="9" t="s">
        <v>157</v>
      </c>
      <c r="I306" s="11">
        <v>13.696230999999999</v>
      </c>
      <c r="J306" s="11">
        <v>108.07567299999999</v>
      </c>
      <c r="K306" s="9" t="s">
        <v>329</v>
      </c>
      <c r="L306" s="10"/>
      <c r="M306" s="12" t="s">
        <v>51</v>
      </c>
      <c r="N306" s="13" t="s">
        <v>69</v>
      </c>
      <c r="O306" s="14"/>
      <c r="P306" s="14"/>
      <c r="Q306" s="13" t="s">
        <v>70</v>
      </c>
      <c r="R306" s="15" t="s">
        <v>54</v>
      </c>
      <c r="S306" s="13" t="s">
        <v>55</v>
      </c>
      <c r="T306" s="13" t="s">
        <v>982</v>
      </c>
      <c r="U306" s="16" t="str">
        <f t="shared" si="8"/>
        <v/>
      </c>
      <c r="V306" s="17" t="str">
        <f t="shared" si="9"/>
        <v>OK</v>
      </c>
    </row>
    <row r="307" spans="1:22" ht="25.5" x14ac:dyDescent="0.25">
      <c r="A307" s="9">
        <v>303</v>
      </c>
      <c r="B307" s="9" t="s">
        <v>983</v>
      </c>
      <c r="C307" s="9" t="s">
        <v>323</v>
      </c>
      <c r="D307" s="10" t="s">
        <v>338</v>
      </c>
      <c r="E307" s="9" t="s">
        <v>954</v>
      </c>
      <c r="F307" s="9" t="s">
        <v>326</v>
      </c>
      <c r="G307" s="10" t="s">
        <v>984</v>
      </c>
      <c r="H307" s="9" t="s">
        <v>157</v>
      </c>
      <c r="I307" s="11">
        <v>13.696052</v>
      </c>
      <c r="J307" s="11">
        <v>108.075655</v>
      </c>
      <c r="K307" s="9" t="s">
        <v>329</v>
      </c>
      <c r="L307" s="10"/>
      <c r="M307" s="12" t="s">
        <v>51</v>
      </c>
      <c r="N307" s="13" t="s">
        <v>69</v>
      </c>
      <c r="O307" s="14"/>
      <c r="P307" s="14"/>
      <c r="Q307" s="13" t="s">
        <v>70</v>
      </c>
      <c r="R307" s="15" t="s">
        <v>54</v>
      </c>
      <c r="S307" s="13" t="s">
        <v>55</v>
      </c>
      <c r="T307" s="13" t="s">
        <v>985</v>
      </c>
      <c r="U307" s="16" t="str">
        <f t="shared" si="8"/>
        <v/>
      </c>
      <c r="V307" s="17" t="str">
        <f t="shared" si="9"/>
        <v>OK</v>
      </c>
    </row>
    <row r="308" spans="1:22" x14ac:dyDescent="0.25">
      <c r="A308" s="9">
        <v>304</v>
      </c>
      <c r="B308" s="9" t="s">
        <v>986</v>
      </c>
      <c r="C308" s="9" t="s">
        <v>323</v>
      </c>
      <c r="D308" s="10" t="s">
        <v>987</v>
      </c>
      <c r="E308" s="9" t="s">
        <v>954</v>
      </c>
      <c r="F308" s="9" t="s">
        <v>326</v>
      </c>
      <c r="G308" s="10" t="s">
        <v>988</v>
      </c>
      <c r="H308" s="9" t="s">
        <v>989</v>
      </c>
      <c r="I308" s="11">
        <v>14.363662</v>
      </c>
      <c r="J308" s="11">
        <v>108.968481</v>
      </c>
      <c r="K308" s="9" t="s">
        <v>329</v>
      </c>
      <c r="L308" s="10"/>
      <c r="M308" s="12" t="s">
        <v>51</v>
      </c>
      <c r="N308" s="13" t="s">
        <v>69</v>
      </c>
      <c r="O308" s="14"/>
      <c r="P308" s="14"/>
      <c r="Q308" s="13" t="s">
        <v>70</v>
      </c>
      <c r="R308" s="15" t="s">
        <v>54</v>
      </c>
      <c r="S308" s="13" t="s">
        <v>55</v>
      </c>
      <c r="T308" s="13" t="s">
        <v>990</v>
      </c>
      <c r="U308" s="16" t="str">
        <f t="shared" si="8"/>
        <v/>
      </c>
      <c r="V308" s="17" t="str">
        <f t="shared" si="9"/>
        <v>OK</v>
      </c>
    </row>
    <row r="309" spans="1:22" x14ac:dyDescent="0.25">
      <c r="A309" s="9">
        <v>305</v>
      </c>
      <c r="B309" s="9" t="s">
        <v>991</v>
      </c>
      <c r="C309" s="9" t="s">
        <v>323</v>
      </c>
      <c r="D309" s="10" t="s">
        <v>974</v>
      </c>
      <c r="E309" s="9" t="s">
        <v>954</v>
      </c>
      <c r="F309" s="9" t="s">
        <v>326</v>
      </c>
      <c r="G309" s="10" t="s">
        <v>620</v>
      </c>
      <c r="H309" s="9" t="s">
        <v>621</v>
      </c>
      <c r="I309" s="11">
        <v>13.962127000000001</v>
      </c>
      <c r="J309" s="11">
        <v>107.845972</v>
      </c>
      <c r="K309" s="9" t="s">
        <v>329</v>
      </c>
      <c r="L309" s="10"/>
      <c r="M309" s="12" t="s">
        <v>51</v>
      </c>
      <c r="N309" s="13" t="s">
        <v>52</v>
      </c>
      <c r="O309" s="14"/>
      <c r="P309" s="14"/>
      <c r="Q309" s="13" t="s">
        <v>53</v>
      </c>
      <c r="R309" s="15" t="s">
        <v>54</v>
      </c>
      <c r="S309" s="13" t="s">
        <v>55</v>
      </c>
      <c r="T309" s="13" t="s">
        <v>992</v>
      </c>
      <c r="U309" s="16" t="str">
        <f t="shared" si="8"/>
        <v/>
      </c>
      <c r="V309" s="17" t="str">
        <f t="shared" si="9"/>
        <v>OK</v>
      </c>
    </row>
    <row r="310" spans="1:22" x14ac:dyDescent="0.25">
      <c r="A310" s="9">
        <v>306</v>
      </c>
      <c r="B310" s="9" t="s">
        <v>993</v>
      </c>
      <c r="C310" s="9" t="s">
        <v>323</v>
      </c>
      <c r="D310" s="10" t="s">
        <v>338</v>
      </c>
      <c r="E310" s="9" t="s">
        <v>954</v>
      </c>
      <c r="F310" s="9" t="s">
        <v>326</v>
      </c>
      <c r="G310" s="10" t="s">
        <v>620</v>
      </c>
      <c r="H310" s="9" t="s">
        <v>621</v>
      </c>
      <c r="I310" s="11">
        <v>13.962365999999999</v>
      </c>
      <c r="J310" s="11">
        <v>107.838488</v>
      </c>
      <c r="K310" s="9" t="s">
        <v>329</v>
      </c>
      <c r="L310" s="10"/>
      <c r="M310" s="12" t="s">
        <v>51</v>
      </c>
      <c r="N310" s="13" t="s">
        <v>52</v>
      </c>
      <c r="O310" s="14"/>
      <c r="P310" s="14"/>
      <c r="Q310" s="13" t="s">
        <v>53</v>
      </c>
      <c r="R310" s="15" t="s">
        <v>54</v>
      </c>
      <c r="S310" s="13" t="s">
        <v>55</v>
      </c>
      <c r="T310" s="13" t="s">
        <v>994</v>
      </c>
      <c r="U310" s="16" t="str">
        <f t="shared" si="8"/>
        <v/>
      </c>
      <c r="V310" s="17" t="str">
        <f t="shared" si="9"/>
        <v>OK</v>
      </c>
    </row>
    <row r="311" spans="1:22" ht="25.5" x14ac:dyDescent="0.25">
      <c r="A311" s="9">
        <v>307</v>
      </c>
      <c r="B311" s="9" t="s">
        <v>995</v>
      </c>
      <c r="C311" s="9" t="s">
        <v>323</v>
      </c>
      <c r="D311" s="10" t="s">
        <v>974</v>
      </c>
      <c r="E311" s="9" t="s">
        <v>954</v>
      </c>
      <c r="F311" s="9" t="s">
        <v>326</v>
      </c>
      <c r="G311" s="10" t="s">
        <v>996</v>
      </c>
      <c r="H311" s="9" t="s">
        <v>320</v>
      </c>
      <c r="I311" s="11">
        <v>14.040832999999999</v>
      </c>
      <c r="J311" s="11">
        <v>108.252419</v>
      </c>
      <c r="K311" s="9" t="s">
        <v>329</v>
      </c>
      <c r="L311" s="10"/>
      <c r="M311" s="12" t="s">
        <v>51</v>
      </c>
      <c r="N311" s="13" t="s">
        <v>52</v>
      </c>
      <c r="O311" s="14"/>
      <c r="P311" s="14"/>
      <c r="Q311" s="13" t="s">
        <v>53</v>
      </c>
      <c r="R311" s="15" t="s">
        <v>54</v>
      </c>
      <c r="S311" s="13" t="s">
        <v>55</v>
      </c>
      <c r="T311" s="13" t="s">
        <v>997</v>
      </c>
      <c r="U311" s="16" t="str">
        <f t="shared" si="8"/>
        <v/>
      </c>
      <c r="V311" s="17" t="str">
        <f t="shared" si="9"/>
        <v>OK</v>
      </c>
    </row>
    <row r="312" spans="1:22" ht="38.25" x14ac:dyDescent="0.25">
      <c r="A312" s="9">
        <v>308</v>
      </c>
      <c r="B312" s="9" t="s">
        <v>998</v>
      </c>
      <c r="C312" s="9" t="s">
        <v>323</v>
      </c>
      <c r="D312" s="10" t="s">
        <v>999</v>
      </c>
      <c r="E312" s="9" t="s">
        <v>954</v>
      </c>
      <c r="F312" s="9" t="s">
        <v>326</v>
      </c>
      <c r="G312" s="10" t="s">
        <v>345</v>
      </c>
      <c r="H312" s="9" t="s">
        <v>346</v>
      </c>
      <c r="I312" s="11">
        <v>14.171974000000001</v>
      </c>
      <c r="J312" s="11">
        <v>109.049926</v>
      </c>
      <c r="K312" s="9" t="s">
        <v>329</v>
      </c>
      <c r="L312" s="10"/>
      <c r="M312" s="12" t="s">
        <v>51</v>
      </c>
      <c r="N312" s="13" t="s">
        <v>69</v>
      </c>
      <c r="O312" s="14"/>
      <c r="P312" s="14"/>
      <c r="Q312" s="13" t="s">
        <v>70</v>
      </c>
      <c r="R312" s="15" t="s">
        <v>54</v>
      </c>
      <c r="S312" s="13" t="s">
        <v>55</v>
      </c>
      <c r="T312" s="13" t="s">
        <v>347</v>
      </c>
      <c r="U312" s="16" t="str">
        <f t="shared" si="8"/>
        <v/>
      </c>
      <c r="V312" s="17" t="str">
        <f t="shared" si="9"/>
        <v>OK</v>
      </c>
    </row>
    <row r="313" spans="1:22" ht="25.5" x14ac:dyDescent="0.25">
      <c r="A313" s="9">
        <v>309</v>
      </c>
      <c r="B313" s="9" t="s">
        <v>1000</v>
      </c>
      <c r="C313" s="9" t="s">
        <v>323</v>
      </c>
      <c r="D313" s="10" t="s">
        <v>1001</v>
      </c>
      <c r="E313" s="9" t="s">
        <v>954</v>
      </c>
      <c r="F313" s="9" t="s">
        <v>326</v>
      </c>
      <c r="G313" s="10" t="s">
        <v>345</v>
      </c>
      <c r="H313" s="9" t="s">
        <v>346</v>
      </c>
      <c r="I313" s="11">
        <v>14.173918</v>
      </c>
      <c r="J313" s="11">
        <v>109.05107599999999</v>
      </c>
      <c r="K313" s="9" t="s">
        <v>329</v>
      </c>
      <c r="L313" s="10"/>
      <c r="M313" s="12" t="s">
        <v>51</v>
      </c>
      <c r="N313" s="13" t="s">
        <v>69</v>
      </c>
      <c r="O313" s="14"/>
      <c r="P313" s="14"/>
      <c r="Q313" s="13" t="s">
        <v>70</v>
      </c>
      <c r="R313" s="15" t="s">
        <v>54</v>
      </c>
      <c r="S313" s="13" t="s">
        <v>55</v>
      </c>
      <c r="T313" s="13" t="s">
        <v>347</v>
      </c>
      <c r="U313" s="16" t="str">
        <f t="shared" si="8"/>
        <v/>
      </c>
      <c r="V313" s="17" t="str">
        <f t="shared" si="9"/>
        <v>OK</v>
      </c>
    </row>
    <row r="314" spans="1:22" ht="25.5" x14ac:dyDescent="0.25">
      <c r="A314" s="9">
        <v>310</v>
      </c>
      <c r="B314" s="9" t="s">
        <v>1002</v>
      </c>
      <c r="C314" s="9" t="s">
        <v>323</v>
      </c>
      <c r="D314" s="10" t="s">
        <v>1003</v>
      </c>
      <c r="E314" s="9" t="s">
        <v>954</v>
      </c>
      <c r="F314" s="9" t="s">
        <v>326</v>
      </c>
      <c r="G314" s="10" t="s">
        <v>345</v>
      </c>
      <c r="H314" s="9" t="s">
        <v>346</v>
      </c>
      <c r="I314" s="11">
        <v>14.17577</v>
      </c>
      <c r="J314" s="11">
        <v>109.051498</v>
      </c>
      <c r="K314" s="9" t="s">
        <v>329</v>
      </c>
      <c r="L314" s="10"/>
      <c r="M314" s="12" t="s">
        <v>51</v>
      </c>
      <c r="N314" s="13" t="s">
        <v>69</v>
      </c>
      <c r="O314" s="14"/>
      <c r="P314" s="14"/>
      <c r="Q314" s="13" t="s">
        <v>70</v>
      </c>
      <c r="R314" s="15" t="s">
        <v>54</v>
      </c>
      <c r="S314" s="13" t="s">
        <v>55</v>
      </c>
      <c r="T314" s="13" t="s">
        <v>347</v>
      </c>
      <c r="U314" s="16" t="str">
        <f t="shared" si="8"/>
        <v/>
      </c>
      <c r="V314" s="17" t="str">
        <f t="shared" si="9"/>
        <v>OK</v>
      </c>
    </row>
    <row r="315" spans="1:22" x14ac:dyDescent="0.25">
      <c r="A315" s="9">
        <v>311</v>
      </c>
      <c r="B315" s="9" t="s">
        <v>1004</v>
      </c>
      <c r="C315" s="9" t="s">
        <v>323</v>
      </c>
      <c r="D315" s="10" t="s">
        <v>336</v>
      </c>
      <c r="E315" s="9" t="s">
        <v>954</v>
      </c>
      <c r="F315" s="9" t="s">
        <v>326</v>
      </c>
      <c r="G315" s="10" t="s">
        <v>785</v>
      </c>
      <c r="H315" s="9" t="s">
        <v>786</v>
      </c>
      <c r="I315" s="11">
        <v>13.808650999999999</v>
      </c>
      <c r="J315" s="11">
        <v>109.146959</v>
      </c>
      <c r="K315" s="9" t="s">
        <v>329</v>
      </c>
      <c r="L315" s="10"/>
      <c r="M315" s="12" t="s">
        <v>51</v>
      </c>
      <c r="N315" s="13" t="s">
        <v>69</v>
      </c>
      <c r="O315" s="14"/>
      <c r="P315" s="14"/>
      <c r="Q315" s="13" t="s">
        <v>70</v>
      </c>
      <c r="R315" s="15" t="s">
        <v>54</v>
      </c>
      <c r="S315" s="13" t="s">
        <v>55</v>
      </c>
      <c r="T315" s="13" t="s">
        <v>787</v>
      </c>
      <c r="U315" s="16" t="str">
        <f t="shared" si="8"/>
        <v/>
      </c>
      <c r="V315" s="17" t="str">
        <f t="shared" si="9"/>
        <v>OK</v>
      </c>
    </row>
    <row r="316" spans="1:22" x14ac:dyDescent="0.25">
      <c r="A316" s="9">
        <v>312</v>
      </c>
      <c r="B316" s="9" t="s">
        <v>1005</v>
      </c>
      <c r="C316" s="9" t="s">
        <v>323</v>
      </c>
      <c r="D316" s="10" t="s">
        <v>974</v>
      </c>
      <c r="E316" s="9" t="s">
        <v>954</v>
      </c>
      <c r="F316" s="9" t="s">
        <v>326</v>
      </c>
      <c r="G316" s="10" t="s">
        <v>1006</v>
      </c>
      <c r="H316" s="9" t="s">
        <v>1007</v>
      </c>
      <c r="I316" s="11">
        <v>13.799908</v>
      </c>
      <c r="J316" s="11">
        <v>109.141457</v>
      </c>
      <c r="K316" s="9" t="s">
        <v>329</v>
      </c>
      <c r="L316" s="10"/>
      <c r="M316" s="12" t="s">
        <v>51</v>
      </c>
      <c r="N316" s="13" t="s">
        <v>69</v>
      </c>
      <c r="O316" s="14"/>
      <c r="P316" s="14"/>
      <c r="Q316" s="13" t="s">
        <v>70</v>
      </c>
      <c r="R316" s="15" t="s">
        <v>54</v>
      </c>
      <c r="S316" s="13" t="s">
        <v>55</v>
      </c>
      <c r="T316" s="13" t="s">
        <v>787</v>
      </c>
      <c r="U316" s="16" t="str">
        <f t="shared" si="8"/>
        <v/>
      </c>
      <c r="V316" s="17" t="str">
        <f t="shared" si="9"/>
        <v>OK</v>
      </c>
    </row>
    <row r="317" spans="1:22" x14ac:dyDescent="0.25">
      <c r="A317" s="9">
        <v>313</v>
      </c>
      <c r="B317" s="9" t="s">
        <v>1008</v>
      </c>
      <c r="C317" s="9" t="s">
        <v>323</v>
      </c>
      <c r="D317" s="10" t="s">
        <v>1009</v>
      </c>
      <c r="E317" s="9" t="s">
        <v>954</v>
      </c>
      <c r="F317" s="9" t="s">
        <v>326</v>
      </c>
      <c r="G317" s="10" t="s">
        <v>831</v>
      </c>
      <c r="H317" s="9" t="s">
        <v>832</v>
      </c>
      <c r="I317" s="11">
        <v>14.097778</v>
      </c>
      <c r="J317" s="11">
        <v>108.78677399999999</v>
      </c>
      <c r="K317" s="9" t="s">
        <v>329</v>
      </c>
      <c r="L317" s="10"/>
      <c r="M317" s="12" t="s">
        <v>51</v>
      </c>
      <c r="N317" s="13" t="s">
        <v>69</v>
      </c>
      <c r="O317" s="14"/>
      <c r="P317" s="14"/>
      <c r="Q317" s="13" t="s">
        <v>70</v>
      </c>
      <c r="R317" s="15" t="s">
        <v>54</v>
      </c>
      <c r="S317" s="13" t="s">
        <v>55</v>
      </c>
      <c r="T317" s="13" t="s">
        <v>835</v>
      </c>
      <c r="U317" s="16" t="str">
        <f t="shared" si="8"/>
        <v/>
      </c>
      <c r="V317" s="17" t="str">
        <f t="shared" si="9"/>
        <v>OK</v>
      </c>
    </row>
    <row r="318" spans="1:22" x14ac:dyDescent="0.25">
      <c r="A318" s="9">
        <v>314</v>
      </c>
      <c r="B318" s="9" t="s">
        <v>1010</v>
      </c>
      <c r="C318" s="9" t="s">
        <v>323</v>
      </c>
      <c r="D318" s="10" t="s">
        <v>1011</v>
      </c>
      <c r="E318" s="9" t="s">
        <v>221</v>
      </c>
      <c r="F318" s="9" t="s">
        <v>326</v>
      </c>
      <c r="G318" s="10" t="s">
        <v>388</v>
      </c>
      <c r="H318" s="9" t="s">
        <v>88</v>
      </c>
      <c r="I318" s="11">
        <v>13.969860000000001</v>
      </c>
      <c r="J318" s="11">
        <v>107.994462</v>
      </c>
      <c r="K318" s="9" t="s">
        <v>329</v>
      </c>
      <c r="L318" s="10"/>
      <c r="M318" s="12" t="s">
        <v>51</v>
      </c>
      <c r="N318" s="13" t="s">
        <v>62</v>
      </c>
      <c r="O318" s="14">
        <v>13.970228000000001</v>
      </c>
      <c r="P318" s="14">
        <v>107.994238</v>
      </c>
      <c r="Q318" s="13" t="s">
        <v>53</v>
      </c>
      <c r="R318" s="15" t="s">
        <v>54</v>
      </c>
      <c r="S318" s="13" t="s">
        <v>55</v>
      </c>
      <c r="T318" s="13" t="s">
        <v>1012</v>
      </c>
      <c r="U318" s="16">
        <f t="shared" si="8"/>
        <v>47</v>
      </c>
      <c r="V318" s="17" t="str">
        <f t="shared" si="9"/>
        <v>OK</v>
      </c>
    </row>
    <row r="319" spans="1:22" x14ac:dyDescent="0.25">
      <c r="A319" s="9">
        <v>315</v>
      </c>
      <c r="B319" s="9" t="s">
        <v>1013</v>
      </c>
      <c r="C319" s="9" t="s">
        <v>323</v>
      </c>
      <c r="D319" s="10" t="s">
        <v>1014</v>
      </c>
      <c r="E319" s="9" t="s">
        <v>221</v>
      </c>
      <c r="F319" s="9" t="s">
        <v>326</v>
      </c>
      <c r="G319" s="10" t="s">
        <v>388</v>
      </c>
      <c r="H319" s="9" t="s">
        <v>88</v>
      </c>
      <c r="I319" s="11">
        <v>13.965427999999999</v>
      </c>
      <c r="J319" s="11">
        <v>107.991962</v>
      </c>
      <c r="K319" s="9" t="s">
        <v>329</v>
      </c>
      <c r="L319" s="10"/>
      <c r="M319" s="12" t="s">
        <v>51</v>
      </c>
      <c r="N319" s="13" t="s">
        <v>52</v>
      </c>
      <c r="O319" s="14"/>
      <c r="P319" s="14"/>
      <c r="Q319" s="13" t="s">
        <v>53</v>
      </c>
      <c r="R319" s="15" t="s">
        <v>54</v>
      </c>
      <c r="S319" s="13" t="s">
        <v>55</v>
      </c>
      <c r="T319" s="13" t="s">
        <v>1015</v>
      </c>
      <c r="U319" s="16" t="str">
        <f t="shared" si="8"/>
        <v/>
      </c>
      <c r="V319" s="17" t="str">
        <f t="shared" si="9"/>
        <v>OK</v>
      </c>
    </row>
    <row r="320" spans="1:22" x14ac:dyDescent="0.25">
      <c r="A320" s="9">
        <v>316</v>
      </c>
      <c r="B320" s="9" t="s">
        <v>1016</v>
      </c>
      <c r="C320" s="9" t="s">
        <v>323</v>
      </c>
      <c r="D320" s="10" t="s">
        <v>1017</v>
      </c>
      <c r="E320" s="9" t="s">
        <v>221</v>
      </c>
      <c r="F320" s="9" t="s">
        <v>326</v>
      </c>
      <c r="G320" s="10" t="s">
        <v>388</v>
      </c>
      <c r="H320" s="9" t="s">
        <v>88</v>
      </c>
      <c r="I320" s="11">
        <v>13.968487</v>
      </c>
      <c r="J320" s="11">
        <v>107.992127</v>
      </c>
      <c r="K320" s="9" t="s">
        <v>329</v>
      </c>
      <c r="L320" s="10"/>
      <c r="M320" s="12" t="s">
        <v>51</v>
      </c>
      <c r="N320" s="13" t="s">
        <v>52</v>
      </c>
      <c r="O320" s="14"/>
      <c r="P320" s="14"/>
      <c r="Q320" s="13" t="s">
        <v>53</v>
      </c>
      <c r="R320" s="15" t="s">
        <v>54</v>
      </c>
      <c r="S320" s="13" t="s">
        <v>55</v>
      </c>
      <c r="T320" s="13" t="s">
        <v>1018</v>
      </c>
      <c r="U320" s="16" t="str">
        <f t="shared" si="8"/>
        <v/>
      </c>
      <c r="V320" s="17" t="str">
        <f t="shared" si="9"/>
        <v>OK</v>
      </c>
    </row>
    <row r="321" spans="1:22" x14ac:dyDescent="0.25">
      <c r="A321" s="9">
        <v>317</v>
      </c>
      <c r="B321" s="9" t="s">
        <v>1019</v>
      </c>
      <c r="C321" s="9" t="s">
        <v>323</v>
      </c>
      <c r="D321" s="10" t="s">
        <v>1020</v>
      </c>
      <c r="E321" s="9" t="s">
        <v>221</v>
      </c>
      <c r="F321" s="9" t="s">
        <v>326</v>
      </c>
      <c r="G321" s="10" t="s">
        <v>388</v>
      </c>
      <c r="H321" s="9" t="s">
        <v>88</v>
      </c>
      <c r="I321" s="11">
        <v>13.978683</v>
      </c>
      <c r="J321" s="11">
        <v>107.984689</v>
      </c>
      <c r="K321" s="9" t="s">
        <v>329</v>
      </c>
      <c r="L321" s="10"/>
      <c r="M321" s="12" t="s">
        <v>51</v>
      </c>
      <c r="N321" s="13" t="s">
        <v>52</v>
      </c>
      <c r="O321" s="14"/>
      <c r="P321" s="14"/>
      <c r="Q321" s="13" t="s">
        <v>53</v>
      </c>
      <c r="R321" s="15" t="s">
        <v>54</v>
      </c>
      <c r="S321" s="13" t="s">
        <v>55</v>
      </c>
      <c r="T321" s="13" t="s">
        <v>1021</v>
      </c>
      <c r="U321" s="16" t="str">
        <f t="shared" si="8"/>
        <v/>
      </c>
      <c r="V321" s="17" t="str">
        <f t="shared" si="9"/>
        <v>OK</v>
      </c>
    </row>
    <row r="322" spans="1:22" ht="25.5" x14ac:dyDescent="0.25">
      <c r="A322" s="9">
        <v>318</v>
      </c>
      <c r="B322" s="9" t="s">
        <v>1022</v>
      </c>
      <c r="C322" s="9" t="s">
        <v>323</v>
      </c>
      <c r="D322" s="10" t="s">
        <v>1023</v>
      </c>
      <c r="E322" s="9" t="s">
        <v>221</v>
      </c>
      <c r="F322" s="9" t="s">
        <v>326</v>
      </c>
      <c r="G322" s="10" t="s">
        <v>897</v>
      </c>
      <c r="H322" s="9" t="s">
        <v>60</v>
      </c>
      <c r="I322" s="11">
        <v>13.976186</v>
      </c>
      <c r="J322" s="11">
        <v>108.007167</v>
      </c>
      <c r="K322" s="9" t="s">
        <v>329</v>
      </c>
      <c r="L322" s="10"/>
      <c r="M322" s="12" t="s">
        <v>51</v>
      </c>
      <c r="N322" s="13" t="s">
        <v>62</v>
      </c>
      <c r="O322" s="14">
        <v>13.976773</v>
      </c>
      <c r="P322" s="14">
        <v>108.00218700000001</v>
      </c>
      <c r="Q322" s="13" t="s">
        <v>53</v>
      </c>
      <c r="R322" s="15" t="s">
        <v>54</v>
      </c>
      <c r="S322" s="13" t="s">
        <v>55</v>
      </c>
      <c r="T322" s="13" t="s">
        <v>1024</v>
      </c>
      <c r="U322" s="16">
        <f t="shared" si="8"/>
        <v>542</v>
      </c>
      <c r="V322" s="17" t="str">
        <f t="shared" si="9"/>
        <v>OK</v>
      </c>
    </row>
    <row r="323" spans="1:22" ht="25.5" x14ac:dyDescent="0.25">
      <c r="A323" s="9">
        <v>319</v>
      </c>
      <c r="B323" s="9" t="s">
        <v>1025</v>
      </c>
      <c r="C323" s="9" t="s">
        <v>323</v>
      </c>
      <c r="D323" s="10" t="s">
        <v>1026</v>
      </c>
      <c r="E323" s="9" t="s">
        <v>221</v>
      </c>
      <c r="F323" s="9" t="s">
        <v>326</v>
      </c>
      <c r="G323" s="10" t="s">
        <v>941</v>
      </c>
      <c r="H323" s="9" t="s">
        <v>60</v>
      </c>
      <c r="I323" s="11">
        <v>13.97002</v>
      </c>
      <c r="J323" s="11">
        <v>108.015597</v>
      </c>
      <c r="K323" s="9" t="s">
        <v>329</v>
      </c>
      <c r="L323" s="10"/>
      <c r="M323" s="12" t="s">
        <v>51</v>
      </c>
      <c r="N323" s="13" t="s">
        <v>52</v>
      </c>
      <c r="O323" s="14"/>
      <c r="P323" s="14"/>
      <c r="Q323" s="13" t="s">
        <v>53</v>
      </c>
      <c r="R323" s="15" t="s">
        <v>54</v>
      </c>
      <c r="S323" s="13" t="s">
        <v>55</v>
      </c>
      <c r="T323" s="13" t="s">
        <v>1027</v>
      </c>
      <c r="U323" s="16" t="str">
        <f t="shared" si="8"/>
        <v/>
      </c>
      <c r="V323" s="17" t="str">
        <f t="shared" si="9"/>
        <v>OK</v>
      </c>
    </row>
    <row r="324" spans="1:22" x14ac:dyDescent="0.25">
      <c r="A324" s="9">
        <v>320</v>
      </c>
      <c r="B324" s="9" t="s">
        <v>1028</v>
      </c>
      <c r="C324" s="9" t="s">
        <v>323</v>
      </c>
      <c r="D324" s="10" t="s">
        <v>1029</v>
      </c>
      <c r="E324" s="9" t="s">
        <v>221</v>
      </c>
      <c r="F324" s="9" t="s">
        <v>326</v>
      </c>
      <c r="G324" s="10" t="s">
        <v>148</v>
      </c>
      <c r="H324" s="9" t="s">
        <v>60</v>
      </c>
      <c r="I324" s="11">
        <v>13.973896</v>
      </c>
      <c r="J324" s="11">
        <v>108.015126</v>
      </c>
      <c r="K324" s="9" t="s">
        <v>329</v>
      </c>
      <c r="L324" s="10"/>
      <c r="M324" s="12" t="s">
        <v>51</v>
      </c>
      <c r="N324" s="13" t="s">
        <v>52</v>
      </c>
      <c r="O324" s="14"/>
      <c r="P324" s="14"/>
      <c r="Q324" s="13" t="s">
        <v>53</v>
      </c>
      <c r="R324" s="15" t="s">
        <v>54</v>
      </c>
      <c r="S324" s="13" t="s">
        <v>55</v>
      </c>
      <c r="T324" s="13" t="s">
        <v>1030</v>
      </c>
      <c r="U324" s="16" t="str">
        <f t="shared" si="8"/>
        <v/>
      </c>
      <c r="V324" s="17" t="str">
        <f t="shared" si="9"/>
        <v>OK</v>
      </c>
    </row>
    <row r="325" spans="1:22" x14ac:dyDescent="0.25">
      <c r="A325" s="9">
        <v>321</v>
      </c>
      <c r="B325" s="9" t="s">
        <v>1031</v>
      </c>
      <c r="C325" s="9" t="s">
        <v>323</v>
      </c>
      <c r="D325" s="10" t="s">
        <v>1032</v>
      </c>
      <c r="E325" s="9" t="s">
        <v>221</v>
      </c>
      <c r="F325" s="9" t="s">
        <v>326</v>
      </c>
      <c r="G325" s="10" t="s">
        <v>475</v>
      </c>
      <c r="H325" s="9" t="s">
        <v>110</v>
      </c>
      <c r="I325" s="11">
        <v>14.015489000000001</v>
      </c>
      <c r="J325" s="11">
        <v>107.98577299999999</v>
      </c>
      <c r="K325" s="9" t="s">
        <v>329</v>
      </c>
      <c r="L325" s="10"/>
      <c r="M325" s="12" t="s">
        <v>51</v>
      </c>
      <c r="N325" s="13" t="s">
        <v>52</v>
      </c>
      <c r="O325" s="14"/>
      <c r="P325" s="14"/>
      <c r="Q325" s="13" t="s">
        <v>53</v>
      </c>
      <c r="R325" s="15" t="s">
        <v>54</v>
      </c>
      <c r="S325" s="13" t="s">
        <v>55</v>
      </c>
      <c r="T325" s="13" t="s">
        <v>1033</v>
      </c>
      <c r="U325" s="16" t="str">
        <f t="shared" ref="U325:U388" si="10">IF(AND(ISNUMBER(O325),ISNUMBER(P325)),ROUND(SQRT(((P325-J325)*111320*COS(RADIANS(I325)))^2+((O325-I325)*110540)^2),0),"")</f>
        <v/>
      </c>
      <c r="V325" s="17" t="str">
        <f t="shared" ref="V325:V388" si="11">IF(N325="","",IF(N325="Sửa vị trí",IF(OR(O325="",P325=""),"Thiếu vĩ độ / kinh độ mới",IF(OR(O325&lt;12.5,O325&gt;15,P325&lt;107,P325&gt;109.6),"Toạ độ ngoài Gia Lai (đảo vĩ/kinh độ?)",IF(Q325="","Chọn cách xác định",IF(U325&gt;20000,"Dời hơn 20 km – kiểm tra lại","OK")))),IF(AND(N325&lt;&gt;"Sửa vị trí",OR(O325&lt;&gt;"",P325&lt;&gt;"")),"Có toạ độ mới nhưng kết quả không phải Sửa vị trí","OK")))</f>
        <v>OK</v>
      </c>
    </row>
    <row r="326" spans="1:22" x14ac:dyDescent="0.25">
      <c r="A326" s="9">
        <v>322</v>
      </c>
      <c r="B326" s="9" t="s">
        <v>1034</v>
      </c>
      <c r="C326" s="9" t="s">
        <v>323</v>
      </c>
      <c r="D326" s="10" t="s">
        <v>1035</v>
      </c>
      <c r="E326" s="9" t="s">
        <v>1036</v>
      </c>
      <c r="F326" s="9" t="s">
        <v>326</v>
      </c>
      <c r="G326" s="10" t="s">
        <v>148</v>
      </c>
      <c r="H326" s="9" t="s">
        <v>60</v>
      </c>
      <c r="I326" s="11">
        <v>13.978438000000001</v>
      </c>
      <c r="J326" s="11">
        <v>108.012272</v>
      </c>
      <c r="K326" s="9" t="s">
        <v>329</v>
      </c>
      <c r="L326" s="10"/>
      <c r="M326" s="12" t="s">
        <v>51</v>
      </c>
      <c r="N326" s="13" t="s">
        <v>62</v>
      </c>
      <c r="O326" s="14">
        <v>14.085414</v>
      </c>
      <c r="P326" s="14">
        <v>108.038788</v>
      </c>
      <c r="Q326" s="13" t="s">
        <v>53</v>
      </c>
      <c r="R326" s="15" t="s">
        <v>54</v>
      </c>
      <c r="S326" s="13" t="s">
        <v>55</v>
      </c>
      <c r="T326" s="13" t="s">
        <v>1037</v>
      </c>
      <c r="U326" s="16">
        <f t="shared" si="10"/>
        <v>12167</v>
      </c>
      <c r="V326" s="17" t="str">
        <f t="shared" si="11"/>
        <v>OK</v>
      </c>
    </row>
    <row r="327" spans="1:22" x14ac:dyDescent="0.25">
      <c r="A327" s="9">
        <v>323</v>
      </c>
      <c r="B327" s="9" t="s">
        <v>1038</v>
      </c>
      <c r="C327" s="9" t="s">
        <v>323</v>
      </c>
      <c r="D327" s="10" t="s">
        <v>1039</v>
      </c>
      <c r="E327" s="9" t="s">
        <v>1036</v>
      </c>
      <c r="F327" s="9" t="s">
        <v>326</v>
      </c>
      <c r="G327" s="10" t="s">
        <v>469</v>
      </c>
      <c r="H327" s="9" t="s">
        <v>470</v>
      </c>
      <c r="I327" s="11">
        <v>14.554940999999999</v>
      </c>
      <c r="J327" s="11">
        <v>109.034429</v>
      </c>
      <c r="K327" s="9" t="s">
        <v>329</v>
      </c>
      <c r="L327" s="10"/>
      <c r="M327" s="12" t="s">
        <v>51</v>
      </c>
      <c r="N327" s="13" t="s">
        <v>69</v>
      </c>
      <c r="O327" s="14"/>
      <c r="P327" s="14"/>
      <c r="Q327" s="13" t="s">
        <v>70</v>
      </c>
      <c r="R327" s="15" t="s">
        <v>54</v>
      </c>
      <c r="S327" s="13" t="s">
        <v>55</v>
      </c>
      <c r="T327" s="13" t="s">
        <v>471</v>
      </c>
      <c r="U327" s="16" t="str">
        <f t="shared" si="10"/>
        <v/>
      </c>
      <c r="V327" s="17" t="str">
        <f t="shared" si="11"/>
        <v>OK</v>
      </c>
    </row>
    <row r="328" spans="1:22" x14ac:dyDescent="0.25">
      <c r="A328" s="9">
        <v>324</v>
      </c>
      <c r="B328" s="9" t="s">
        <v>1040</v>
      </c>
      <c r="C328" s="9" t="s">
        <v>323</v>
      </c>
      <c r="D328" s="10" t="s">
        <v>1035</v>
      </c>
      <c r="E328" s="9" t="s">
        <v>1036</v>
      </c>
      <c r="F328" s="9" t="s">
        <v>326</v>
      </c>
      <c r="G328" s="10" t="s">
        <v>637</v>
      </c>
      <c r="H328" s="9" t="s">
        <v>638</v>
      </c>
      <c r="I328" s="11">
        <v>13.577280999999999</v>
      </c>
      <c r="J328" s="11">
        <v>108.09992200000001</v>
      </c>
      <c r="K328" s="9" t="s">
        <v>329</v>
      </c>
      <c r="L328" s="10"/>
      <c r="M328" s="12" t="s">
        <v>51</v>
      </c>
      <c r="N328" s="13" t="s">
        <v>62</v>
      </c>
      <c r="O328" s="14">
        <v>13.600604000000001</v>
      </c>
      <c r="P328" s="14">
        <v>108.102507</v>
      </c>
      <c r="Q328" s="13" t="s">
        <v>53</v>
      </c>
      <c r="R328" s="15" t="s">
        <v>54</v>
      </c>
      <c r="S328" s="13" t="s">
        <v>55</v>
      </c>
      <c r="T328" s="13" t="s">
        <v>1041</v>
      </c>
      <c r="U328" s="16">
        <f t="shared" si="10"/>
        <v>2593</v>
      </c>
      <c r="V328" s="17" t="str">
        <f t="shared" si="11"/>
        <v>OK</v>
      </c>
    </row>
    <row r="329" spans="1:22" ht="38.25" x14ac:dyDescent="0.25">
      <c r="A329" s="9">
        <v>325</v>
      </c>
      <c r="B329" s="9" t="s">
        <v>1042</v>
      </c>
      <c r="C329" s="9" t="s">
        <v>323</v>
      </c>
      <c r="D329" s="10" t="s">
        <v>1043</v>
      </c>
      <c r="E329" s="9" t="s">
        <v>74</v>
      </c>
      <c r="F329" s="9" t="s">
        <v>46</v>
      </c>
      <c r="G329" s="10" t="s">
        <v>1044</v>
      </c>
      <c r="H329" s="9" t="s">
        <v>60</v>
      </c>
      <c r="I329" s="11">
        <v>13.982934999999999</v>
      </c>
      <c r="J329" s="11">
        <v>108.005989</v>
      </c>
      <c r="K329" s="9" t="s">
        <v>853</v>
      </c>
      <c r="L329" s="10" t="s">
        <v>1045</v>
      </c>
      <c r="M329" s="12" t="s">
        <v>51</v>
      </c>
      <c r="N329" s="13" t="s">
        <v>52</v>
      </c>
      <c r="O329" s="14"/>
      <c r="P329" s="14"/>
      <c r="Q329" s="13" t="s">
        <v>53</v>
      </c>
      <c r="R329" s="15" t="s">
        <v>54</v>
      </c>
      <c r="S329" s="13" t="s">
        <v>55</v>
      </c>
      <c r="T329" s="13" t="s">
        <v>1046</v>
      </c>
      <c r="U329" s="16" t="str">
        <f t="shared" si="10"/>
        <v/>
      </c>
      <c r="V329" s="17" t="str">
        <f t="shared" si="11"/>
        <v>OK</v>
      </c>
    </row>
    <row r="330" spans="1:22" ht="38.25" x14ac:dyDescent="0.25">
      <c r="A330" s="9">
        <v>326</v>
      </c>
      <c r="B330" s="9" t="s">
        <v>1047</v>
      </c>
      <c r="C330" s="9" t="s">
        <v>1048</v>
      </c>
      <c r="D330" s="10" t="s">
        <v>1049</v>
      </c>
      <c r="E330" s="9" t="s">
        <v>325</v>
      </c>
      <c r="F330" s="9" t="s">
        <v>1050</v>
      </c>
      <c r="G330" s="10" t="s">
        <v>1051</v>
      </c>
      <c r="H330" s="9" t="s">
        <v>1052</v>
      </c>
      <c r="I330" s="11">
        <v>13.960747</v>
      </c>
      <c r="J330" s="11">
        <v>108.638777</v>
      </c>
      <c r="K330" s="9" t="s">
        <v>329</v>
      </c>
      <c r="L330" s="10"/>
      <c r="M330" s="12" t="s">
        <v>51</v>
      </c>
      <c r="N330" s="13" t="s">
        <v>69</v>
      </c>
      <c r="O330" s="14"/>
      <c r="P330" s="14"/>
      <c r="Q330" s="13" t="s">
        <v>70</v>
      </c>
      <c r="R330" s="15" t="s">
        <v>54</v>
      </c>
      <c r="S330" s="13" t="s">
        <v>55</v>
      </c>
      <c r="T330" s="13" t="s">
        <v>1053</v>
      </c>
      <c r="U330" s="16" t="str">
        <f t="shared" si="10"/>
        <v/>
      </c>
      <c r="V330" s="17" t="str">
        <f t="shared" si="11"/>
        <v>OK</v>
      </c>
    </row>
    <row r="331" spans="1:22" ht="38.25" x14ac:dyDescent="0.25">
      <c r="A331" s="9">
        <v>327</v>
      </c>
      <c r="B331" s="9" t="s">
        <v>1054</v>
      </c>
      <c r="C331" s="9" t="s">
        <v>1048</v>
      </c>
      <c r="D331" s="10" t="s">
        <v>1049</v>
      </c>
      <c r="E331" s="9" t="s">
        <v>325</v>
      </c>
      <c r="F331" s="9" t="s">
        <v>1050</v>
      </c>
      <c r="G331" s="10" t="s">
        <v>1051</v>
      </c>
      <c r="H331" s="9" t="s">
        <v>1052</v>
      </c>
      <c r="I331" s="11">
        <v>13.960747</v>
      </c>
      <c r="J331" s="11">
        <v>108.638777</v>
      </c>
      <c r="K331" s="9" t="s">
        <v>329</v>
      </c>
      <c r="L331" s="10"/>
      <c r="M331" s="12" t="s">
        <v>51</v>
      </c>
      <c r="N331" s="13" t="s">
        <v>69</v>
      </c>
      <c r="O331" s="14"/>
      <c r="P331" s="14"/>
      <c r="Q331" s="13" t="s">
        <v>70</v>
      </c>
      <c r="R331" s="15" t="s">
        <v>54</v>
      </c>
      <c r="S331" s="13" t="s">
        <v>55</v>
      </c>
      <c r="T331" s="13" t="s">
        <v>1053</v>
      </c>
      <c r="U331" s="16" t="str">
        <f t="shared" si="10"/>
        <v/>
      </c>
      <c r="V331" s="17" t="str">
        <f t="shared" si="11"/>
        <v>OK</v>
      </c>
    </row>
    <row r="332" spans="1:22" ht="38.25" x14ac:dyDescent="0.25">
      <c r="A332" s="9">
        <v>328</v>
      </c>
      <c r="B332" s="9" t="s">
        <v>1055</v>
      </c>
      <c r="C332" s="9" t="s">
        <v>1048</v>
      </c>
      <c r="D332" s="10" t="s">
        <v>1049</v>
      </c>
      <c r="E332" s="9" t="s">
        <v>325</v>
      </c>
      <c r="F332" s="9" t="s">
        <v>1050</v>
      </c>
      <c r="G332" s="10" t="s">
        <v>1051</v>
      </c>
      <c r="H332" s="9" t="s">
        <v>1052</v>
      </c>
      <c r="I332" s="11">
        <v>13.960747</v>
      </c>
      <c r="J332" s="11">
        <v>108.638777</v>
      </c>
      <c r="K332" s="9" t="s">
        <v>329</v>
      </c>
      <c r="L332" s="10"/>
      <c r="M332" s="12" t="s">
        <v>51</v>
      </c>
      <c r="N332" s="13" t="s">
        <v>69</v>
      </c>
      <c r="O332" s="14"/>
      <c r="P332" s="14"/>
      <c r="Q332" s="13" t="s">
        <v>70</v>
      </c>
      <c r="R332" s="15" t="s">
        <v>54</v>
      </c>
      <c r="S332" s="13" t="s">
        <v>55</v>
      </c>
      <c r="T332" s="13" t="s">
        <v>1053</v>
      </c>
      <c r="U332" s="16" t="str">
        <f t="shared" si="10"/>
        <v/>
      </c>
      <c r="V332" s="17" t="str">
        <f t="shared" si="11"/>
        <v>OK</v>
      </c>
    </row>
    <row r="333" spans="1:22" ht="38.25" x14ac:dyDescent="0.25">
      <c r="A333" s="9">
        <v>329</v>
      </c>
      <c r="B333" s="9" t="s">
        <v>1056</v>
      </c>
      <c r="C333" s="9" t="s">
        <v>1048</v>
      </c>
      <c r="D333" s="10" t="s">
        <v>1057</v>
      </c>
      <c r="E333" s="9" t="s">
        <v>325</v>
      </c>
      <c r="F333" s="9" t="s">
        <v>1058</v>
      </c>
      <c r="G333" s="10" t="s">
        <v>1059</v>
      </c>
      <c r="H333" s="9" t="s">
        <v>1052</v>
      </c>
      <c r="I333" s="11">
        <v>13.983453000000001</v>
      </c>
      <c r="J333" s="11">
        <v>108.652321</v>
      </c>
      <c r="K333" s="9" t="s">
        <v>329</v>
      </c>
      <c r="L333" s="10"/>
      <c r="M333" s="12" t="s">
        <v>51</v>
      </c>
      <c r="N333" s="13" t="s">
        <v>69</v>
      </c>
      <c r="O333" s="14"/>
      <c r="P333" s="14"/>
      <c r="Q333" s="13" t="s">
        <v>70</v>
      </c>
      <c r="R333" s="15" t="s">
        <v>54</v>
      </c>
      <c r="S333" s="13" t="s">
        <v>55</v>
      </c>
      <c r="T333" s="13" t="s">
        <v>1060</v>
      </c>
      <c r="U333" s="16" t="str">
        <f t="shared" si="10"/>
        <v/>
      </c>
      <c r="V333" s="17" t="str">
        <f t="shared" si="11"/>
        <v>OK</v>
      </c>
    </row>
    <row r="334" spans="1:22" ht="38.25" x14ac:dyDescent="0.25">
      <c r="A334" s="9">
        <v>330</v>
      </c>
      <c r="B334" s="9" t="s">
        <v>1061</v>
      </c>
      <c r="C334" s="9" t="s">
        <v>1048</v>
      </c>
      <c r="D334" s="10" t="s">
        <v>1062</v>
      </c>
      <c r="E334" s="9" t="s">
        <v>325</v>
      </c>
      <c r="F334" s="9" t="s">
        <v>1050</v>
      </c>
      <c r="G334" s="10" t="s">
        <v>1063</v>
      </c>
      <c r="H334" s="9" t="s">
        <v>1052</v>
      </c>
      <c r="I334" s="11">
        <v>13.957298</v>
      </c>
      <c r="J334" s="11">
        <v>108.64429199999999</v>
      </c>
      <c r="K334" s="9" t="s">
        <v>329</v>
      </c>
      <c r="L334" s="10"/>
      <c r="M334" s="12" t="s">
        <v>51</v>
      </c>
      <c r="N334" s="13" t="s">
        <v>69</v>
      </c>
      <c r="O334" s="14"/>
      <c r="P334" s="14"/>
      <c r="Q334" s="13" t="s">
        <v>70</v>
      </c>
      <c r="R334" s="15" t="s">
        <v>54</v>
      </c>
      <c r="S334" s="13" t="s">
        <v>55</v>
      </c>
      <c r="T334" s="13" t="s">
        <v>1064</v>
      </c>
      <c r="U334" s="16" t="str">
        <f t="shared" si="10"/>
        <v/>
      </c>
      <c r="V334" s="17" t="str">
        <f t="shared" si="11"/>
        <v>OK</v>
      </c>
    </row>
    <row r="335" spans="1:22" ht="25.5" x14ac:dyDescent="0.25">
      <c r="A335" s="9">
        <v>331</v>
      </c>
      <c r="B335" s="9" t="s">
        <v>1065</v>
      </c>
      <c r="C335" s="9" t="s">
        <v>1048</v>
      </c>
      <c r="D335" s="10" t="s">
        <v>1066</v>
      </c>
      <c r="E335" s="9" t="s">
        <v>325</v>
      </c>
      <c r="F335" s="9" t="s">
        <v>1067</v>
      </c>
      <c r="G335" s="10" t="s">
        <v>1068</v>
      </c>
      <c r="H335" s="9" t="s">
        <v>181</v>
      </c>
      <c r="I335" s="11">
        <v>13.953410999999999</v>
      </c>
      <c r="J335" s="11">
        <v>108.66121200000001</v>
      </c>
      <c r="K335" s="9" t="s">
        <v>329</v>
      </c>
      <c r="L335" s="10"/>
      <c r="M335" s="12" t="s">
        <v>51</v>
      </c>
      <c r="N335" s="13" t="s">
        <v>52</v>
      </c>
      <c r="O335" s="14"/>
      <c r="P335" s="14"/>
      <c r="Q335" s="13" t="s">
        <v>53</v>
      </c>
      <c r="R335" s="15" t="s">
        <v>54</v>
      </c>
      <c r="S335" s="13" t="s">
        <v>55</v>
      </c>
      <c r="T335" s="13" t="s">
        <v>1069</v>
      </c>
      <c r="U335" s="16" t="str">
        <f t="shared" si="10"/>
        <v/>
      </c>
      <c r="V335" s="17" t="str">
        <f t="shared" si="11"/>
        <v>OK</v>
      </c>
    </row>
    <row r="336" spans="1:22" ht="38.25" x14ac:dyDescent="0.25">
      <c r="A336" s="9">
        <v>332</v>
      </c>
      <c r="B336" s="9" t="s">
        <v>1070</v>
      </c>
      <c r="C336" s="9" t="s">
        <v>1048</v>
      </c>
      <c r="D336" s="10" t="s">
        <v>1071</v>
      </c>
      <c r="E336" s="9" t="s">
        <v>325</v>
      </c>
      <c r="F336" s="9" t="s">
        <v>1058</v>
      </c>
      <c r="G336" s="10" t="s">
        <v>1072</v>
      </c>
      <c r="H336" s="9" t="s">
        <v>360</v>
      </c>
      <c r="I336" s="11">
        <v>13.852410000000001</v>
      </c>
      <c r="J336" s="11">
        <v>109.091431</v>
      </c>
      <c r="K336" s="9" t="s">
        <v>329</v>
      </c>
      <c r="L336" s="10"/>
      <c r="M336" s="12" t="s">
        <v>51</v>
      </c>
      <c r="N336" s="13" t="s">
        <v>69</v>
      </c>
      <c r="O336" s="14"/>
      <c r="P336" s="14"/>
      <c r="Q336" s="13" t="s">
        <v>70</v>
      </c>
      <c r="R336" s="15" t="s">
        <v>54</v>
      </c>
      <c r="S336" s="13" t="s">
        <v>55</v>
      </c>
      <c r="T336" s="13" t="s">
        <v>361</v>
      </c>
      <c r="U336" s="16" t="str">
        <f t="shared" si="10"/>
        <v/>
      </c>
      <c r="V336" s="17" t="str">
        <f t="shared" si="11"/>
        <v>OK</v>
      </c>
    </row>
    <row r="337" spans="1:22" ht="38.25" x14ac:dyDescent="0.25">
      <c r="A337" s="9">
        <v>333</v>
      </c>
      <c r="B337" s="9" t="s">
        <v>1073</v>
      </c>
      <c r="C337" s="9" t="s">
        <v>1048</v>
      </c>
      <c r="D337" s="10" t="s">
        <v>1074</v>
      </c>
      <c r="E337" s="9" t="s">
        <v>325</v>
      </c>
      <c r="F337" s="9" t="s">
        <v>1050</v>
      </c>
      <c r="G337" s="10" t="s">
        <v>1075</v>
      </c>
      <c r="H337" s="9" t="s">
        <v>199</v>
      </c>
      <c r="I337" s="11">
        <v>13.402763999999999</v>
      </c>
      <c r="J337" s="11">
        <v>108.43980999999999</v>
      </c>
      <c r="K337" s="9" t="s">
        <v>329</v>
      </c>
      <c r="L337" s="10"/>
      <c r="M337" s="12" t="s">
        <v>51</v>
      </c>
      <c r="N337" s="13" t="s">
        <v>62</v>
      </c>
      <c r="O337" s="14">
        <v>13.400785000000001</v>
      </c>
      <c r="P337" s="14">
        <v>108.442865</v>
      </c>
      <c r="Q337" s="13" t="s">
        <v>53</v>
      </c>
      <c r="R337" s="15" t="s">
        <v>54</v>
      </c>
      <c r="S337" s="13" t="s">
        <v>55</v>
      </c>
      <c r="T337" s="13" t="s">
        <v>1076</v>
      </c>
      <c r="U337" s="16">
        <f t="shared" si="10"/>
        <v>397</v>
      </c>
      <c r="V337" s="17" t="str">
        <f t="shared" si="11"/>
        <v>OK</v>
      </c>
    </row>
    <row r="338" spans="1:22" ht="38.25" x14ac:dyDescent="0.25">
      <c r="A338" s="9">
        <v>334</v>
      </c>
      <c r="B338" s="9" t="s">
        <v>1077</v>
      </c>
      <c r="C338" s="9" t="s">
        <v>1048</v>
      </c>
      <c r="D338" s="10" t="s">
        <v>1074</v>
      </c>
      <c r="E338" s="9" t="s">
        <v>325</v>
      </c>
      <c r="F338" s="9" t="s">
        <v>1050</v>
      </c>
      <c r="G338" s="10" t="s">
        <v>1075</v>
      </c>
      <c r="H338" s="9" t="s">
        <v>199</v>
      </c>
      <c r="I338" s="11">
        <v>13.402763999999999</v>
      </c>
      <c r="J338" s="11">
        <v>108.43980999999999</v>
      </c>
      <c r="K338" s="9" t="s">
        <v>329</v>
      </c>
      <c r="L338" s="10"/>
      <c r="M338" s="12" t="s">
        <v>51</v>
      </c>
      <c r="N338" s="13" t="s">
        <v>62</v>
      </c>
      <c r="O338" s="14">
        <v>13.400785000000001</v>
      </c>
      <c r="P338" s="14">
        <v>108.442865</v>
      </c>
      <c r="Q338" s="13" t="s">
        <v>53</v>
      </c>
      <c r="R338" s="15" t="s">
        <v>54</v>
      </c>
      <c r="S338" s="13" t="s">
        <v>55</v>
      </c>
      <c r="T338" s="13" t="s">
        <v>1076</v>
      </c>
      <c r="U338" s="16">
        <f t="shared" si="10"/>
        <v>397</v>
      </c>
      <c r="V338" s="17" t="str">
        <f t="shared" si="11"/>
        <v>OK</v>
      </c>
    </row>
    <row r="339" spans="1:22" ht="38.25" x14ac:dyDescent="0.25">
      <c r="A339" s="9">
        <v>335</v>
      </c>
      <c r="B339" s="9" t="s">
        <v>1078</v>
      </c>
      <c r="C339" s="9" t="s">
        <v>1048</v>
      </c>
      <c r="D339" s="10" t="s">
        <v>1074</v>
      </c>
      <c r="E339" s="9" t="s">
        <v>325</v>
      </c>
      <c r="F339" s="9" t="s">
        <v>1050</v>
      </c>
      <c r="G339" s="10" t="s">
        <v>1075</v>
      </c>
      <c r="H339" s="9" t="s">
        <v>199</v>
      </c>
      <c r="I339" s="11">
        <v>13.402763999999999</v>
      </c>
      <c r="J339" s="11">
        <v>108.43980999999999</v>
      </c>
      <c r="K339" s="9" t="s">
        <v>329</v>
      </c>
      <c r="L339" s="10"/>
      <c r="M339" s="12" t="s">
        <v>51</v>
      </c>
      <c r="N339" s="13" t="s">
        <v>62</v>
      </c>
      <c r="O339" s="14">
        <v>13.400785000000001</v>
      </c>
      <c r="P339" s="14">
        <v>108.442865</v>
      </c>
      <c r="Q339" s="13" t="s">
        <v>53</v>
      </c>
      <c r="R339" s="15" t="s">
        <v>54</v>
      </c>
      <c r="S339" s="13" t="s">
        <v>55</v>
      </c>
      <c r="T339" s="13" t="s">
        <v>1076</v>
      </c>
      <c r="U339" s="16">
        <f t="shared" si="10"/>
        <v>397</v>
      </c>
      <c r="V339" s="17" t="str">
        <f t="shared" si="11"/>
        <v>OK</v>
      </c>
    </row>
    <row r="340" spans="1:22" ht="38.25" x14ac:dyDescent="0.25">
      <c r="A340" s="9">
        <v>336</v>
      </c>
      <c r="B340" s="9" t="s">
        <v>1079</v>
      </c>
      <c r="C340" s="9" t="s">
        <v>1048</v>
      </c>
      <c r="D340" s="10" t="s">
        <v>1074</v>
      </c>
      <c r="E340" s="9" t="s">
        <v>325</v>
      </c>
      <c r="F340" s="9" t="s">
        <v>1050</v>
      </c>
      <c r="G340" s="10" t="s">
        <v>1075</v>
      </c>
      <c r="H340" s="9" t="s">
        <v>199</v>
      </c>
      <c r="I340" s="11">
        <v>13.402763999999999</v>
      </c>
      <c r="J340" s="11">
        <v>108.43980999999999</v>
      </c>
      <c r="K340" s="9" t="s">
        <v>329</v>
      </c>
      <c r="L340" s="10"/>
      <c r="M340" s="12" t="s">
        <v>51</v>
      </c>
      <c r="N340" s="13" t="s">
        <v>62</v>
      </c>
      <c r="O340" s="14">
        <v>13.400785000000001</v>
      </c>
      <c r="P340" s="14">
        <v>108.442865</v>
      </c>
      <c r="Q340" s="13" t="s">
        <v>53</v>
      </c>
      <c r="R340" s="15" t="s">
        <v>54</v>
      </c>
      <c r="S340" s="13" t="s">
        <v>55</v>
      </c>
      <c r="T340" s="13" t="s">
        <v>1076</v>
      </c>
      <c r="U340" s="16">
        <f t="shared" si="10"/>
        <v>397</v>
      </c>
      <c r="V340" s="17" t="str">
        <f t="shared" si="11"/>
        <v>OK</v>
      </c>
    </row>
    <row r="341" spans="1:22" ht="38.25" x14ac:dyDescent="0.25">
      <c r="A341" s="9">
        <v>337</v>
      </c>
      <c r="B341" s="9" t="s">
        <v>1080</v>
      </c>
      <c r="C341" s="9" t="s">
        <v>1048</v>
      </c>
      <c r="D341" s="10" t="s">
        <v>1081</v>
      </c>
      <c r="E341" s="9" t="s">
        <v>325</v>
      </c>
      <c r="F341" s="9" t="s">
        <v>1067</v>
      </c>
      <c r="G341" s="10" t="s">
        <v>1082</v>
      </c>
      <c r="H341" s="9" t="s">
        <v>377</v>
      </c>
      <c r="I341" s="11">
        <v>13.889006999999999</v>
      </c>
      <c r="J341" s="11">
        <v>109.114931</v>
      </c>
      <c r="K341" s="9" t="s">
        <v>329</v>
      </c>
      <c r="L341" s="10"/>
      <c r="M341" s="12" t="s">
        <v>51</v>
      </c>
      <c r="N341" s="13" t="s">
        <v>69</v>
      </c>
      <c r="O341" s="14"/>
      <c r="P341" s="14"/>
      <c r="Q341" s="13" t="s">
        <v>70</v>
      </c>
      <c r="R341" s="15" t="s">
        <v>54</v>
      </c>
      <c r="S341" s="13" t="s">
        <v>55</v>
      </c>
      <c r="T341" s="13" t="s">
        <v>361</v>
      </c>
      <c r="U341" s="16" t="str">
        <f t="shared" si="10"/>
        <v/>
      </c>
      <c r="V341" s="17" t="str">
        <f t="shared" si="11"/>
        <v>OK</v>
      </c>
    </row>
    <row r="342" spans="1:22" ht="38.25" x14ac:dyDescent="0.25">
      <c r="A342" s="9">
        <v>338</v>
      </c>
      <c r="B342" s="9" t="s">
        <v>1083</v>
      </c>
      <c r="C342" s="9" t="s">
        <v>1048</v>
      </c>
      <c r="D342" s="10" t="s">
        <v>1084</v>
      </c>
      <c r="E342" s="9" t="s">
        <v>325</v>
      </c>
      <c r="F342" s="9" t="s">
        <v>1058</v>
      </c>
      <c r="G342" s="10" t="s">
        <v>1085</v>
      </c>
      <c r="H342" s="9" t="s">
        <v>377</v>
      </c>
      <c r="I342" s="11">
        <v>13.88851</v>
      </c>
      <c r="J342" s="11">
        <v>109.118279</v>
      </c>
      <c r="K342" s="9" t="s">
        <v>329</v>
      </c>
      <c r="L342" s="10"/>
      <c r="M342" s="12" t="s">
        <v>51</v>
      </c>
      <c r="N342" s="13" t="s">
        <v>69</v>
      </c>
      <c r="O342" s="14"/>
      <c r="P342" s="14"/>
      <c r="Q342" s="13" t="s">
        <v>70</v>
      </c>
      <c r="R342" s="15" t="s">
        <v>54</v>
      </c>
      <c r="S342" s="13" t="s">
        <v>55</v>
      </c>
      <c r="T342" s="13" t="s">
        <v>361</v>
      </c>
      <c r="U342" s="16" t="str">
        <f t="shared" si="10"/>
        <v/>
      </c>
      <c r="V342" s="17" t="str">
        <f t="shared" si="11"/>
        <v>OK</v>
      </c>
    </row>
    <row r="343" spans="1:22" ht="38.25" x14ac:dyDescent="0.25">
      <c r="A343" s="9">
        <v>339</v>
      </c>
      <c r="B343" s="9" t="s">
        <v>1086</v>
      </c>
      <c r="C343" s="9" t="s">
        <v>1048</v>
      </c>
      <c r="D343" s="10" t="s">
        <v>1087</v>
      </c>
      <c r="E343" s="9" t="s">
        <v>325</v>
      </c>
      <c r="F343" s="9" t="s">
        <v>1050</v>
      </c>
      <c r="G343" s="10" t="s">
        <v>1088</v>
      </c>
      <c r="H343" s="9" t="s">
        <v>382</v>
      </c>
      <c r="I343" s="11">
        <v>14.430172000000001</v>
      </c>
      <c r="J343" s="11">
        <v>109.01625300000001</v>
      </c>
      <c r="K343" s="9" t="s">
        <v>329</v>
      </c>
      <c r="L343" s="10"/>
      <c r="M343" s="12" t="s">
        <v>51</v>
      </c>
      <c r="N343" s="13" t="s">
        <v>69</v>
      </c>
      <c r="O343" s="14"/>
      <c r="P343" s="14"/>
      <c r="Q343" s="13" t="s">
        <v>70</v>
      </c>
      <c r="R343" s="15" t="s">
        <v>54</v>
      </c>
      <c r="S343" s="13" t="s">
        <v>55</v>
      </c>
      <c r="T343" s="13" t="s">
        <v>397</v>
      </c>
      <c r="U343" s="16" t="str">
        <f t="shared" si="10"/>
        <v/>
      </c>
      <c r="V343" s="17" t="str">
        <f t="shared" si="11"/>
        <v>OK</v>
      </c>
    </row>
    <row r="344" spans="1:22" ht="38.25" x14ac:dyDescent="0.25">
      <c r="A344" s="9">
        <v>340</v>
      </c>
      <c r="B344" s="9" t="s">
        <v>1089</v>
      </c>
      <c r="C344" s="9" t="s">
        <v>1048</v>
      </c>
      <c r="D344" s="10" t="s">
        <v>1090</v>
      </c>
      <c r="E344" s="9" t="s">
        <v>325</v>
      </c>
      <c r="F344" s="9" t="s">
        <v>1067</v>
      </c>
      <c r="G344" s="10" t="s">
        <v>1091</v>
      </c>
      <c r="H344" s="9" t="s">
        <v>382</v>
      </c>
      <c r="I344" s="11">
        <v>14.430120000000001</v>
      </c>
      <c r="J344" s="11">
        <v>109.016862</v>
      </c>
      <c r="K344" s="9" t="s">
        <v>329</v>
      </c>
      <c r="L344" s="10"/>
      <c r="M344" s="12" t="s">
        <v>51</v>
      </c>
      <c r="N344" s="13" t="s">
        <v>69</v>
      </c>
      <c r="O344" s="14"/>
      <c r="P344" s="14"/>
      <c r="Q344" s="13" t="s">
        <v>70</v>
      </c>
      <c r="R344" s="15" t="s">
        <v>54</v>
      </c>
      <c r="S344" s="13" t="s">
        <v>55</v>
      </c>
      <c r="T344" s="13" t="s">
        <v>383</v>
      </c>
      <c r="U344" s="16" t="str">
        <f t="shared" si="10"/>
        <v/>
      </c>
      <c r="V344" s="17" t="str">
        <f t="shared" si="11"/>
        <v>OK</v>
      </c>
    </row>
    <row r="345" spans="1:22" ht="38.25" x14ac:dyDescent="0.25">
      <c r="A345" s="9">
        <v>341</v>
      </c>
      <c r="B345" s="9" t="s">
        <v>1092</v>
      </c>
      <c r="C345" s="9" t="s">
        <v>1048</v>
      </c>
      <c r="D345" s="10" t="s">
        <v>1093</v>
      </c>
      <c r="E345" s="9" t="s">
        <v>325</v>
      </c>
      <c r="F345" s="9" t="s">
        <v>1067</v>
      </c>
      <c r="G345" s="10" t="s">
        <v>1094</v>
      </c>
      <c r="H345" s="9" t="s">
        <v>382</v>
      </c>
      <c r="I345" s="11">
        <v>14.422518</v>
      </c>
      <c r="J345" s="11">
        <v>109.00461</v>
      </c>
      <c r="K345" s="9" t="s">
        <v>329</v>
      </c>
      <c r="L345" s="10"/>
      <c r="M345" s="12" t="s">
        <v>51</v>
      </c>
      <c r="N345" s="13" t="s">
        <v>69</v>
      </c>
      <c r="O345" s="14"/>
      <c r="P345" s="14"/>
      <c r="Q345" s="13" t="s">
        <v>70</v>
      </c>
      <c r="R345" s="15" t="s">
        <v>54</v>
      </c>
      <c r="S345" s="13" t="s">
        <v>55</v>
      </c>
      <c r="T345" s="13" t="s">
        <v>383</v>
      </c>
      <c r="U345" s="16" t="str">
        <f t="shared" si="10"/>
        <v/>
      </c>
      <c r="V345" s="17" t="str">
        <f t="shared" si="11"/>
        <v>OK</v>
      </c>
    </row>
    <row r="346" spans="1:22" ht="38.25" x14ac:dyDescent="0.25">
      <c r="A346" s="9">
        <v>342</v>
      </c>
      <c r="B346" s="9" t="s">
        <v>1095</v>
      </c>
      <c r="C346" s="9" t="s">
        <v>1048</v>
      </c>
      <c r="D346" s="10" t="s">
        <v>1096</v>
      </c>
      <c r="E346" s="9" t="s">
        <v>325</v>
      </c>
      <c r="F346" s="9" t="s">
        <v>1058</v>
      </c>
      <c r="G346" s="10" t="s">
        <v>1097</v>
      </c>
      <c r="H346" s="9" t="s">
        <v>382</v>
      </c>
      <c r="I346" s="11">
        <v>14.436797</v>
      </c>
      <c r="J346" s="11">
        <v>109.01809799999999</v>
      </c>
      <c r="K346" s="9" t="s">
        <v>329</v>
      </c>
      <c r="L346" s="10"/>
      <c r="M346" s="12" t="s">
        <v>51</v>
      </c>
      <c r="N346" s="13" t="s">
        <v>69</v>
      </c>
      <c r="O346" s="14"/>
      <c r="P346" s="14"/>
      <c r="Q346" s="13" t="s">
        <v>70</v>
      </c>
      <c r="R346" s="15" t="s">
        <v>54</v>
      </c>
      <c r="S346" s="13" t="s">
        <v>55</v>
      </c>
      <c r="T346" s="13" t="s">
        <v>397</v>
      </c>
      <c r="U346" s="16" t="str">
        <f t="shared" si="10"/>
        <v/>
      </c>
      <c r="V346" s="17" t="str">
        <f t="shared" si="11"/>
        <v>OK</v>
      </c>
    </row>
    <row r="347" spans="1:22" ht="38.25" x14ac:dyDescent="0.25">
      <c r="A347" s="9">
        <v>343</v>
      </c>
      <c r="B347" s="9" t="s">
        <v>1098</v>
      </c>
      <c r="C347" s="9" t="s">
        <v>1048</v>
      </c>
      <c r="D347" s="10" t="s">
        <v>1099</v>
      </c>
      <c r="E347" s="9" t="s">
        <v>325</v>
      </c>
      <c r="F347" s="9" t="s">
        <v>1067</v>
      </c>
      <c r="G347" s="10" t="s">
        <v>1100</v>
      </c>
      <c r="H347" s="9" t="s">
        <v>382</v>
      </c>
      <c r="I347" s="11">
        <v>14.430120000000001</v>
      </c>
      <c r="J347" s="11">
        <v>109.016862</v>
      </c>
      <c r="K347" s="9" t="s">
        <v>329</v>
      </c>
      <c r="L347" s="10"/>
      <c r="M347" s="12" t="s">
        <v>51</v>
      </c>
      <c r="N347" s="13" t="s">
        <v>69</v>
      </c>
      <c r="O347" s="14"/>
      <c r="P347" s="14"/>
      <c r="Q347" s="13" t="s">
        <v>70</v>
      </c>
      <c r="R347" s="15" t="s">
        <v>54</v>
      </c>
      <c r="S347" s="13" t="s">
        <v>55</v>
      </c>
      <c r="T347" s="13" t="s">
        <v>383</v>
      </c>
      <c r="U347" s="16" t="str">
        <f t="shared" si="10"/>
        <v/>
      </c>
      <c r="V347" s="17" t="str">
        <f t="shared" si="11"/>
        <v>OK</v>
      </c>
    </row>
    <row r="348" spans="1:22" ht="38.25" x14ac:dyDescent="0.25">
      <c r="A348" s="9">
        <v>344</v>
      </c>
      <c r="B348" s="9" t="s">
        <v>1101</v>
      </c>
      <c r="C348" s="9" t="s">
        <v>1048</v>
      </c>
      <c r="D348" s="10" t="s">
        <v>1102</v>
      </c>
      <c r="E348" s="9" t="s">
        <v>325</v>
      </c>
      <c r="F348" s="9" t="s">
        <v>1050</v>
      </c>
      <c r="G348" s="10" t="s">
        <v>1103</v>
      </c>
      <c r="H348" s="9" t="s">
        <v>88</v>
      </c>
      <c r="I348" s="11">
        <v>13.979666999999999</v>
      </c>
      <c r="J348" s="11">
        <v>107.99302900000001</v>
      </c>
      <c r="K348" s="9" t="s">
        <v>329</v>
      </c>
      <c r="L348" s="10"/>
      <c r="M348" s="12" t="s">
        <v>51</v>
      </c>
      <c r="N348" s="13" t="s">
        <v>69</v>
      </c>
      <c r="O348" s="14"/>
      <c r="P348" s="14"/>
      <c r="Q348" s="13" t="s">
        <v>70</v>
      </c>
      <c r="R348" s="15" t="s">
        <v>54</v>
      </c>
      <c r="S348" s="13" t="s">
        <v>55</v>
      </c>
      <c r="T348" s="13" t="s">
        <v>1104</v>
      </c>
      <c r="U348" s="16" t="str">
        <f t="shared" si="10"/>
        <v/>
      </c>
      <c r="V348" s="17" t="str">
        <f t="shared" si="11"/>
        <v>OK</v>
      </c>
    </row>
    <row r="349" spans="1:22" ht="38.25" x14ac:dyDescent="0.25">
      <c r="A349" s="9">
        <v>345</v>
      </c>
      <c r="B349" s="9" t="s">
        <v>1105</v>
      </c>
      <c r="C349" s="9" t="s">
        <v>1048</v>
      </c>
      <c r="D349" s="10" t="s">
        <v>1102</v>
      </c>
      <c r="E349" s="9" t="s">
        <v>325</v>
      </c>
      <c r="F349" s="9" t="s">
        <v>1050</v>
      </c>
      <c r="G349" s="10" t="s">
        <v>1103</v>
      </c>
      <c r="H349" s="9" t="s">
        <v>88</v>
      </c>
      <c r="I349" s="11">
        <v>13.979666999999999</v>
      </c>
      <c r="J349" s="11">
        <v>107.99302900000001</v>
      </c>
      <c r="K349" s="9" t="s">
        <v>329</v>
      </c>
      <c r="L349" s="10"/>
      <c r="M349" s="12" t="s">
        <v>51</v>
      </c>
      <c r="N349" s="13" t="s">
        <v>69</v>
      </c>
      <c r="O349" s="14"/>
      <c r="P349" s="14"/>
      <c r="Q349" s="13" t="s">
        <v>70</v>
      </c>
      <c r="R349" s="15" t="s">
        <v>54</v>
      </c>
      <c r="S349" s="13" t="s">
        <v>55</v>
      </c>
      <c r="T349" s="13" t="s">
        <v>1104</v>
      </c>
      <c r="U349" s="16" t="str">
        <f t="shared" si="10"/>
        <v/>
      </c>
      <c r="V349" s="17" t="str">
        <f t="shared" si="11"/>
        <v>OK</v>
      </c>
    </row>
    <row r="350" spans="1:22" ht="38.25" x14ac:dyDescent="0.25">
      <c r="A350" s="9">
        <v>346</v>
      </c>
      <c r="B350" s="9" t="s">
        <v>1106</v>
      </c>
      <c r="C350" s="9" t="s">
        <v>1048</v>
      </c>
      <c r="D350" s="10" t="s">
        <v>1107</v>
      </c>
      <c r="E350" s="9" t="s">
        <v>325</v>
      </c>
      <c r="F350" s="9" t="s">
        <v>1050</v>
      </c>
      <c r="G350" s="10" t="s">
        <v>1108</v>
      </c>
      <c r="H350" s="9" t="s">
        <v>88</v>
      </c>
      <c r="I350" s="11">
        <v>13.977149000000001</v>
      </c>
      <c r="J350" s="11">
        <v>107.99471699999999</v>
      </c>
      <c r="K350" s="9" t="s">
        <v>329</v>
      </c>
      <c r="L350" s="10"/>
      <c r="M350" s="12" t="s">
        <v>51</v>
      </c>
      <c r="N350" s="13" t="s">
        <v>62</v>
      </c>
      <c r="O350" s="14">
        <v>13.977463999999999</v>
      </c>
      <c r="P350" s="14">
        <v>107.99623800000001</v>
      </c>
      <c r="Q350" s="13" t="s">
        <v>53</v>
      </c>
      <c r="R350" s="15" t="s">
        <v>54</v>
      </c>
      <c r="S350" s="13" t="s">
        <v>55</v>
      </c>
      <c r="T350" s="13" t="s">
        <v>1109</v>
      </c>
      <c r="U350" s="16">
        <f t="shared" si="10"/>
        <v>168</v>
      </c>
      <c r="V350" s="17" t="str">
        <f t="shared" si="11"/>
        <v>OK</v>
      </c>
    </row>
    <row r="351" spans="1:22" ht="38.25" x14ac:dyDescent="0.25">
      <c r="A351" s="9">
        <v>347</v>
      </c>
      <c r="B351" s="9" t="s">
        <v>1110</v>
      </c>
      <c r="C351" s="9" t="s">
        <v>1048</v>
      </c>
      <c r="D351" s="10" t="s">
        <v>1111</v>
      </c>
      <c r="E351" s="9" t="s">
        <v>325</v>
      </c>
      <c r="F351" s="9" t="s">
        <v>1050</v>
      </c>
      <c r="G351" s="10" t="s">
        <v>1112</v>
      </c>
      <c r="H351" s="9" t="s">
        <v>88</v>
      </c>
      <c r="I351" s="11">
        <v>13.980354999999999</v>
      </c>
      <c r="J351" s="11">
        <v>107.99549500000001</v>
      </c>
      <c r="K351" s="9" t="s">
        <v>329</v>
      </c>
      <c r="L351" s="10"/>
      <c r="M351" s="12" t="s">
        <v>51</v>
      </c>
      <c r="N351" s="13" t="s">
        <v>69</v>
      </c>
      <c r="O351" s="14"/>
      <c r="P351" s="14"/>
      <c r="Q351" s="13" t="s">
        <v>70</v>
      </c>
      <c r="R351" s="15" t="s">
        <v>54</v>
      </c>
      <c r="S351" s="13" t="s">
        <v>55</v>
      </c>
      <c r="T351" s="13" t="s">
        <v>1113</v>
      </c>
      <c r="U351" s="16" t="str">
        <f t="shared" si="10"/>
        <v/>
      </c>
      <c r="V351" s="17" t="str">
        <f t="shared" si="11"/>
        <v>OK</v>
      </c>
    </row>
    <row r="352" spans="1:22" ht="38.25" x14ac:dyDescent="0.25">
      <c r="A352" s="9">
        <v>348</v>
      </c>
      <c r="B352" s="9" t="s">
        <v>1114</v>
      </c>
      <c r="C352" s="9" t="s">
        <v>1048</v>
      </c>
      <c r="D352" s="10" t="s">
        <v>1111</v>
      </c>
      <c r="E352" s="9" t="s">
        <v>325</v>
      </c>
      <c r="F352" s="9" t="s">
        <v>1050</v>
      </c>
      <c r="G352" s="10" t="s">
        <v>1112</v>
      </c>
      <c r="H352" s="9" t="s">
        <v>88</v>
      </c>
      <c r="I352" s="11">
        <v>13.980354999999999</v>
      </c>
      <c r="J352" s="11">
        <v>107.99549500000001</v>
      </c>
      <c r="K352" s="9" t="s">
        <v>329</v>
      </c>
      <c r="L352" s="10"/>
      <c r="M352" s="12" t="s">
        <v>51</v>
      </c>
      <c r="N352" s="13" t="s">
        <v>69</v>
      </c>
      <c r="O352" s="14"/>
      <c r="P352" s="14"/>
      <c r="Q352" s="13" t="s">
        <v>70</v>
      </c>
      <c r="R352" s="15" t="s">
        <v>54</v>
      </c>
      <c r="S352" s="13" t="s">
        <v>55</v>
      </c>
      <c r="T352" s="13" t="s">
        <v>1113</v>
      </c>
      <c r="U352" s="16" t="str">
        <f t="shared" si="10"/>
        <v/>
      </c>
      <c r="V352" s="17" t="str">
        <f t="shared" si="11"/>
        <v>OK</v>
      </c>
    </row>
    <row r="353" spans="1:22" ht="38.25" x14ac:dyDescent="0.25">
      <c r="A353" s="9">
        <v>349</v>
      </c>
      <c r="B353" s="9" t="s">
        <v>1115</v>
      </c>
      <c r="C353" s="9" t="s">
        <v>1048</v>
      </c>
      <c r="D353" s="10" t="s">
        <v>1111</v>
      </c>
      <c r="E353" s="9" t="s">
        <v>325</v>
      </c>
      <c r="F353" s="9" t="s">
        <v>1050</v>
      </c>
      <c r="G353" s="10" t="s">
        <v>1112</v>
      </c>
      <c r="H353" s="9" t="s">
        <v>88</v>
      </c>
      <c r="I353" s="11">
        <v>13.980354999999999</v>
      </c>
      <c r="J353" s="11">
        <v>107.99549500000001</v>
      </c>
      <c r="K353" s="9" t="s">
        <v>329</v>
      </c>
      <c r="L353" s="10"/>
      <c r="M353" s="12" t="s">
        <v>51</v>
      </c>
      <c r="N353" s="13" t="s">
        <v>69</v>
      </c>
      <c r="O353" s="14"/>
      <c r="P353" s="14"/>
      <c r="Q353" s="13" t="s">
        <v>70</v>
      </c>
      <c r="R353" s="15" t="s">
        <v>54</v>
      </c>
      <c r="S353" s="13" t="s">
        <v>55</v>
      </c>
      <c r="T353" s="13" t="s">
        <v>1113</v>
      </c>
      <c r="U353" s="16" t="str">
        <f t="shared" si="10"/>
        <v/>
      </c>
      <c r="V353" s="17" t="str">
        <f t="shared" si="11"/>
        <v>OK</v>
      </c>
    </row>
    <row r="354" spans="1:22" ht="25.5" x14ac:dyDescent="0.25">
      <c r="A354" s="9">
        <v>350</v>
      </c>
      <c r="B354" s="9" t="s">
        <v>1116</v>
      </c>
      <c r="C354" s="9" t="s">
        <v>1048</v>
      </c>
      <c r="D354" s="10" t="s">
        <v>1117</v>
      </c>
      <c r="E354" s="9" t="s">
        <v>325</v>
      </c>
      <c r="F354" s="9" t="s">
        <v>1067</v>
      </c>
      <c r="G354" s="10" t="s">
        <v>1118</v>
      </c>
      <c r="H354" s="9" t="s">
        <v>88</v>
      </c>
      <c r="I354" s="11">
        <v>13.977774999999999</v>
      </c>
      <c r="J354" s="11">
        <v>107.995581</v>
      </c>
      <c r="K354" s="9" t="s">
        <v>329</v>
      </c>
      <c r="L354" s="10"/>
      <c r="M354" s="12" t="s">
        <v>51</v>
      </c>
      <c r="N354" s="13" t="s">
        <v>62</v>
      </c>
      <c r="O354" s="14">
        <v>13.977662</v>
      </c>
      <c r="P354" s="14">
        <v>107.995869</v>
      </c>
      <c r="Q354" s="13" t="s">
        <v>53</v>
      </c>
      <c r="R354" s="15" t="s">
        <v>54</v>
      </c>
      <c r="S354" s="13" t="s">
        <v>55</v>
      </c>
      <c r="T354" s="13" t="s">
        <v>1119</v>
      </c>
      <c r="U354" s="16">
        <f t="shared" si="10"/>
        <v>34</v>
      </c>
      <c r="V354" s="17" t="str">
        <f t="shared" si="11"/>
        <v>OK</v>
      </c>
    </row>
    <row r="355" spans="1:22" ht="25.5" x14ac:dyDescent="0.25">
      <c r="A355" s="9">
        <v>351</v>
      </c>
      <c r="B355" s="9" t="s">
        <v>1120</v>
      </c>
      <c r="C355" s="9" t="s">
        <v>1048</v>
      </c>
      <c r="D355" s="10" t="s">
        <v>1121</v>
      </c>
      <c r="E355" s="9" t="s">
        <v>325</v>
      </c>
      <c r="F355" s="9" t="s">
        <v>1067</v>
      </c>
      <c r="G355" s="10" t="s">
        <v>1122</v>
      </c>
      <c r="H355" s="9" t="s">
        <v>88</v>
      </c>
      <c r="I355" s="11">
        <v>13.979797</v>
      </c>
      <c r="J355" s="11">
        <v>107.993359</v>
      </c>
      <c r="K355" s="9" t="s">
        <v>329</v>
      </c>
      <c r="L355" s="10"/>
      <c r="M355" s="12" t="s">
        <v>51</v>
      </c>
      <c r="N355" s="13" t="s">
        <v>62</v>
      </c>
      <c r="O355" s="14">
        <v>13.978116</v>
      </c>
      <c r="P355" s="14">
        <v>107.997964</v>
      </c>
      <c r="Q355" s="13" t="s">
        <v>53</v>
      </c>
      <c r="R355" s="15" t="s">
        <v>54</v>
      </c>
      <c r="S355" s="13" t="s">
        <v>55</v>
      </c>
      <c r="T355" s="13" t="s">
        <v>1123</v>
      </c>
      <c r="U355" s="16">
        <f t="shared" si="10"/>
        <v>531</v>
      </c>
      <c r="V355" s="17" t="str">
        <f t="shared" si="11"/>
        <v>OK</v>
      </c>
    </row>
    <row r="356" spans="1:22" ht="25.5" x14ac:dyDescent="0.25">
      <c r="A356" s="9">
        <v>352</v>
      </c>
      <c r="B356" s="9" t="s">
        <v>1124</v>
      </c>
      <c r="C356" s="9" t="s">
        <v>1048</v>
      </c>
      <c r="D356" s="10" t="s">
        <v>1125</v>
      </c>
      <c r="E356" s="9" t="s">
        <v>325</v>
      </c>
      <c r="F356" s="9" t="s">
        <v>1067</v>
      </c>
      <c r="G356" s="10" t="s">
        <v>1126</v>
      </c>
      <c r="H356" s="9" t="s">
        <v>88</v>
      </c>
      <c r="I356" s="11">
        <v>13.979881000000001</v>
      </c>
      <c r="J356" s="11">
        <v>107.99282599999999</v>
      </c>
      <c r="K356" s="9" t="s">
        <v>329</v>
      </c>
      <c r="L356" s="10"/>
      <c r="M356" s="12" t="s">
        <v>51</v>
      </c>
      <c r="N356" s="13" t="s">
        <v>62</v>
      </c>
      <c r="O356" s="14">
        <v>13.979607</v>
      </c>
      <c r="P356" s="14">
        <v>107.992155</v>
      </c>
      <c r="Q356" s="13" t="s">
        <v>53</v>
      </c>
      <c r="R356" s="15" t="s">
        <v>54</v>
      </c>
      <c r="S356" s="13" t="s">
        <v>55</v>
      </c>
      <c r="T356" s="13" t="s">
        <v>1127</v>
      </c>
      <c r="U356" s="16">
        <f t="shared" si="10"/>
        <v>79</v>
      </c>
      <c r="V356" s="17" t="str">
        <f t="shared" si="11"/>
        <v>OK</v>
      </c>
    </row>
    <row r="357" spans="1:22" ht="25.5" x14ac:dyDescent="0.25">
      <c r="A357" s="9">
        <v>353</v>
      </c>
      <c r="B357" s="9" t="s">
        <v>1128</v>
      </c>
      <c r="C357" s="9" t="s">
        <v>1048</v>
      </c>
      <c r="D357" s="10" t="s">
        <v>1129</v>
      </c>
      <c r="E357" s="9" t="s">
        <v>325</v>
      </c>
      <c r="F357" s="9" t="s">
        <v>1067</v>
      </c>
      <c r="G357" s="10" t="s">
        <v>1130</v>
      </c>
      <c r="H357" s="9" t="s">
        <v>88</v>
      </c>
      <c r="I357" s="11">
        <v>13.977774999999999</v>
      </c>
      <c r="J357" s="11">
        <v>107.995581</v>
      </c>
      <c r="K357" s="9" t="s">
        <v>329</v>
      </c>
      <c r="L357" s="10"/>
      <c r="M357" s="12" t="s">
        <v>51</v>
      </c>
      <c r="N357" s="13" t="s">
        <v>62</v>
      </c>
      <c r="O357" s="14">
        <v>13.977662</v>
      </c>
      <c r="P357" s="14">
        <v>107.995869</v>
      </c>
      <c r="Q357" s="13" t="s">
        <v>53</v>
      </c>
      <c r="R357" s="15" t="s">
        <v>54</v>
      </c>
      <c r="S357" s="13" t="s">
        <v>55</v>
      </c>
      <c r="T357" s="13" t="s">
        <v>1119</v>
      </c>
      <c r="U357" s="16">
        <f t="shared" si="10"/>
        <v>34</v>
      </c>
      <c r="V357" s="17" t="str">
        <f t="shared" si="11"/>
        <v>OK</v>
      </c>
    </row>
    <row r="358" spans="1:22" ht="38.25" x14ac:dyDescent="0.25">
      <c r="A358" s="9">
        <v>354</v>
      </c>
      <c r="B358" s="9" t="s">
        <v>1131</v>
      </c>
      <c r="C358" s="9" t="s">
        <v>1048</v>
      </c>
      <c r="D358" s="10" t="s">
        <v>1132</v>
      </c>
      <c r="E358" s="9" t="s">
        <v>325</v>
      </c>
      <c r="F358" s="9" t="s">
        <v>1050</v>
      </c>
      <c r="G358" s="10" t="s">
        <v>412</v>
      </c>
      <c r="H358" s="9" t="s">
        <v>413</v>
      </c>
      <c r="I358" s="11">
        <v>14.494012</v>
      </c>
      <c r="J358" s="11">
        <v>109.089259</v>
      </c>
      <c r="K358" s="9" t="s">
        <v>329</v>
      </c>
      <c r="L358" s="10"/>
      <c r="M358" s="12" t="s">
        <v>51</v>
      </c>
      <c r="N358" s="13" t="s">
        <v>69</v>
      </c>
      <c r="O358" s="14"/>
      <c r="P358" s="14"/>
      <c r="Q358" s="13" t="s">
        <v>70</v>
      </c>
      <c r="R358" s="15" t="s">
        <v>54</v>
      </c>
      <c r="S358" s="13" t="s">
        <v>55</v>
      </c>
      <c r="T358" s="13" t="s">
        <v>397</v>
      </c>
      <c r="U358" s="16" t="str">
        <f t="shared" si="10"/>
        <v/>
      </c>
      <c r="V358" s="17" t="str">
        <f t="shared" si="11"/>
        <v>OK</v>
      </c>
    </row>
    <row r="359" spans="1:22" ht="38.25" x14ac:dyDescent="0.25">
      <c r="A359" s="9">
        <v>355</v>
      </c>
      <c r="B359" s="9" t="s">
        <v>1133</v>
      </c>
      <c r="C359" s="9" t="s">
        <v>1048</v>
      </c>
      <c r="D359" s="10" t="s">
        <v>1134</v>
      </c>
      <c r="E359" s="9" t="s">
        <v>325</v>
      </c>
      <c r="F359" s="9" t="s">
        <v>1050</v>
      </c>
      <c r="G359" s="10" t="s">
        <v>1135</v>
      </c>
      <c r="H359" s="9" t="s">
        <v>48</v>
      </c>
      <c r="I359" s="11">
        <v>13.964466</v>
      </c>
      <c r="J359" s="11">
        <v>108.01702899999999</v>
      </c>
      <c r="K359" s="9" t="s">
        <v>329</v>
      </c>
      <c r="L359" s="10"/>
      <c r="M359" s="12" t="s">
        <v>51</v>
      </c>
      <c r="N359" s="13" t="s">
        <v>69</v>
      </c>
      <c r="O359" s="14"/>
      <c r="P359" s="14"/>
      <c r="Q359" s="13" t="s">
        <v>70</v>
      </c>
      <c r="R359" s="15" t="s">
        <v>54</v>
      </c>
      <c r="S359" s="13" t="s">
        <v>55</v>
      </c>
      <c r="T359" s="13" t="s">
        <v>1136</v>
      </c>
      <c r="U359" s="16" t="str">
        <f t="shared" si="10"/>
        <v/>
      </c>
      <c r="V359" s="17" t="str">
        <f t="shared" si="11"/>
        <v>OK</v>
      </c>
    </row>
    <row r="360" spans="1:22" ht="25.5" x14ac:dyDescent="0.25">
      <c r="A360" s="9">
        <v>356</v>
      </c>
      <c r="B360" s="9" t="s">
        <v>1137</v>
      </c>
      <c r="C360" s="9" t="s">
        <v>1048</v>
      </c>
      <c r="D360" s="10" t="s">
        <v>1138</v>
      </c>
      <c r="E360" s="9" t="s">
        <v>325</v>
      </c>
      <c r="F360" s="9" t="s">
        <v>1067</v>
      </c>
      <c r="G360" s="10" t="s">
        <v>1139</v>
      </c>
      <c r="H360" s="9" t="s">
        <v>48</v>
      </c>
      <c r="I360" s="11">
        <v>13.971235</v>
      </c>
      <c r="J360" s="11">
        <v>108.03107300000001</v>
      </c>
      <c r="K360" s="9" t="s">
        <v>329</v>
      </c>
      <c r="L360" s="10"/>
      <c r="M360" s="12" t="s">
        <v>51</v>
      </c>
      <c r="N360" s="13" t="s">
        <v>62</v>
      </c>
      <c r="O360" s="14">
        <v>13.971486000000001</v>
      </c>
      <c r="P360" s="14">
        <v>108.028809</v>
      </c>
      <c r="Q360" s="13" t="s">
        <v>53</v>
      </c>
      <c r="R360" s="15" t="s">
        <v>54</v>
      </c>
      <c r="S360" s="13" t="s">
        <v>55</v>
      </c>
      <c r="T360" s="13" t="s">
        <v>1140</v>
      </c>
      <c r="U360" s="16">
        <f t="shared" si="10"/>
        <v>246</v>
      </c>
      <c r="V360" s="17" t="str">
        <f t="shared" si="11"/>
        <v>OK</v>
      </c>
    </row>
    <row r="361" spans="1:22" ht="38.25" x14ac:dyDescent="0.25">
      <c r="A361" s="9">
        <v>357</v>
      </c>
      <c r="B361" s="9" t="s">
        <v>1141</v>
      </c>
      <c r="C361" s="9" t="s">
        <v>1048</v>
      </c>
      <c r="D361" s="10" t="s">
        <v>1142</v>
      </c>
      <c r="E361" s="9" t="s">
        <v>325</v>
      </c>
      <c r="F361" s="9" t="s">
        <v>1067</v>
      </c>
      <c r="G361" s="10" t="s">
        <v>1143</v>
      </c>
      <c r="H361" s="9" t="s">
        <v>48</v>
      </c>
      <c r="I361" s="11">
        <v>13.964067999999999</v>
      </c>
      <c r="J361" s="11">
        <v>108.01708499999999</v>
      </c>
      <c r="K361" s="9" t="s">
        <v>329</v>
      </c>
      <c r="L361" s="10"/>
      <c r="M361" s="12" t="s">
        <v>51</v>
      </c>
      <c r="N361" s="13" t="s">
        <v>52</v>
      </c>
      <c r="O361" s="14"/>
      <c r="P361" s="14"/>
      <c r="Q361" s="13" t="s">
        <v>53</v>
      </c>
      <c r="R361" s="15" t="s">
        <v>54</v>
      </c>
      <c r="S361" s="13" t="s">
        <v>55</v>
      </c>
      <c r="T361" s="13" t="s">
        <v>1144</v>
      </c>
      <c r="U361" s="16" t="str">
        <f t="shared" si="10"/>
        <v/>
      </c>
      <c r="V361" s="17" t="str">
        <f t="shared" si="11"/>
        <v>OK</v>
      </c>
    </row>
    <row r="362" spans="1:22" ht="38.25" x14ac:dyDescent="0.25">
      <c r="A362" s="9">
        <v>358</v>
      </c>
      <c r="B362" s="9" t="s">
        <v>1145</v>
      </c>
      <c r="C362" s="9" t="s">
        <v>1048</v>
      </c>
      <c r="D362" s="10" t="s">
        <v>1146</v>
      </c>
      <c r="E362" s="9" t="s">
        <v>325</v>
      </c>
      <c r="F362" s="9" t="s">
        <v>1067</v>
      </c>
      <c r="G362" s="10" t="s">
        <v>1143</v>
      </c>
      <c r="H362" s="9" t="s">
        <v>48</v>
      </c>
      <c r="I362" s="11">
        <v>13.964067999999999</v>
      </c>
      <c r="J362" s="11">
        <v>108.01708499999999</v>
      </c>
      <c r="K362" s="9" t="s">
        <v>329</v>
      </c>
      <c r="L362" s="10"/>
      <c r="M362" s="12" t="s">
        <v>51</v>
      </c>
      <c r="N362" s="13" t="s">
        <v>52</v>
      </c>
      <c r="O362" s="14"/>
      <c r="P362" s="14"/>
      <c r="Q362" s="13" t="s">
        <v>53</v>
      </c>
      <c r="R362" s="15" t="s">
        <v>54</v>
      </c>
      <c r="S362" s="13" t="s">
        <v>55</v>
      </c>
      <c r="T362" s="13" t="s">
        <v>1147</v>
      </c>
      <c r="U362" s="16" t="str">
        <f t="shared" si="10"/>
        <v/>
      </c>
      <c r="V362" s="17" t="str">
        <f t="shared" si="11"/>
        <v>OK</v>
      </c>
    </row>
    <row r="363" spans="1:22" ht="38.25" x14ac:dyDescent="0.25">
      <c r="A363" s="9">
        <v>359</v>
      </c>
      <c r="B363" s="9" t="s">
        <v>1148</v>
      </c>
      <c r="C363" s="9" t="s">
        <v>1048</v>
      </c>
      <c r="D363" s="10" t="s">
        <v>1149</v>
      </c>
      <c r="E363" s="9" t="s">
        <v>325</v>
      </c>
      <c r="F363" s="9" t="s">
        <v>1050</v>
      </c>
      <c r="G363" s="10" t="s">
        <v>1150</v>
      </c>
      <c r="H363" s="9" t="s">
        <v>60</v>
      </c>
      <c r="I363" s="11">
        <v>13.983157</v>
      </c>
      <c r="J363" s="11">
        <v>108.00061700000001</v>
      </c>
      <c r="K363" s="9" t="s">
        <v>329</v>
      </c>
      <c r="L363" s="10"/>
      <c r="M363" s="12" t="s">
        <v>51</v>
      </c>
      <c r="N363" s="13" t="s">
        <v>62</v>
      </c>
      <c r="O363" s="14">
        <v>13.985737</v>
      </c>
      <c r="P363" s="14">
        <v>108.00449999999999</v>
      </c>
      <c r="Q363" s="13" t="s">
        <v>53</v>
      </c>
      <c r="R363" s="15" t="s">
        <v>54</v>
      </c>
      <c r="S363" s="13" t="s">
        <v>55</v>
      </c>
      <c r="T363" s="13" t="s">
        <v>1151</v>
      </c>
      <c r="U363" s="16">
        <f t="shared" si="10"/>
        <v>507</v>
      </c>
      <c r="V363" s="17" t="str">
        <f t="shared" si="11"/>
        <v>OK</v>
      </c>
    </row>
    <row r="364" spans="1:22" ht="25.5" x14ac:dyDescent="0.25">
      <c r="A364" s="9">
        <v>360</v>
      </c>
      <c r="B364" s="9" t="s">
        <v>1152</v>
      </c>
      <c r="C364" s="9" t="s">
        <v>1048</v>
      </c>
      <c r="D364" s="10" t="s">
        <v>1153</v>
      </c>
      <c r="E364" s="9" t="s">
        <v>325</v>
      </c>
      <c r="F364" s="9" t="s">
        <v>1050</v>
      </c>
      <c r="G364" s="10" t="s">
        <v>1154</v>
      </c>
      <c r="H364" s="9" t="s">
        <v>60</v>
      </c>
      <c r="I364" s="11">
        <v>13.970613999999999</v>
      </c>
      <c r="J364" s="11">
        <v>108.01857699999999</v>
      </c>
      <c r="K364" s="9" t="s">
        <v>329</v>
      </c>
      <c r="L364" s="10"/>
      <c r="M364" s="12" t="s">
        <v>51</v>
      </c>
      <c r="N364" s="13" t="s">
        <v>62</v>
      </c>
      <c r="O364" s="14">
        <v>13.973145000000001</v>
      </c>
      <c r="P364" s="14">
        <v>108.015175</v>
      </c>
      <c r="Q364" s="13" t="s">
        <v>53</v>
      </c>
      <c r="R364" s="15" t="s">
        <v>54</v>
      </c>
      <c r="S364" s="13" t="s">
        <v>55</v>
      </c>
      <c r="T364" s="13" t="s">
        <v>1155</v>
      </c>
      <c r="U364" s="16">
        <f t="shared" si="10"/>
        <v>462</v>
      </c>
      <c r="V364" s="17" t="str">
        <f t="shared" si="11"/>
        <v>OK</v>
      </c>
    </row>
    <row r="365" spans="1:22" ht="25.5" x14ac:dyDescent="0.25">
      <c r="A365" s="9">
        <v>361</v>
      </c>
      <c r="B365" s="9" t="s">
        <v>1156</v>
      </c>
      <c r="C365" s="9" t="s">
        <v>1048</v>
      </c>
      <c r="D365" s="10" t="s">
        <v>1153</v>
      </c>
      <c r="E365" s="9" t="s">
        <v>325</v>
      </c>
      <c r="F365" s="9" t="s">
        <v>1050</v>
      </c>
      <c r="G365" s="10" t="s">
        <v>1154</v>
      </c>
      <c r="H365" s="9" t="s">
        <v>60</v>
      </c>
      <c r="I365" s="11">
        <v>13.970613999999999</v>
      </c>
      <c r="J365" s="11">
        <v>108.01857699999999</v>
      </c>
      <c r="K365" s="9" t="s">
        <v>329</v>
      </c>
      <c r="L365" s="10"/>
      <c r="M365" s="12" t="s">
        <v>51</v>
      </c>
      <c r="N365" s="13" t="s">
        <v>62</v>
      </c>
      <c r="O365" s="14">
        <v>13.973145000000001</v>
      </c>
      <c r="P365" s="14">
        <v>108.015175</v>
      </c>
      <c r="Q365" s="13" t="s">
        <v>53</v>
      </c>
      <c r="R365" s="15" t="s">
        <v>54</v>
      </c>
      <c r="S365" s="13" t="s">
        <v>55</v>
      </c>
      <c r="T365" s="13" t="s">
        <v>1155</v>
      </c>
      <c r="U365" s="16">
        <f t="shared" si="10"/>
        <v>462</v>
      </c>
      <c r="V365" s="17" t="str">
        <f t="shared" si="11"/>
        <v>OK</v>
      </c>
    </row>
    <row r="366" spans="1:22" ht="25.5" x14ac:dyDescent="0.25">
      <c r="A366" s="9">
        <v>362</v>
      </c>
      <c r="B366" s="9" t="s">
        <v>1157</v>
      </c>
      <c r="C366" s="9" t="s">
        <v>1048</v>
      </c>
      <c r="D366" s="10" t="s">
        <v>1153</v>
      </c>
      <c r="E366" s="9" t="s">
        <v>325</v>
      </c>
      <c r="F366" s="9" t="s">
        <v>1050</v>
      </c>
      <c r="G366" s="10" t="s">
        <v>1154</v>
      </c>
      <c r="H366" s="9" t="s">
        <v>60</v>
      </c>
      <c r="I366" s="11">
        <v>13.970613999999999</v>
      </c>
      <c r="J366" s="11">
        <v>108.01857699999999</v>
      </c>
      <c r="K366" s="9" t="s">
        <v>329</v>
      </c>
      <c r="L366" s="10"/>
      <c r="M366" s="12" t="s">
        <v>51</v>
      </c>
      <c r="N366" s="13" t="s">
        <v>52</v>
      </c>
      <c r="O366" s="14"/>
      <c r="P366" s="14"/>
      <c r="Q366" s="13" t="s">
        <v>53</v>
      </c>
      <c r="R366" s="15" t="s">
        <v>54</v>
      </c>
      <c r="S366" s="13" t="s">
        <v>55</v>
      </c>
      <c r="T366" s="13" t="s">
        <v>1158</v>
      </c>
      <c r="U366" s="16" t="str">
        <f t="shared" si="10"/>
        <v/>
      </c>
      <c r="V366" s="17" t="str">
        <f t="shared" si="11"/>
        <v>OK</v>
      </c>
    </row>
    <row r="367" spans="1:22" ht="38.25" x14ac:dyDescent="0.25">
      <c r="A367" s="9">
        <v>363</v>
      </c>
      <c r="B367" s="9" t="s">
        <v>1159</v>
      </c>
      <c r="C367" s="9" t="s">
        <v>1048</v>
      </c>
      <c r="D367" s="10" t="s">
        <v>1160</v>
      </c>
      <c r="E367" s="9" t="s">
        <v>325</v>
      </c>
      <c r="F367" s="9" t="s">
        <v>1050</v>
      </c>
      <c r="G367" s="10" t="s">
        <v>1161</v>
      </c>
      <c r="H367" s="9" t="s">
        <v>60</v>
      </c>
      <c r="I367" s="11">
        <v>13.977581000000001</v>
      </c>
      <c r="J367" s="11">
        <v>108.00142700000001</v>
      </c>
      <c r="K367" s="9" t="s">
        <v>329</v>
      </c>
      <c r="L367" s="10"/>
      <c r="M367" s="12" t="s">
        <v>51</v>
      </c>
      <c r="N367" s="13" t="s">
        <v>52</v>
      </c>
      <c r="O367" s="14"/>
      <c r="P367" s="14"/>
      <c r="Q367" s="13" t="s">
        <v>53</v>
      </c>
      <c r="R367" s="15" t="s">
        <v>54</v>
      </c>
      <c r="S367" s="13" t="s">
        <v>55</v>
      </c>
      <c r="T367" s="13" t="s">
        <v>1162</v>
      </c>
      <c r="U367" s="16" t="str">
        <f t="shared" si="10"/>
        <v/>
      </c>
      <c r="V367" s="17" t="str">
        <f t="shared" si="11"/>
        <v>OK</v>
      </c>
    </row>
    <row r="368" spans="1:22" ht="38.25" x14ac:dyDescent="0.25">
      <c r="A368" s="9">
        <v>364</v>
      </c>
      <c r="B368" s="9" t="s">
        <v>1163</v>
      </c>
      <c r="C368" s="9" t="s">
        <v>1048</v>
      </c>
      <c r="D368" s="10" t="s">
        <v>1164</v>
      </c>
      <c r="E368" s="9" t="s">
        <v>325</v>
      </c>
      <c r="F368" s="9" t="s">
        <v>1058</v>
      </c>
      <c r="G368" s="10" t="s">
        <v>1165</v>
      </c>
      <c r="H368" s="9" t="s">
        <v>60</v>
      </c>
      <c r="I368" s="11">
        <v>13.97186</v>
      </c>
      <c r="J368" s="11">
        <v>108.030581</v>
      </c>
      <c r="K368" s="9" t="s">
        <v>329</v>
      </c>
      <c r="L368" s="10"/>
      <c r="M368" s="12" t="s">
        <v>51</v>
      </c>
      <c r="N368" s="13" t="s">
        <v>52</v>
      </c>
      <c r="O368" s="14"/>
      <c r="P368" s="14"/>
      <c r="Q368" s="13" t="s">
        <v>53</v>
      </c>
      <c r="R368" s="15" t="s">
        <v>54</v>
      </c>
      <c r="S368" s="13" t="s">
        <v>55</v>
      </c>
      <c r="T368" s="13" t="s">
        <v>1166</v>
      </c>
      <c r="U368" s="16" t="str">
        <f t="shared" si="10"/>
        <v/>
      </c>
      <c r="V368" s="17" t="str">
        <f t="shared" si="11"/>
        <v>OK</v>
      </c>
    </row>
    <row r="369" spans="1:22" ht="38.25" x14ac:dyDescent="0.25">
      <c r="A369" s="9">
        <v>365</v>
      </c>
      <c r="B369" s="9" t="s">
        <v>1167</v>
      </c>
      <c r="C369" s="9" t="s">
        <v>1048</v>
      </c>
      <c r="D369" s="10" t="s">
        <v>1168</v>
      </c>
      <c r="E369" s="9" t="s">
        <v>325</v>
      </c>
      <c r="F369" s="9" t="s">
        <v>1058</v>
      </c>
      <c r="G369" s="10" t="s">
        <v>1169</v>
      </c>
      <c r="H369" s="9" t="s">
        <v>60</v>
      </c>
      <c r="I369" s="11">
        <v>13.978669999999999</v>
      </c>
      <c r="J369" s="11">
        <v>108.01243599999999</v>
      </c>
      <c r="K369" s="9" t="s">
        <v>329</v>
      </c>
      <c r="L369" s="10"/>
      <c r="M369" s="12" t="s">
        <v>51</v>
      </c>
      <c r="N369" s="13" t="s">
        <v>52</v>
      </c>
      <c r="O369" s="14"/>
      <c r="P369" s="14"/>
      <c r="Q369" s="13" t="s">
        <v>53</v>
      </c>
      <c r="R369" s="15" t="s">
        <v>54</v>
      </c>
      <c r="S369" s="13" t="s">
        <v>55</v>
      </c>
      <c r="T369" s="13" t="s">
        <v>1170</v>
      </c>
      <c r="U369" s="16" t="str">
        <f t="shared" si="10"/>
        <v/>
      </c>
      <c r="V369" s="17" t="str">
        <f t="shared" si="11"/>
        <v>OK</v>
      </c>
    </row>
    <row r="370" spans="1:22" ht="25.5" x14ac:dyDescent="0.25">
      <c r="A370" s="9">
        <v>366</v>
      </c>
      <c r="B370" s="9" t="s">
        <v>1171</v>
      </c>
      <c r="C370" s="9" t="s">
        <v>1048</v>
      </c>
      <c r="D370" s="10" t="s">
        <v>1172</v>
      </c>
      <c r="E370" s="9" t="s">
        <v>325</v>
      </c>
      <c r="F370" s="9" t="s">
        <v>1067</v>
      </c>
      <c r="G370" s="10" t="s">
        <v>1173</v>
      </c>
      <c r="H370" s="9" t="s">
        <v>60</v>
      </c>
      <c r="I370" s="11">
        <v>13.98391</v>
      </c>
      <c r="J370" s="11">
        <v>108.028153</v>
      </c>
      <c r="K370" s="9" t="s">
        <v>329</v>
      </c>
      <c r="L370" s="10"/>
      <c r="M370" s="12" t="s">
        <v>51</v>
      </c>
      <c r="N370" s="13" t="s">
        <v>52</v>
      </c>
      <c r="O370" s="14"/>
      <c r="P370" s="14"/>
      <c r="Q370" s="13" t="s">
        <v>53</v>
      </c>
      <c r="R370" s="15" t="s">
        <v>54</v>
      </c>
      <c r="S370" s="13" t="s">
        <v>55</v>
      </c>
      <c r="T370" s="13" t="s">
        <v>1174</v>
      </c>
      <c r="U370" s="16" t="str">
        <f t="shared" si="10"/>
        <v/>
      </c>
      <c r="V370" s="17" t="str">
        <f t="shared" si="11"/>
        <v>OK</v>
      </c>
    </row>
    <row r="371" spans="1:22" ht="25.5" x14ac:dyDescent="0.25">
      <c r="A371" s="9">
        <v>367</v>
      </c>
      <c r="B371" s="9" t="s">
        <v>1175</v>
      </c>
      <c r="C371" s="9" t="s">
        <v>1048</v>
      </c>
      <c r="D371" s="10" t="s">
        <v>1176</v>
      </c>
      <c r="E371" s="9" t="s">
        <v>325</v>
      </c>
      <c r="F371" s="9" t="s">
        <v>1067</v>
      </c>
      <c r="G371" s="10" t="s">
        <v>1177</v>
      </c>
      <c r="H371" s="9" t="s">
        <v>60</v>
      </c>
      <c r="I371" s="11">
        <v>13.977266</v>
      </c>
      <c r="J371" s="11">
        <v>108.001279</v>
      </c>
      <c r="K371" s="9" t="s">
        <v>329</v>
      </c>
      <c r="L371" s="10"/>
      <c r="M371" s="12" t="s">
        <v>51</v>
      </c>
      <c r="N371" s="13" t="s">
        <v>52</v>
      </c>
      <c r="O371" s="14"/>
      <c r="P371" s="14"/>
      <c r="Q371" s="13" t="s">
        <v>53</v>
      </c>
      <c r="R371" s="15" t="s">
        <v>54</v>
      </c>
      <c r="S371" s="13" t="s">
        <v>55</v>
      </c>
      <c r="T371" s="13" t="s">
        <v>1178</v>
      </c>
      <c r="U371" s="16" t="str">
        <f t="shared" si="10"/>
        <v/>
      </c>
      <c r="V371" s="17" t="str">
        <f t="shared" si="11"/>
        <v>OK</v>
      </c>
    </row>
    <row r="372" spans="1:22" ht="25.5" x14ac:dyDescent="0.25">
      <c r="A372" s="9">
        <v>368</v>
      </c>
      <c r="B372" s="9" t="s">
        <v>1179</v>
      </c>
      <c r="C372" s="9" t="s">
        <v>1048</v>
      </c>
      <c r="D372" s="10" t="s">
        <v>1180</v>
      </c>
      <c r="E372" s="9" t="s">
        <v>325</v>
      </c>
      <c r="F372" s="9" t="s">
        <v>1067</v>
      </c>
      <c r="G372" s="10" t="s">
        <v>1181</v>
      </c>
      <c r="H372" s="9" t="s">
        <v>60</v>
      </c>
      <c r="I372" s="11">
        <v>13.98981</v>
      </c>
      <c r="J372" s="11">
        <v>108.04188000000001</v>
      </c>
      <c r="K372" s="9" t="s">
        <v>329</v>
      </c>
      <c r="L372" s="10"/>
      <c r="M372" s="12" t="s">
        <v>51</v>
      </c>
      <c r="N372" s="13" t="s">
        <v>52</v>
      </c>
      <c r="O372" s="14"/>
      <c r="P372" s="14"/>
      <c r="Q372" s="13" t="s">
        <v>53</v>
      </c>
      <c r="R372" s="15" t="s">
        <v>54</v>
      </c>
      <c r="S372" s="13" t="s">
        <v>55</v>
      </c>
      <c r="T372" s="13" t="s">
        <v>1182</v>
      </c>
      <c r="U372" s="16" t="str">
        <f t="shared" si="10"/>
        <v/>
      </c>
      <c r="V372" s="17" t="str">
        <f t="shared" si="11"/>
        <v>OK</v>
      </c>
    </row>
    <row r="373" spans="1:22" ht="25.5" x14ac:dyDescent="0.25">
      <c r="A373" s="9">
        <v>369</v>
      </c>
      <c r="B373" s="9" t="s">
        <v>1183</v>
      </c>
      <c r="C373" s="9" t="s">
        <v>1048</v>
      </c>
      <c r="D373" s="10" t="s">
        <v>1184</v>
      </c>
      <c r="E373" s="9" t="s">
        <v>325</v>
      </c>
      <c r="F373" s="9" t="s">
        <v>1067</v>
      </c>
      <c r="G373" s="10" t="s">
        <v>1185</v>
      </c>
      <c r="H373" s="9" t="s">
        <v>60</v>
      </c>
      <c r="I373" s="11">
        <v>13.97227</v>
      </c>
      <c r="J373" s="11">
        <v>108.014785</v>
      </c>
      <c r="K373" s="9" t="s">
        <v>329</v>
      </c>
      <c r="L373" s="10"/>
      <c r="M373" s="12" t="s">
        <v>51</v>
      </c>
      <c r="N373" s="13" t="s">
        <v>52</v>
      </c>
      <c r="O373" s="14"/>
      <c r="P373" s="14"/>
      <c r="Q373" s="13" t="s">
        <v>53</v>
      </c>
      <c r="R373" s="15" t="s">
        <v>54</v>
      </c>
      <c r="S373" s="13" t="s">
        <v>55</v>
      </c>
      <c r="T373" s="13" t="s">
        <v>1186</v>
      </c>
      <c r="U373" s="16" t="str">
        <f t="shared" si="10"/>
        <v/>
      </c>
      <c r="V373" s="17" t="str">
        <f t="shared" si="11"/>
        <v>OK</v>
      </c>
    </row>
    <row r="374" spans="1:22" ht="38.25" x14ac:dyDescent="0.25">
      <c r="A374" s="9">
        <v>370</v>
      </c>
      <c r="B374" s="9" t="s">
        <v>1187</v>
      </c>
      <c r="C374" s="9" t="s">
        <v>1048</v>
      </c>
      <c r="D374" s="10" t="s">
        <v>1188</v>
      </c>
      <c r="E374" s="9" t="s">
        <v>325</v>
      </c>
      <c r="F374" s="9" t="s">
        <v>1067</v>
      </c>
      <c r="G374" s="10" t="s">
        <v>1189</v>
      </c>
      <c r="H374" s="9" t="s">
        <v>60</v>
      </c>
      <c r="I374" s="11">
        <v>13.985277</v>
      </c>
      <c r="J374" s="11">
        <v>108.007542</v>
      </c>
      <c r="K374" s="9" t="s">
        <v>329</v>
      </c>
      <c r="L374" s="10"/>
      <c r="M374" s="12" t="s">
        <v>51</v>
      </c>
      <c r="N374" s="13" t="s">
        <v>52</v>
      </c>
      <c r="O374" s="14"/>
      <c r="P374" s="14"/>
      <c r="Q374" s="13" t="s">
        <v>53</v>
      </c>
      <c r="R374" s="15" t="s">
        <v>54</v>
      </c>
      <c r="S374" s="13" t="s">
        <v>55</v>
      </c>
      <c r="T374" s="13" t="s">
        <v>1190</v>
      </c>
      <c r="U374" s="16" t="str">
        <f t="shared" si="10"/>
        <v/>
      </c>
      <c r="V374" s="17" t="str">
        <f t="shared" si="11"/>
        <v>OK</v>
      </c>
    </row>
    <row r="375" spans="1:22" ht="38.25" x14ac:dyDescent="0.25">
      <c r="A375" s="9">
        <v>371</v>
      </c>
      <c r="B375" s="9" t="s">
        <v>1191</v>
      </c>
      <c r="C375" s="9" t="s">
        <v>1048</v>
      </c>
      <c r="D375" s="10" t="s">
        <v>1192</v>
      </c>
      <c r="E375" s="9" t="s">
        <v>325</v>
      </c>
      <c r="F375" s="9" t="s">
        <v>1067</v>
      </c>
      <c r="G375" s="10" t="s">
        <v>1193</v>
      </c>
      <c r="H375" s="9" t="s">
        <v>60</v>
      </c>
      <c r="I375" s="11">
        <v>13.982082</v>
      </c>
      <c r="J375" s="11">
        <v>108.009435</v>
      </c>
      <c r="K375" s="9" t="s">
        <v>329</v>
      </c>
      <c r="L375" s="10"/>
      <c r="M375" s="12" t="s">
        <v>51</v>
      </c>
      <c r="N375" s="13" t="s">
        <v>52</v>
      </c>
      <c r="O375" s="14"/>
      <c r="P375" s="14"/>
      <c r="Q375" s="13" t="s">
        <v>53</v>
      </c>
      <c r="R375" s="15" t="s">
        <v>54</v>
      </c>
      <c r="S375" s="13" t="s">
        <v>55</v>
      </c>
      <c r="T375" s="13" t="s">
        <v>1194</v>
      </c>
      <c r="U375" s="16" t="str">
        <f t="shared" si="10"/>
        <v/>
      </c>
      <c r="V375" s="17" t="str">
        <f t="shared" si="11"/>
        <v>OK</v>
      </c>
    </row>
    <row r="376" spans="1:22" ht="25.5" x14ac:dyDescent="0.25">
      <c r="A376" s="9">
        <v>372</v>
      </c>
      <c r="B376" s="9" t="s">
        <v>1195</v>
      </c>
      <c r="C376" s="9" t="s">
        <v>1048</v>
      </c>
      <c r="D376" s="10" t="s">
        <v>1196</v>
      </c>
      <c r="E376" s="9" t="s">
        <v>325</v>
      </c>
      <c r="F376" s="9" t="s">
        <v>1067</v>
      </c>
      <c r="G376" s="10" t="s">
        <v>1197</v>
      </c>
      <c r="H376" s="9" t="s">
        <v>60</v>
      </c>
      <c r="I376" s="11">
        <v>13.988047</v>
      </c>
      <c r="J376" s="11">
        <v>108.008083</v>
      </c>
      <c r="K376" s="9" t="s">
        <v>329</v>
      </c>
      <c r="L376" s="10"/>
      <c r="M376" s="12" t="s">
        <v>51</v>
      </c>
      <c r="N376" s="13" t="s">
        <v>52</v>
      </c>
      <c r="O376" s="14"/>
      <c r="P376" s="14"/>
      <c r="Q376" s="13" t="s">
        <v>53</v>
      </c>
      <c r="R376" s="15" t="s">
        <v>54</v>
      </c>
      <c r="S376" s="13" t="s">
        <v>55</v>
      </c>
      <c r="T376" s="13" t="s">
        <v>1198</v>
      </c>
      <c r="U376" s="16" t="str">
        <f t="shared" si="10"/>
        <v/>
      </c>
      <c r="V376" s="17" t="str">
        <f t="shared" si="11"/>
        <v>OK</v>
      </c>
    </row>
    <row r="377" spans="1:22" ht="25.5" x14ac:dyDescent="0.25">
      <c r="A377" s="9">
        <v>373</v>
      </c>
      <c r="B377" s="9" t="s">
        <v>1199</v>
      </c>
      <c r="C377" s="9" t="s">
        <v>1048</v>
      </c>
      <c r="D377" s="10" t="s">
        <v>1200</v>
      </c>
      <c r="E377" s="9" t="s">
        <v>325</v>
      </c>
      <c r="F377" s="9" t="s">
        <v>1067</v>
      </c>
      <c r="G377" s="10" t="s">
        <v>1201</v>
      </c>
      <c r="H377" s="9" t="s">
        <v>60</v>
      </c>
      <c r="I377" s="11">
        <v>13.977119999999999</v>
      </c>
      <c r="J377" s="11">
        <v>108.005601</v>
      </c>
      <c r="K377" s="9" t="s">
        <v>329</v>
      </c>
      <c r="L377" s="10"/>
      <c r="M377" s="12" t="s">
        <v>51</v>
      </c>
      <c r="N377" s="13" t="s">
        <v>52</v>
      </c>
      <c r="O377" s="14"/>
      <c r="P377" s="14"/>
      <c r="Q377" s="13" t="s">
        <v>53</v>
      </c>
      <c r="R377" s="15" t="s">
        <v>54</v>
      </c>
      <c r="S377" s="13" t="s">
        <v>55</v>
      </c>
      <c r="T377" s="13" t="s">
        <v>1202</v>
      </c>
      <c r="U377" s="16" t="str">
        <f t="shared" si="10"/>
        <v/>
      </c>
      <c r="V377" s="17" t="str">
        <f t="shared" si="11"/>
        <v>OK</v>
      </c>
    </row>
    <row r="378" spans="1:22" ht="38.25" x14ac:dyDescent="0.25">
      <c r="A378" s="9">
        <v>374</v>
      </c>
      <c r="B378" s="9" t="s">
        <v>1203</v>
      </c>
      <c r="C378" s="9" t="s">
        <v>1048</v>
      </c>
      <c r="D378" s="10" t="s">
        <v>1204</v>
      </c>
      <c r="E378" s="9" t="s">
        <v>325</v>
      </c>
      <c r="F378" s="9" t="s">
        <v>1058</v>
      </c>
      <c r="G378" s="10" t="s">
        <v>1205</v>
      </c>
      <c r="H378" s="9" t="s">
        <v>60</v>
      </c>
      <c r="I378" s="11">
        <v>13.978451</v>
      </c>
      <c r="J378" s="11">
        <v>107.999191</v>
      </c>
      <c r="K378" s="9" t="s">
        <v>329</v>
      </c>
      <c r="L378" s="10"/>
      <c r="M378" s="12" t="s">
        <v>51</v>
      </c>
      <c r="N378" s="13" t="s">
        <v>52</v>
      </c>
      <c r="O378" s="14"/>
      <c r="P378" s="14"/>
      <c r="Q378" s="13" t="s">
        <v>53</v>
      </c>
      <c r="R378" s="15" t="s">
        <v>54</v>
      </c>
      <c r="S378" s="13" t="s">
        <v>55</v>
      </c>
      <c r="T378" s="13" t="s">
        <v>1206</v>
      </c>
      <c r="U378" s="16" t="str">
        <f t="shared" si="10"/>
        <v/>
      </c>
      <c r="V378" s="17" t="str">
        <f t="shared" si="11"/>
        <v>OK</v>
      </c>
    </row>
    <row r="379" spans="1:22" ht="25.5" x14ac:dyDescent="0.25">
      <c r="A379" s="9">
        <v>375</v>
      </c>
      <c r="B379" s="9" t="s">
        <v>1207</v>
      </c>
      <c r="C379" s="9" t="s">
        <v>1048</v>
      </c>
      <c r="D379" s="10" t="s">
        <v>1208</v>
      </c>
      <c r="E379" s="9" t="s">
        <v>325</v>
      </c>
      <c r="F379" s="9" t="s">
        <v>1067</v>
      </c>
      <c r="G379" s="10" t="s">
        <v>1209</v>
      </c>
      <c r="H379" s="9" t="s">
        <v>60</v>
      </c>
      <c r="I379" s="11">
        <v>13.988047</v>
      </c>
      <c r="J379" s="11">
        <v>108.008083</v>
      </c>
      <c r="K379" s="9" t="s">
        <v>329</v>
      </c>
      <c r="L379" s="10"/>
      <c r="M379" s="12" t="s">
        <v>51</v>
      </c>
      <c r="N379" s="13" t="s">
        <v>52</v>
      </c>
      <c r="O379" s="14"/>
      <c r="P379" s="14"/>
      <c r="Q379" s="13" t="s">
        <v>53</v>
      </c>
      <c r="R379" s="15" t="s">
        <v>54</v>
      </c>
      <c r="S379" s="13" t="s">
        <v>55</v>
      </c>
      <c r="T379" s="13" t="s">
        <v>1210</v>
      </c>
      <c r="U379" s="16" t="str">
        <f t="shared" si="10"/>
        <v/>
      </c>
      <c r="V379" s="17" t="str">
        <f t="shared" si="11"/>
        <v>OK</v>
      </c>
    </row>
    <row r="380" spans="1:22" ht="25.5" x14ac:dyDescent="0.25">
      <c r="A380" s="9">
        <v>376</v>
      </c>
      <c r="B380" s="9" t="s">
        <v>1211</v>
      </c>
      <c r="C380" s="9" t="s">
        <v>1048</v>
      </c>
      <c r="D380" s="10" t="s">
        <v>1212</v>
      </c>
      <c r="E380" s="9" t="s">
        <v>325</v>
      </c>
      <c r="F380" s="9" t="s">
        <v>1067</v>
      </c>
      <c r="G380" s="10" t="s">
        <v>1213</v>
      </c>
      <c r="H380" s="9" t="s">
        <v>60</v>
      </c>
      <c r="I380" s="11">
        <v>13.982082</v>
      </c>
      <c r="J380" s="11">
        <v>108.009435</v>
      </c>
      <c r="K380" s="9" t="s">
        <v>329</v>
      </c>
      <c r="L380" s="10"/>
      <c r="M380" s="12" t="s">
        <v>51</v>
      </c>
      <c r="N380" s="13" t="s">
        <v>52</v>
      </c>
      <c r="O380" s="14"/>
      <c r="P380" s="14"/>
      <c r="Q380" s="13" t="s">
        <v>53</v>
      </c>
      <c r="R380" s="15" t="s">
        <v>54</v>
      </c>
      <c r="S380" s="13" t="s">
        <v>55</v>
      </c>
      <c r="T380" s="13" t="s">
        <v>1214</v>
      </c>
      <c r="U380" s="16" t="str">
        <f t="shared" si="10"/>
        <v/>
      </c>
      <c r="V380" s="17" t="str">
        <f t="shared" si="11"/>
        <v>OK</v>
      </c>
    </row>
    <row r="381" spans="1:22" ht="25.5" x14ac:dyDescent="0.25">
      <c r="A381" s="9">
        <v>377</v>
      </c>
      <c r="B381" s="9" t="s">
        <v>1215</v>
      </c>
      <c r="C381" s="9" t="s">
        <v>1048</v>
      </c>
      <c r="D381" s="10" t="s">
        <v>1216</v>
      </c>
      <c r="E381" s="9" t="s">
        <v>325</v>
      </c>
      <c r="F381" s="9" t="s">
        <v>1067</v>
      </c>
      <c r="G381" s="10" t="s">
        <v>1217</v>
      </c>
      <c r="H381" s="9" t="s">
        <v>60</v>
      </c>
      <c r="I381" s="11">
        <v>13.977119999999999</v>
      </c>
      <c r="J381" s="11">
        <v>108.005601</v>
      </c>
      <c r="K381" s="9" t="s">
        <v>329</v>
      </c>
      <c r="L381" s="10"/>
      <c r="M381" s="12" t="s">
        <v>51</v>
      </c>
      <c r="N381" s="13" t="s">
        <v>52</v>
      </c>
      <c r="O381" s="14"/>
      <c r="P381" s="14"/>
      <c r="Q381" s="13" t="s">
        <v>53</v>
      </c>
      <c r="R381" s="15" t="s">
        <v>54</v>
      </c>
      <c r="S381" s="13" t="s">
        <v>55</v>
      </c>
      <c r="T381" s="13" t="s">
        <v>1218</v>
      </c>
      <c r="U381" s="16" t="str">
        <f t="shared" si="10"/>
        <v/>
      </c>
      <c r="V381" s="17" t="str">
        <f t="shared" si="11"/>
        <v>OK</v>
      </c>
    </row>
    <row r="382" spans="1:22" ht="38.25" x14ac:dyDescent="0.25">
      <c r="A382" s="9">
        <v>378</v>
      </c>
      <c r="B382" s="9" t="s">
        <v>1219</v>
      </c>
      <c r="C382" s="9" t="s">
        <v>1048</v>
      </c>
      <c r="D382" s="10" t="s">
        <v>1220</v>
      </c>
      <c r="E382" s="9" t="s">
        <v>325</v>
      </c>
      <c r="F382" s="9" t="s">
        <v>1058</v>
      </c>
      <c r="G382" s="10" t="s">
        <v>1221</v>
      </c>
      <c r="H382" s="9" t="s">
        <v>328</v>
      </c>
      <c r="I382" s="11">
        <v>13.775968000000001</v>
      </c>
      <c r="J382" s="11">
        <v>109.223721</v>
      </c>
      <c r="K382" s="9" t="s">
        <v>329</v>
      </c>
      <c r="L382" s="10"/>
      <c r="M382" s="12" t="s">
        <v>51</v>
      </c>
      <c r="N382" s="13" t="s">
        <v>69</v>
      </c>
      <c r="O382" s="14"/>
      <c r="P382" s="14"/>
      <c r="Q382" s="13" t="s">
        <v>70</v>
      </c>
      <c r="R382" s="15" t="s">
        <v>54</v>
      </c>
      <c r="S382" s="13" t="s">
        <v>55</v>
      </c>
      <c r="T382" s="13" t="s">
        <v>330</v>
      </c>
      <c r="U382" s="16" t="str">
        <f t="shared" si="10"/>
        <v/>
      </c>
      <c r="V382" s="17" t="str">
        <f t="shared" si="11"/>
        <v>OK</v>
      </c>
    </row>
    <row r="383" spans="1:22" ht="38.25" x14ac:dyDescent="0.25">
      <c r="A383" s="9">
        <v>379</v>
      </c>
      <c r="B383" s="9" t="s">
        <v>1222</v>
      </c>
      <c r="C383" s="9" t="s">
        <v>1048</v>
      </c>
      <c r="D383" s="10" t="s">
        <v>1223</v>
      </c>
      <c r="E383" s="9" t="s">
        <v>325</v>
      </c>
      <c r="F383" s="9" t="s">
        <v>1058</v>
      </c>
      <c r="G383" s="10" t="s">
        <v>1224</v>
      </c>
      <c r="H383" s="9" t="s">
        <v>328</v>
      </c>
      <c r="I383" s="11">
        <v>13.77488</v>
      </c>
      <c r="J383" s="11">
        <v>109.22595</v>
      </c>
      <c r="K383" s="9" t="s">
        <v>329</v>
      </c>
      <c r="L383" s="10"/>
      <c r="M383" s="12" t="s">
        <v>51</v>
      </c>
      <c r="N383" s="13" t="s">
        <v>69</v>
      </c>
      <c r="O383" s="14"/>
      <c r="P383" s="14"/>
      <c r="Q383" s="13" t="s">
        <v>70</v>
      </c>
      <c r="R383" s="15" t="s">
        <v>54</v>
      </c>
      <c r="S383" s="13" t="s">
        <v>55</v>
      </c>
      <c r="T383" s="13" t="s">
        <v>330</v>
      </c>
      <c r="U383" s="16" t="str">
        <f t="shared" si="10"/>
        <v/>
      </c>
      <c r="V383" s="17" t="str">
        <f t="shared" si="11"/>
        <v>OK</v>
      </c>
    </row>
    <row r="384" spans="1:22" ht="38.25" x14ac:dyDescent="0.25">
      <c r="A384" s="9">
        <v>380</v>
      </c>
      <c r="B384" s="9" t="s">
        <v>1225</v>
      </c>
      <c r="C384" s="9" t="s">
        <v>1048</v>
      </c>
      <c r="D384" s="10" t="s">
        <v>1226</v>
      </c>
      <c r="E384" s="9" t="s">
        <v>325</v>
      </c>
      <c r="F384" s="9" t="s">
        <v>1067</v>
      </c>
      <c r="G384" s="10" t="s">
        <v>1227</v>
      </c>
      <c r="H384" s="9" t="s">
        <v>328</v>
      </c>
      <c r="I384" s="11">
        <v>13.776244999999999</v>
      </c>
      <c r="J384" s="11">
        <v>109.228166</v>
      </c>
      <c r="K384" s="9" t="s">
        <v>329</v>
      </c>
      <c r="L384" s="10"/>
      <c r="M384" s="12" t="s">
        <v>51</v>
      </c>
      <c r="N384" s="13" t="s">
        <v>69</v>
      </c>
      <c r="O384" s="14"/>
      <c r="P384" s="14"/>
      <c r="Q384" s="13" t="s">
        <v>70</v>
      </c>
      <c r="R384" s="15" t="s">
        <v>54</v>
      </c>
      <c r="S384" s="13" t="s">
        <v>55</v>
      </c>
      <c r="T384" s="13" t="s">
        <v>330</v>
      </c>
      <c r="U384" s="16" t="str">
        <f t="shared" si="10"/>
        <v/>
      </c>
      <c r="V384" s="17" t="str">
        <f t="shared" si="11"/>
        <v>OK</v>
      </c>
    </row>
    <row r="385" spans="1:22" ht="25.5" x14ac:dyDescent="0.25">
      <c r="A385" s="9">
        <v>381</v>
      </c>
      <c r="B385" s="9" t="s">
        <v>1228</v>
      </c>
      <c r="C385" s="9" t="s">
        <v>1048</v>
      </c>
      <c r="D385" s="10" t="s">
        <v>1229</v>
      </c>
      <c r="E385" s="9" t="s">
        <v>325</v>
      </c>
      <c r="F385" s="9" t="s">
        <v>1067</v>
      </c>
      <c r="G385" s="10" t="s">
        <v>1230</v>
      </c>
      <c r="H385" s="9" t="s">
        <v>328</v>
      </c>
      <c r="I385" s="11">
        <v>13.770092</v>
      </c>
      <c r="J385" s="11">
        <v>109.227191</v>
      </c>
      <c r="K385" s="9" t="s">
        <v>329</v>
      </c>
      <c r="L385" s="10"/>
      <c r="M385" s="12" t="s">
        <v>51</v>
      </c>
      <c r="N385" s="13" t="s">
        <v>69</v>
      </c>
      <c r="O385" s="14"/>
      <c r="P385" s="14"/>
      <c r="Q385" s="13" t="s">
        <v>70</v>
      </c>
      <c r="R385" s="15" t="s">
        <v>54</v>
      </c>
      <c r="S385" s="13" t="s">
        <v>55</v>
      </c>
      <c r="T385" s="13" t="s">
        <v>330</v>
      </c>
      <c r="U385" s="16" t="str">
        <f t="shared" si="10"/>
        <v/>
      </c>
      <c r="V385" s="17" t="str">
        <f t="shared" si="11"/>
        <v>OK</v>
      </c>
    </row>
    <row r="386" spans="1:22" ht="25.5" x14ac:dyDescent="0.25">
      <c r="A386" s="9">
        <v>382</v>
      </c>
      <c r="B386" s="9" t="s">
        <v>1231</v>
      </c>
      <c r="C386" s="9" t="s">
        <v>1048</v>
      </c>
      <c r="D386" s="10" t="s">
        <v>1232</v>
      </c>
      <c r="E386" s="9" t="s">
        <v>325</v>
      </c>
      <c r="F386" s="9" t="s">
        <v>1067</v>
      </c>
      <c r="G386" s="10" t="s">
        <v>1233</v>
      </c>
      <c r="H386" s="9" t="s">
        <v>328</v>
      </c>
      <c r="I386" s="11">
        <v>13.770762</v>
      </c>
      <c r="J386" s="11">
        <v>109.234438</v>
      </c>
      <c r="K386" s="9" t="s">
        <v>329</v>
      </c>
      <c r="L386" s="10"/>
      <c r="M386" s="12" t="s">
        <v>51</v>
      </c>
      <c r="N386" s="13" t="s">
        <v>69</v>
      </c>
      <c r="O386" s="14"/>
      <c r="P386" s="14"/>
      <c r="Q386" s="13" t="s">
        <v>70</v>
      </c>
      <c r="R386" s="15" t="s">
        <v>54</v>
      </c>
      <c r="S386" s="13" t="s">
        <v>55</v>
      </c>
      <c r="T386" s="13" t="s">
        <v>330</v>
      </c>
      <c r="U386" s="16" t="str">
        <f t="shared" si="10"/>
        <v/>
      </c>
      <c r="V386" s="17" t="str">
        <f t="shared" si="11"/>
        <v>OK</v>
      </c>
    </row>
    <row r="387" spans="1:22" ht="38.25" x14ac:dyDescent="0.25">
      <c r="A387" s="9">
        <v>383</v>
      </c>
      <c r="B387" s="9" t="s">
        <v>1234</v>
      </c>
      <c r="C387" s="9" t="s">
        <v>1048</v>
      </c>
      <c r="D387" s="10" t="s">
        <v>1235</v>
      </c>
      <c r="E387" s="9" t="s">
        <v>325</v>
      </c>
      <c r="F387" s="9" t="s">
        <v>1067</v>
      </c>
      <c r="G387" s="10" t="s">
        <v>1236</v>
      </c>
      <c r="H387" s="9" t="s">
        <v>328</v>
      </c>
      <c r="I387" s="11">
        <v>13.772824</v>
      </c>
      <c r="J387" s="11">
        <v>109.22680800000001</v>
      </c>
      <c r="K387" s="9" t="s">
        <v>329</v>
      </c>
      <c r="L387" s="10"/>
      <c r="M387" s="12" t="s">
        <v>51</v>
      </c>
      <c r="N387" s="13" t="s">
        <v>69</v>
      </c>
      <c r="O387" s="14"/>
      <c r="P387" s="14"/>
      <c r="Q387" s="13" t="s">
        <v>70</v>
      </c>
      <c r="R387" s="15" t="s">
        <v>54</v>
      </c>
      <c r="S387" s="13" t="s">
        <v>55</v>
      </c>
      <c r="T387" s="13" t="s">
        <v>330</v>
      </c>
      <c r="U387" s="16" t="str">
        <f t="shared" si="10"/>
        <v/>
      </c>
      <c r="V387" s="17" t="str">
        <f t="shared" si="11"/>
        <v>OK</v>
      </c>
    </row>
    <row r="388" spans="1:22" ht="25.5" x14ac:dyDescent="0.25">
      <c r="A388" s="9">
        <v>384</v>
      </c>
      <c r="B388" s="9" t="s">
        <v>1237</v>
      </c>
      <c r="C388" s="9" t="s">
        <v>1048</v>
      </c>
      <c r="D388" s="10" t="s">
        <v>1238</v>
      </c>
      <c r="E388" s="9" t="s">
        <v>325</v>
      </c>
      <c r="F388" s="9" t="s">
        <v>1067</v>
      </c>
      <c r="G388" s="10" t="s">
        <v>1239</v>
      </c>
      <c r="H388" s="9" t="s">
        <v>328</v>
      </c>
      <c r="I388" s="11">
        <v>13.775997</v>
      </c>
      <c r="J388" s="11">
        <v>109.232437</v>
      </c>
      <c r="K388" s="9" t="s">
        <v>329</v>
      </c>
      <c r="L388" s="10"/>
      <c r="M388" s="12" t="s">
        <v>51</v>
      </c>
      <c r="N388" s="13" t="s">
        <v>69</v>
      </c>
      <c r="O388" s="14"/>
      <c r="P388" s="14"/>
      <c r="Q388" s="13" t="s">
        <v>70</v>
      </c>
      <c r="R388" s="15" t="s">
        <v>54</v>
      </c>
      <c r="S388" s="13" t="s">
        <v>55</v>
      </c>
      <c r="T388" s="13" t="s">
        <v>330</v>
      </c>
      <c r="U388" s="16" t="str">
        <f t="shared" si="10"/>
        <v/>
      </c>
      <c r="V388" s="17" t="str">
        <f t="shared" si="11"/>
        <v>OK</v>
      </c>
    </row>
    <row r="389" spans="1:22" ht="38.25" x14ac:dyDescent="0.25">
      <c r="A389" s="9">
        <v>385</v>
      </c>
      <c r="B389" s="9" t="s">
        <v>1240</v>
      </c>
      <c r="C389" s="9" t="s">
        <v>1048</v>
      </c>
      <c r="D389" s="10" t="s">
        <v>1241</v>
      </c>
      <c r="E389" s="9" t="s">
        <v>325</v>
      </c>
      <c r="F389" s="9" t="s">
        <v>1067</v>
      </c>
      <c r="G389" s="10" t="s">
        <v>1242</v>
      </c>
      <c r="H389" s="9" t="s">
        <v>328</v>
      </c>
      <c r="I389" s="11">
        <v>13.781344000000001</v>
      </c>
      <c r="J389" s="11">
        <v>109.221953</v>
      </c>
      <c r="K389" s="9" t="s">
        <v>329</v>
      </c>
      <c r="L389" s="10"/>
      <c r="M389" s="12" t="s">
        <v>51</v>
      </c>
      <c r="N389" s="13" t="s">
        <v>69</v>
      </c>
      <c r="O389" s="14"/>
      <c r="P389" s="14"/>
      <c r="Q389" s="13" t="s">
        <v>70</v>
      </c>
      <c r="R389" s="15" t="s">
        <v>54</v>
      </c>
      <c r="S389" s="13" t="s">
        <v>55</v>
      </c>
      <c r="T389" s="13" t="s">
        <v>330</v>
      </c>
      <c r="U389" s="16" t="str">
        <f t="shared" ref="U389:U452" si="12">IF(AND(ISNUMBER(O389),ISNUMBER(P389)),ROUND(SQRT(((P389-J389)*111320*COS(RADIANS(I389)))^2+((O389-I389)*110540)^2),0),"")</f>
        <v/>
      </c>
      <c r="V389" s="17" t="str">
        <f t="shared" ref="V389:V452" si="13">IF(N389="","",IF(N389="Sửa vị trí",IF(OR(O389="",P389=""),"Thiếu vĩ độ / kinh độ mới",IF(OR(O389&lt;12.5,O389&gt;15,P389&lt;107,P389&gt;109.6),"Toạ độ ngoài Gia Lai (đảo vĩ/kinh độ?)",IF(Q389="","Chọn cách xác định",IF(U389&gt;20000,"Dời hơn 20 km – kiểm tra lại","OK")))),IF(AND(N389&lt;&gt;"Sửa vị trí",OR(O389&lt;&gt;"",P389&lt;&gt;"")),"Có toạ độ mới nhưng kết quả không phải Sửa vị trí","OK")))</f>
        <v>OK</v>
      </c>
    </row>
    <row r="390" spans="1:22" ht="25.5" x14ac:dyDescent="0.25">
      <c r="A390" s="9">
        <v>386</v>
      </c>
      <c r="B390" s="9" t="s">
        <v>1243</v>
      </c>
      <c r="C390" s="9" t="s">
        <v>1048</v>
      </c>
      <c r="D390" s="10" t="s">
        <v>1244</v>
      </c>
      <c r="E390" s="9" t="s">
        <v>325</v>
      </c>
      <c r="F390" s="9" t="s">
        <v>1067</v>
      </c>
      <c r="G390" s="10" t="s">
        <v>1245</v>
      </c>
      <c r="H390" s="9" t="s">
        <v>328</v>
      </c>
      <c r="I390" s="11">
        <v>13.769959999999999</v>
      </c>
      <c r="J390" s="11">
        <v>109.221118</v>
      </c>
      <c r="K390" s="9" t="s">
        <v>329</v>
      </c>
      <c r="L390" s="10"/>
      <c r="M390" s="12" t="s">
        <v>51</v>
      </c>
      <c r="N390" s="13" t="s">
        <v>69</v>
      </c>
      <c r="O390" s="14"/>
      <c r="P390" s="14"/>
      <c r="Q390" s="13" t="s">
        <v>70</v>
      </c>
      <c r="R390" s="15" t="s">
        <v>54</v>
      </c>
      <c r="S390" s="13" t="s">
        <v>55</v>
      </c>
      <c r="T390" s="13" t="s">
        <v>330</v>
      </c>
      <c r="U390" s="16" t="str">
        <f t="shared" si="12"/>
        <v/>
      </c>
      <c r="V390" s="17" t="str">
        <f t="shared" si="13"/>
        <v>OK</v>
      </c>
    </row>
    <row r="391" spans="1:22" ht="38.25" x14ac:dyDescent="0.25">
      <c r="A391" s="9">
        <v>387</v>
      </c>
      <c r="B391" s="9" t="s">
        <v>1246</v>
      </c>
      <c r="C391" s="9" t="s">
        <v>1048</v>
      </c>
      <c r="D391" s="10" t="s">
        <v>1247</v>
      </c>
      <c r="E391" s="9" t="s">
        <v>325</v>
      </c>
      <c r="F391" s="9" t="s">
        <v>1058</v>
      </c>
      <c r="G391" s="10" t="s">
        <v>1248</v>
      </c>
      <c r="H391" s="9" t="s">
        <v>328</v>
      </c>
      <c r="I391" s="11">
        <v>13.775769</v>
      </c>
      <c r="J391" s="11">
        <v>109.230896</v>
      </c>
      <c r="K391" s="9" t="s">
        <v>329</v>
      </c>
      <c r="L391" s="10"/>
      <c r="M391" s="12" t="s">
        <v>51</v>
      </c>
      <c r="N391" s="13" t="s">
        <v>69</v>
      </c>
      <c r="O391" s="14"/>
      <c r="P391" s="14"/>
      <c r="Q391" s="13" t="s">
        <v>70</v>
      </c>
      <c r="R391" s="15" t="s">
        <v>54</v>
      </c>
      <c r="S391" s="13" t="s">
        <v>55</v>
      </c>
      <c r="T391" s="13" t="s">
        <v>330</v>
      </c>
      <c r="U391" s="16" t="str">
        <f t="shared" si="12"/>
        <v/>
      </c>
      <c r="V391" s="17" t="str">
        <f t="shared" si="13"/>
        <v>OK</v>
      </c>
    </row>
    <row r="392" spans="1:22" ht="25.5" x14ac:dyDescent="0.25">
      <c r="A392" s="9">
        <v>388</v>
      </c>
      <c r="B392" s="9" t="s">
        <v>1249</v>
      </c>
      <c r="C392" s="9" t="s">
        <v>1048</v>
      </c>
      <c r="D392" s="10" t="s">
        <v>1250</v>
      </c>
      <c r="E392" s="9" t="s">
        <v>325</v>
      </c>
      <c r="F392" s="9" t="s">
        <v>1067</v>
      </c>
      <c r="G392" s="10" t="s">
        <v>1251</v>
      </c>
      <c r="H392" s="9" t="s">
        <v>328</v>
      </c>
      <c r="I392" s="11">
        <v>13.775997</v>
      </c>
      <c r="J392" s="11">
        <v>109.232437</v>
      </c>
      <c r="K392" s="9" t="s">
        <v>329</v>
      </c>
      <c r="L392" s="10"/>
      <c r="M392" s="12" t="s">
        <v>51</v>
      </c>
      <c r="N392" s="13" t="s">
        <v>69</v>
      </c>
      <c r="O392" s="14"/>
      <c r="P392" s="14"/>
      <c r="Q392" s="13" t="s">
        <v>70</v>
      </c>
      <c r="R392" s="15" t="s">
        <v>54</v>
      </c>
      <c r="S392" s="13" t="s">
        <v>55</v>
      </c>
      <c r="T392" s="13" t="s">
        <v>330</v>
      </c>
      <c r="U392" s="16" t="str">
        <f t="shared" si="12"/>
        <v/>
      </c>
      <c r="V392" s="17" t="str">
        <f t="shared" si="13"/>
        <v>OK</v>
      </c>
    </row>
    <row r="393" spans="1:22" ht="38.25" x14ac:dyDescent="0.25">
      <c r="A393" s="9">
        <v>389</v>
      </c>
      <c r="B393" s="9" t="s">
        <v>1252</v>
      </c>
      <c r="C393" s="9" t="s">
        <v>1048</v>
      </c>
      <c r="D393" s="10" t="s">
        <v>1253</v>
      </c>
      <c r="E393" s="9" t="s">
        <v>325</v>
      </c>
      <c r="F393" s="9" t="s">
        <v>1067</v>
      </c>
      <c r="G393" s="10" t="s">
        <v>1254</v>
      </c>
      <c r="H393" s="9" t="s">
        <v>328</v>
      </c>
      <c r="I393" s="11">
        <v>13.769959999999999</v>
      </c>
      <c r="J393" s="11">
        <v>109.221118</v>
      </c>
      <c r="K393" s="9" t="s">
        <v>329</v>
      </c>
      <c r="L393" s="10"/>
      <c r="M393" s="12" t="s">
        <v>51</v>
      </c>
      <c r="N393" s="13" t="s">
        <v>69</v>
      </c>
      <c r="O393" s="14"/>
      <c r="P393" s="14"/>
      <c r="Q393" s="13" t="s">
        <v>70</v>
      </c>
      <c r="R393" s="15" t="s">
        <v>54</v>
      </c>
      <c r="S393" s="13" t="s">
        <v>55</v>
      </c>
      <c r="T393" s="13" t="s">
        <v>330</v>
      </c>
      <c r="U393" s="16" t="str">
        <f t="shared" si="12"/>
        <v/>
      </c>
      <c r="V393" s="17" t="str">
        <f t="shared" si="13"/>
        <v>OK</v>
      </c>
    </row>
    <row r="394" spans="1:22" ht="38.25" x14ac:dyDescent="0.25">
      <c r="A394" s="9">
        <v>390</v>
      </c>
      <c r="B394" s="9" t="s">
        <v>1255</v>
      </c>
      <c r="C394" s="9" t="s">
        <v>1048</v>
      </c>
      <c r="D394" s="10" t="s">
        <v>1256</v>
      </c>
      <c r="E394" s="9" t="s">
        <v>325</v>
      </c>
      <c r="F394" s="9" t="s">
        <v>1067</v>
      </c>
      <c r="G394" s="10" t="s">
        <v>1257</v>
      </c>
      <c r="H394" s="9" t="s">
        <v>448</v>
      </c>
      <c r="I394" s="11">
        <v>13.795531</v>
      </c>
      <c r="J394" s="11">
        <v>109.180997</v>
      </c>
      <c r="K394" s="9" t="s">
        <v>329</v>
      </c>
      <c r="L394" s="10"/>
      <c r="M394" s="12" t="s">
        <v>51</v>
      </c>
      <c r="N394" s="13" t="s">
        <v>69</v>
      </c>
      <c r="O394" s="14"/>
      <c r="P394" s="14"/>
      <c r="Q394" s="13" t="s">
        <v>70</v>
      </c>
      <c r="R394" s="15" t="s">
        <v>54</v>
      </c>
      <c r="S394" s="13" t="s">
        <v>55</v>
      </c>
      <c r="T394" s="13" t="s">
        <v>330</v>
      </c>
      <c r="U394" s="16" t="str">
        <f t="shared" si="12"/>
        <v/>
      </c>
      <c r="V394" s="17" t="str">
        <f t="shared" si="13"/>
        <v>OK</v>
      </c>
    </row>
    <row r="395" spans="1:22" ht="38.25" x14ac:dyDescent="0.25">
      <c r="A395" s="9">
        <v>391</v>
      </c>
      <c r="B395" s="9" t="s">
        <v>1258</v>
      </c>
      <c r="C395" s="9" t="s">
        <v>1048</v>
      </c>
      <c r="D395" s="10" t="s">
        <v>1259</v>
      </c>
      <c r="E395" s="9" t="s">
        <v>325</v>
      </c>
      <c r="F395" s="9" t="s">
        <v>1067</v>
      </c>
      <c r="G395" s="10" t="s">
        <v>1260</v>
      </c>
      <c r="H395" s="9" t="s">
        <v>448</v>
      </c>
      <c r="I395" s="11">
        <v>13.78159</v>
      </c>
      <c r="J395" s="11">
        <v>109.14874500000001</v>
      </c>
      <c r="K395" s="9" t="s">
        <v>329</v>
      </c>
      <c r="L395" s="10"/>
      <c r="M395" s="12" t="s">
        <v>51</v>
      </c>
      <c r="N395" s="13" t="s">
        <v>69</v>
      </c>
      <c r="O395" s="14"/>
      <c r="P395" s="14"/>
      <c r="Q395" s="13" t="s">
        <v>70</v>
      </c>
      <c r="R395" s="15" t="s">
        <v>54</v>
      </c>
      <c r="S395" s="13" t="s">
        <v>55</v>
      </c>
      <c r="T395" s="13" t="s">
        <v>330</v>
      </c>
      <c r="U395" s="16" t="str">
        <f t="shared" si="12"/>
        <v/>
      </c>
      <c r="V395" s="17" t="str">
        <f t="shared" si="13"/>
        <v>OK</v>
      </c>
    </row>
    <row r="396" spans="1:22" ht="51" x14ac:dyDescent="0.25">
      <c r="A396" s="9">
        <v>392</v>
      </c>
      <c r="B396" s="9" t="s">
        <v>1261</v>
      </c>
      <c r="C396" s="9" t="s">
        <v>1048</v>
      </c>
      <c r="D396" s="10" t="s">
        <v>1262</v>
      </c>
      <c r="E396" s="9" t="s">
        <v>325</v>
      </c>
      <c r="F396" s="9" t="s">
        <v>1058</v>
      </c>
      <c r="G396" s="10" t="s">
        <v>1263</v>
      </c>
      <c r="H396" s="9" t="s">
        <v>448</v>
      </c>
      <c r="I396" s="11">
        <v>13.796238000000001</v>
      </c>
      <c r="J396" s="11">
        <v>109.14749</v>
      </c>
      <c r="K396" s="9" t="s">
        <v>329</v>
      </c>
      <c r="L396" s="10"/>
      <c r="M396" s="12" t="s">
        <v>51</v>
      </c>
      <c r="N396" s="13" t="s">
        <v>69</v>
      </c>
      <c r="O396" s="14"/>
      <c r="P396" s="14"/>
      <c r="Q396" s="13" t="s">
        <v>70</v>
      </c>
      <c r="R396" s="15" t="s">
        <v>54</v>
      </c>
      <c r="S396" s="13" t="s">
        <v>55</v>
      </c>
      <c r="T396" s="13" t="s">
        <v>330</v>
      </c>
      <c r="U396" s="16" t="str">
        <f t="shared" si="12"/>
        <v/>
      </c>
      <c r="V396" s="17" t="str">
        <f t="shared" si="13"/>
        <v>OK</v>
      </c>
    </row>
    <row r="397" spans="1:22" ht="38.25" x14ac:dyDescent="0.25">
      <c r="A397" s="9">
        <v>393</v>
      </c>
      <c r="B397" s="9" t="s">
        <v>1264</v>
      </c>
      <c r="C397" s="9" t="s">
        <v>1048</v>
      </c>
      <c r="D397" s="10" t="s">
        <v>1265</v>
      </c>
      <c r="E397" s="9" t="s">
        <v>325</v>
      </c>
      <c r="F397" s="9" t="s">
        <v>1067</v>
      </c>
      <c r="G397" s="10" t="s">
        <v>1260</v>
      </c>
      <c r="H397" s="9" t="s">
        <v>448</v>
      </c>
      <c r="I397" s="11">
        <v>13.78159</v>
      </c>
      <c r="J397" s="11">
        <v>109.14874500000001</v>
      </c>
      <c r="K397" s="9" t="s">
        <v>329</v>
      </c>
      <c r="L397" s="10"/>
      <c r="M397" s="12" t="s">
        <v>51</v>
      </c>
      <c r="N397" s="13" t="s">
        <v>69</v>
      </c>
      <c r="O397" s="14"/>
      <c r="P397" s="14"/>
      <c r="Q397" s="13" t="s">
        <v>70</v>
      </c>
      <c r="R397" s="15" t="s">
        <v>54</v>
      </c>
      <c r="S397" s="13" t="s">
        <v>55</v>
      </c>
      <c r="T397" s="13" t="s">
        <v>330</v>
      </c>
      <c r="U397" s="16" t="str">
        <f t="shared" si="12"/>
        <v/>
      </c>
      <c r="V397" s="17" t="str">
        <f t="shared" si="13"/>
        <v>OK</v>
      </c>
    </row>
    <row r="398" spans="1:22" ht="38.25" x14ac:dyDescent="0.25">
      <c r="A398" s="9">
        <v>394</v>
      </c>
      <c r="B398" s="9" t="s">
        <v>1266</v>
      </c>
      <c r="C398" s="9" t="s">
        <v>1048</v>
      </c>
      <c r="D398" s="10" t="s">
        <v>1267</v>
      </c>
      <c r="E398" s="9" t="s">
        <v>325</v>
      </c>
      <c r="F398" s="9" t="s">
        <v>1058</v>
      </c>
      <c r="G398" s="10" t="s">
        <v>1268</v>
      </c>
      <c r="H398" s="9" t="s">
        <v>334</v>
      </c>
      <c r="I398" s="11">
        <v>13.752230000000001</v>
      </c>
      <c r="J398" s="11">
        <v>109.2106</v>
      </c>
      <c r="K398" s="9" t="s">
        <v>329</v>
      </c>
      <c r="L398" s="10"/>
      <c r="M398" s="12" t="s">
        <v>51</v>
      </c>
      <c r="N398" s="13" t="s">
        <v>69</v>
      </c>
      <c r="O398" s="14"/>
      <c r="P398" s="14"/>
      <c r="Q398" s="13" t="s">
        <v>70</v>
      </c>
      <c r="R398" s="15" t="s">
        <v>54</v>
      </c>
      <c r="S398" s="13" t="s">
        <v>55</v>
      </c>
      <c r="T398" s="13" t="s">
        <v>330</v>
      </c>
      <c r="U398" s="16" t="str">
        <f t="shared" si="12"/>
        <v/>
      </c>
      <c r="V398" s="17" t="str">
        <f t="shared" si="13"/>
        <v>OK</v>
      </c>
    </row>
    <row r="399" spans="1:22" ht="38.25" x14ac:dyDescent="0.25">
      <c r="A399" s="9">
        <v>395</v>
      </c>
      <c r="B399" s="9" t="s">
        <v>1269</v>
      </c>
      <c r="C399" s="9" t="s">
        <v>1048</v>
      </c>
      <c r="D399" s="10" t="s">
        <v>1270</v>
      </c>
      <c r="E399" s="9" t="s">
        <v>325</v>
      </c>
      <c r="F399" s="9" t="s">
        <v>1058</v>
      </c>
      <c r="G399" s="10" t="s">
        <v>1271</v>
      </c>
      <c r="H399" s="9" t="s">
        <v>334</v>
      </c>
      <c r="I399" s="11">
        <v>13.762100999999999</v>
      </c>
      <c r="J399" s="11">
        <v>109.218813</v>
      </c>
      <c r="K399" s="9" t="s">
        <v>329</v>
      </c>
      <c r="L399" s="10"/>
      <c r="M399" s="12" t="s">
        <v>51</v>
      </c>
      <c r="N399" s="13" t="s">
        <v>69</v>
      </c>
      <c r="O399" s="14"/>
      <c r="P399" s="14"/>
      <c r="Q399" s="13" t="s">
        <v>70</v>
      </c>
      <c r="R399" s="15" t="s">
        <v>54</v>
      </c>
      <c r="S399" s="13" t="s">
        <v>55</v>
      </c>
      <c r="T399" s="13" t="s">
        <v>330</v>
      </c>
      <c r="U399" s="16" t="str">
        <f t="shared" si="12"/>
        <v/>
      </c>
      <c r="V399" s="17" t="str">
        <f t="shared" si="13"/>
        <v>OK</v>
      </c>
    </row>
    <row r="400" spans="1:22" ht="38.25" x14ac:dyDescent="0.25">
      <c r="A400" s="9">
        <v>396</v>
      </c>
      <c r="B400" s="9" t="s">
        <v>1272</v>
      </c>
      <c r="C400" s="9" t="s">
        <v>1048</v>
      </c>
      <c r="D400" s="10" t="s">
        <v>1273</v>
      </c>
      <c r="E400" s="9" t="s">
        <v>325</v>
      </c>
      <c r="F400" s="9" t="s">
        <v>1058</v>
      </c>
      <c r="G400" s="10" t="s">
        <v>1274</v>
      </c>
      <c r="H400" s="9" t="s">
        <v>334</v>
      </c>
      <c r="I400" s="11">
        <v>13.757474</v>
      </c>
      <c r="J400" s="11">
        <v>109.21403100000001</v>
      </c>
      <c r="K400" s="9" t="s">
        <v>329</v>
      </c>
      <c r="L400" s="10"/>
      <c r="M400" s="12" t="s">
        <v>51</v>
      </c>
      <c r="N400" s="13" t="s">
        <v>69</v>
      </c>
      <c r="O400" s="14"/>
      <c r="P400" s="14"/>
      <c r="Q400" s="13" t="s">
        <v>70</v>
      </c>
      <c r="R400" s="15" t="s">
        <v>54</v>
      </c>
      <c r="S400" s="13" t="s">
        <v>55</v>
      </c>
      <c r="T400" s="13" t="s">
        <v>330</v>
      </c>
      <c r="U400" s="16" t="str">
        <f t="shared" si="12"/>
        <v/>
      </c>
      <c r="V400" s="17" t="str">
        <f t="shared" si="13"/>
        <v>OK</v>
      </c>
    </row>
    <row r="401" spans="1:22" ht="38.25" x14ac:dyDescent="0.25">
      <c r="A401" s="9">
        <v>397</v>
      </c>
      <c r="B401" s="9" t="s">
        <v>1275</v>
      </c>
      <c r="C401" s="9" t="s">
        <v>1048</v>
      </c>
      <c r="D401" s="10" t="s">
        <v>1276</v>
      </c>
      <c r="E401" s="9" t="s">
        <v>325</v>
      </c>
      <c r="F401" s="9" t="s">
        <v>1067</v>
      </c>
      <c r="G401" s="10" t="s">
        <v>1277</v>
      </c>
      <c r="H401" s="9" t="s">
        <v>334</v>
      </c>
      <c r="I401" s="11">
        <v>13.756456</v>
      </c>
      <c r="J401" s="11">
        <v>109.218592</v>
      </c>
      <c r="K401" s="9" t="s">
        <v>329</v>
      </c>
      <c r="L401" s="10"/>
      <c r="M401" s="12" t="s">
        <v>51</v>
      </c>
      <c r="N401" s="13" t="s">
        <v>69</v>
      </c>
      <c r="O401" s="14"/>
      <c r="P401" s="14"/>
      <c r="Q401" s="13" t="s">
        <v>70</v>
      </c>
      <c r="R401" s="15" t="s">
        <v>54</v>
      </c>
      <c r="S401" s="13" t="s">
        <v>55</v>
      </c>
      <c r="T401" s="13" t="s">
        <v>330</v>
      </c>
      <c r="U401" s="16" t="str">
        <f t="shared" si="12"/>
        <v/>
      </c>
      <c r="V401" s="17" t="str">
        <f t="shared" si="13"/>
        <v>OK</v>
      </c>
    </row>
    <row r="402" spans="1:22" ht="38.25" x14ac:dyDescent="0.25">
      <c r="A402" s="9">
        <v>398</v>
      </c>
      <c r="B402" s="9" t="s">
        <v>1278</v>
      </c>
      <c r="C402" s="9" t="s">
        <v>1048</v>
      </c>
      <c r="D402" s="10" t="s">
        <v>1279</v>
      </c>
      <c r="E402" s="9" t="s">
        <v>325</v>
      </c>
      <c r="F402" s="9" t="s">
        <v>1067</v>
      </c>
      <c r="G402" s="10" t="s">
        <v>1280</v>
      </c>
      <c r="H402" s="9" t="s">
        <v>334</v>
      </c>
      <c r="I402" s="11">
        <v>13.762705</v>
      </c>
      <c r="J402" s="11">
        <v>109.21306800000001</v>
      </c>
      <c r="K402" s="9" t="s">
        <v>329</v>
      </c>
      <c r="L402" s="10"/>
      <c r="M402" s="12" t="s">
        <v>51</v>
      </c>
      <c r="N402" s="13" t="s">
        <v>69</v>
      </c>
      <c r="O402" s="14"/>
      <c r="P402" s="14"/>
      <c r="Q402" s="13" t="s">
        <v>70</v>
      </c>
      <c r="R402" s="15" t="s">
        <v>54</v>
      </c>
      <c r="S402" s="13" t="s">
        <v>55</v>
      </c>
      <c r="T402" s="13" t="s">
        <v>330</v>
      </c>
      <c r="U402" s="16" t="str">
        <f t="shared" si="12"/>
        <v/>
      </c>
      <c r="V402" s="17" t="str">
        <f t="shared" si="13"/>
        <v>OK</v>
      </c>
    </row>
    <row r="403" spans="1:22" ht="38.25" x14ac:dyDescent="0.25">
      <c r="A403" s="9">
        <v>399</v>
      </c>
      <c r="B403" s="9" t="s">
        <v>1281</v>
      </c>
      <c r="C403" s="9" t="s">
        <v>1048</v>
      </c>
      <c r="D403" s="10" t="s">
        <v>1282</v>
      </c>
      <c r="E403" s="9" t="s">
        <v>325</v>
      </c>
      <c r="F403" s="9" t="s">
        <v>1067</v>
      </c>
      <c r="G403" s="10" t="s">
        <v>1283</v>
      </c>
      <c r="H403" s="9" t="s">
        <v>334</v>
      </c>
      <c r="I403" s="11">
        <v>13.751702</v>
      </c>
      <c r="J403" s="11">
        <v>109.21087799999999</v>
      </c>
      <c r="K403" s="9" t="s">
        <v>329</v>
      </c>
      <c r="L403" s="10"/>
      <c r="M403" s="12" t="s">
        <v>51</v>
      </c>
      <c r="N403" s="13" t="s">
        <v>69</v>
      </c>
      <c r="O403" s="14"/>
      <c r="P403" s="14"/>
      <c r="Q403" s="13" t="s">
        <v>70</v>
      </c>
      <c r="R403" s="15" t="s">
        <v>54</v>
      </c>
      <c r="S403" s="13" t="s">
        <v>55</v>
      </c>
      <c r="T403" s="13" t="s">
        <v>330</v>
      </c>
      <c r="U403" s="16" t="str">
        <f t="shared" si="12"/>
        <v/>
      </c>
      <c r="V403" s="17" t="str">
        <f t="shared" si="13"/>
        <v>OK</v>
      </c>
    </row>
    <row r="404" spans="1:22" ht="38.25" x14ac:dyDescent="0.25">
      <c r="A404" s="9">
        <v>400</v>
      </c>
      <c r="B404" s="9" t="s">
        <v>1284</v>
      </c>
      <c r="C404" s="9" t="s">
        <v>1048</v>
      </c>
      <c r="D404" s="10" t="s">
        <v>1285</v>
      </c>
      <c r="E404" s="9" t="s">
        <v>325</v>
      </c>
      <c r="F404" s="9" t="s">
        <v>1067</v>
      </c>
      <c r="G404" s="10" t="s">
        <v>1286</v>
      </c>
      <c r="H404" s="9" t="s">
        <v>334</v>
      </c>
      <c r="I404" s="11">
        <v>13.753575</v>
      </c>
      <c r="J404" s="11">
        <v>109.207882</v>
      </c>
      <c r="K404" s="9" t="s">
        <v>329</v>
      </c>
      <c r="L404" s="10"/>
      <c r="M404" s="12" t="s">
        <v>51</v>
      </c>
      <c r="N404" s="13" t="s">
        <v>69</v>
      </c>
      <c r="O404" s="14"/>
      <c r="P404" s="14"/>
      <c r="Q404" s="13" t="s">
        <v>70</v>
      </c>
      <c r="R404" s="15" t="s">
        <v>54</v>
      </c>
      <c r="S404" s="13" t="s">
        <v>55</v>
      </c>
      <c r="T404" s="13" t="s">
        <v>330</v>
      </c>
      <c r="U404" s="16" t="str">
        <f t="shared" si="12"/>
        <v/>
      </c>
      <c r="V404" s="17" t="str">
        <f t="shared" si="13"/>
        <v>OK</v>
      </c>
    </row>
    <row r="405" spans="1:22" ht="51" x14ac:dyDescent="0.25">
      <c r="A405" s="9">
        <v>401</v>
      </c>
      <c r="B405" s="9" t="s">
        <v>1287</v>
      </c>
      <c r="C405" s="9" t="s">
        <v>1048</v>
      </c>
      <c r="D405" s="10" t="s">
        <v>1288</v>
      </c>
      <c r="E405" s="9" t="s">
        <v>325</v>
      </c>
      <c r="F405" s="9" t="s">
        <v>1058</v>
      </c>
      <c r="G405" s="10" t="s">
        <v>1289</v>
      </c>
      <c r="H405" s="9" t="s">
        <v>334</v>
      </c>
      <c r="I405" s="11">
        <v>13.750730000000001</v>
      </c>
      <c r="J405" s="11">
        <v>109.21423</v>
      </c>
      <c r="K405" s="9" t="s">
        <v>329</v>
      </c>
      <c r="L405" s="10"/>
      <c r="M405" s="12" t="s">
        <v>51</v>
      </c>
      <c r="N405" s="13" t="s">
        <v>69</v>
      </c>
      <c r="O405" s="14"/>
      <c r="P405" s="14"/>
      <c r="Q405" s="13" t="s">
        <v>70</v>
      </c>
      <c r="R405" s="15" t="s">
        <v>54</v>
      </c>
      <c r="S405" s="13" t="s">
        <v>55</v>
      </c>
      <c r="T405" s="13" t="s">
        <v>330</v>
      </c>
      <c r="U405" s="16" t="str">
        <f t="shared" si="12"/>
        <v/>
      </c>
      <c r="V405" s="17" t="str">
        <f t="shared" si="13"/>
        <v>OK</v>
      </c>
    </row>
    <row r="406" spans="1:22" ht="51" x14ac:dyDescent="0.25">
      <c r="A406" s="9">
        <v>402</v>
      </c>
      <c r="B406" s="9" t="s">
        <v>1290</v>
      </c>
      <c r="C406" s="9" t="s">
        <v>1048</v>
      </c>
      <c r="D406" s="10" t="s">
        <v>1291</v>
      </c>
      <c r="E406" s="9" t="s">
        <v>325</v>
      </c>
      <c r="F406" s="9" t="s">
        <v>1058</v>
      </c>
      <c r="G406" s="10" t="s">
        <v>1292</v>
      </c>
      <c r="H406" s="9" t="s">
        <v>334</v>
      </c>
      <c r="I406" s="11">
        <v>13.767150000000001</v>
      </c>
      <c r="J406" s="11">
        <v>109.2159</v>
      </c>
      <c r="K406" s="9" t="s">
        <v>329</v>
      </c>
      <c r="L406" s="10"/>
      <c r="M406" s="12" t="s">
        <v>51</v>
      </c>
      <c r="N406" s="13" t="s">
        <v>69</v>
      </c>
      <c r="O406" s="14"/>
      <c r="P406" s="14"/>
      <c r="Q406" s="13" t="s">
        <v>70</v>
      </c>
      <c r="R406" s="15" t="s">
        <v>54</v>
      </c>
      <c r="S406" s="13" t="s">
        <v>55</v>
      </c>
      <c r="T406" s="13" t="s">
        <v>330</v>
      </c>
      <c r="U406" s="16" t="str">
        <f t="shared" si="12"/>
        <v/>
      </c>
      <c r="V406" s="17" t="str">
        <f t="shared" si="13"/>
        <v>OK</v>
      </c>
    </row>
    <row r="407" spans="1:22" ht="38.25" x14ac:dyDescent="0.25">
      <c r="A407" s="9">
        <v>403</v>
      </c>
      <c r="B407" s="9" t="s">
        <v>1293</v>
      </c>
      <c r="C407" s="9" t="s">
        <v>1048</v>
      </c>
      <c r="D407" s="10" t="s">
        <v>1294</v>
      </c>
      <c r="E407" s="9" t="s">
        <v>325</v>
      </c>
      <c r="F407" s="9" t="s">
        <v>1058</v>
      </c>
      <c r="G407" s="10" t="s">
        <v>1295</v>
      </c>
      <c r="H407" s="9" t="s">
        <v>463</v>
      </c>
      <c r="I407" s="11">
        <v>13.83121</v>
      </c>
      <c r="J407" s="11">
        <v>109.269462</v>
      </c>
      <c r="K407" s="9" t="s">
        <v>329</v>
      </c>
      <c r="L407" s="10"/>
      <c r="M407" s="12" t="s">
        <v>51</v>
      </c>
      <c r="N407" s="13" t="s">
        <v>69</v>
      </c>
      <c r="O407" s="14"/>
      <c r="P407" s="14"/>
      <c r="Q407" s="13" t="s">
        <v>70</v>
      </c>
      <c r="R407" s="15" t="s">
        <v>54</v>
      </c>
      <c r="S407" s="13" t="s">
        <v>55</v>
      </c>
      <c r="T407" s="13" t="s">
        <v>330</v>
      </c>
      <c r="U407" s="16" t="str">
        <f t="shared" si="12"/>
        <v/>
      </c>
      <c r="V407" s="17" t="str">
        <f t="shared" si="13"/>
        <v>OK</v>
      </c>
    </row>
    <row r="408" spans="1:22" ht="51" x14ac:dyDescent="0.25">
      <c r="A408" s="9">
        <v>404</v>
      </c>
      <c r="B408" s="9" t="s">
        <v>1296</v>
      </c>
      <c r="C408" s="9" t="s">
        <v>1048</v>
      </c>
      <c r="D408" s="10" t="s">
        <v>1297</v>
      </c>
      <c r="E408" s="9" t="s">
        <v>325</v>
      </c>
      <c r="F408" s="9" t="s">
        <v>1067</v>
      </c>
      <c r="G408" s="10" t="s">
        <v>1298</v>
      </c>
      <c r="H408" s="9" t="s">
        <v>463</v>
      </c>
      <c r="I408" s="11">
        <v>13.826157</v>
      </c>
      <c r="J408" s="11">
        <v>109.266448</v>
      </c>
      <c r="K408" s="9" t="s">
        <v>329</v>
      </c>
      <c r="L408" s="10"/>
      <c r="M408" s="12" t="s">
        <v>51</v>
      </c>
      <c r="N408" s="13" t="s">
        <v>69</v>
      </c>
      <c r="O408" s="14"/>
      <c r="P408" s="14"/>
      <c r="Q408" s="13" t="s">
        <v>70</v>
      </c>
      <c r="R408" s="15" t="s">
        <v>54</v>
      </c>
      <c r="S408" s="13" t="s">
        <v>55</v>
      </c>
      <c r="T408" s="13" t="s">
        <v>330</v>
      </c>
      <c r="U408" s="16" t="str">
        <f t="shared" si="12"/>
        <v/>
      </c>
      <c r="V408" s="17" t="str">
        <f t="shared" si="13"/>
        <v>OK</v>
      </c>
    </row>
    <row r="409" spans="1:22" ht="38.25" x14ac:dyDescent="0.25">
      <c r="A409" s="9">
        <v>405</v>
      </c>
      <c r="B409" s="9" t="s">
        <v>1299</v>
      </c>
      <c r="C409" s="9" t="s">
        <v>1048</v>
      </c>
      <c r="D409" s="10" t="s">
        <v>1300</v>
      </c>
      <c r="E409" s="9" t="s">
        <v>325</v>
      </c>
      <c r="F409" s="9" t="s">
        <v>1058</v>
      </c>
      <c r="G409" s="10" t="s">
        <v>1301</v>
      </c>
      <c r="H409" s="9" t="s">
        <v>110</v>
      </c>
      <c r="I409" s="11">
        <v>14.015366</v>
      </c>
      <c r="J409" s="11">
        <v>107.99262400000001</v>
      </c>
      <c r="K409" s="9" t="s">
        <v>329</v>
      </c>
      <c r="L409" s="10"/>
      <c r="M409" s="12" t="s">
        <v>51</v>
      </c>
      <c r="N409" s="13" t="s">
        <v>52</v>
      </c>
      <c r="O409" s="14"/>
      <c r="P409" s="14"/>
      <c r="Q409" s="13" t="s">
        <v>53</v>
      </c>
      <c r="R409" s="15" t="s">
        <v>54</v>
      </c>
      <c r="S409" s="13" t="s">
        <v>55</v>
      </c>
      <c r="T409" s="13" t="s">
        <v>1302</v>
      </c>
      <c r="U409" s="16" t="str">
        <f t="shared" si="12"/>
        <v/>
      </c>
      <c r="V409" s="17" t="str">
        <f t="shared" si="13"/>
        <v>OK</v>
      </c>
    </row>
    <row r="410" spans="1:22" ht="38.25" x14ac:dyDescent="0.25">
      <c r="A410" s="9">
        <v>406</v>
      </c>
      <c r="B410" s="9" t="s">
        <v>1303</v>
      </c>
      <c r="C410" s="9" t="s">
        <v>1048</v>
      </c>
      <c r="D410" s="10" t="s">
        <v>1304</v>
      </c>
      <c r="E410" s="9" t="s">
        <v>325</v>
      </c>
      <c r="F410" s="9" t="s">
        <v>1058</v>
      </c>
      <c r="G410" s="10" t="s">
        <v>1305</v>
      </c>
      <c r="H410" s="9" t="s">
        <v>110</v>
      </c>
      <c r="I410" s="11">
        <v>14.03017</v>
      </c>
      <c r="J410" s="11">
        <v>107.987061</v>
      </c>
      <c r="K410" s="9" t="s">
        <v>329</v>
      </c>
      <c r="L410" s="10"/>
      <c r="M410" s="12" t="s">
        <v>51</v>
      </c>
      <c r="N410" s="13" t="s">
        <v>52</v>
      </c>
      <c r="O410" s="14"/>
      <c r="P410" s="14"/>
      <c r="Q410" s="13" t="s">
        <v>53</v>
      </c>
      <c r="R410" s="15" t="s">
        <v>54</v>
      </c>
      <c r="S410" s="13" t="s">
        <v>55</v>
      </c>
      <c r="T410" s="13" t="s">
        <v>1306</v>
      </c>
      <c r="U410" s="16" t="str">
        <f t="shared" si="12"/>
        <v/>
      </c>
      <c r="V410" s="17" t="str">
        <f t="shared" si="13"/>
        <v>OK</v>
      </c>
    </row>
    <row r="411" spans="1:22" ht="38.25" x14ac:dyDescent="0.25">
      <c r="A411" s="9">
        <v>407</v>
      </c>
      <c r="B411" s="9" t="s">
        <v>1307</v>
      </c>
      <c r="C411" s="9" t="s">
        <v>1048</v>
      </c>
      <c r="D411" s="10" t="s">
        <v>1308</v>
      </c>
      <c r="E411" s="9" t="s">
        <v>325</v>
      </c>
      <c r="F411" s="9" t="s">
        <v>1067</v>
      </c>
      <c r="G411" s="10" t="s">
        <v>1309</v>
      </c>
      <c r="H411" s="9" t="s">
        <v>110</v>
      </c>
      <c r="I411" s="11">
        <v>14.028108</v>
      </c>
      <c r="J411" s="11">
        <v>107.989695</v>
      </c>
      <c r="K411" s="9" t="s">
        <v>329</v>
      </c>
      <c r="L411" s="10"/>
      <c r="M411" s="12" t="s">
        <v>51</v>
      </c>
      <c r="N411" s="13" t="s">
        <v>52</v>
      </c>
      <c r="O411" s="14"/>
      <c r="P411" s="14"/>
      <c r="Q411" s="13" t="s">
        <v>53</v>
      </c>
      <c r="R411" s="15" t="s">
        <v>54</v>
      </c>
      <c r="S411" s="13" t="s">
        <v>55</v>
      </c>
      <c r="T411" s="13" t="s">
        <v>1310</v>
      </c>
      <c r="U411" s="16" t="str">
        <f t="shared" si="12"/>
        <v/>
      </c>
      <c r="V411" s="17" t="str">
        <f t="shared" si="13"/>
        <v>OK</v>
      </c>
    </row>
    <row r="412" spans="1:22" ht="38.25" x14ac:dyDescent="0.25">
      <c r="A412" s="9">
        <v>408</v>
      </c>
      <c r="B412" s="9" t="s">
        <v>1311</v>
      </c>
      <c r="C412" s="9" t="s">
        <v>1048</v>
      </c>
      <c r="D412" s="10" t="s">
        <v>1312</v>
      </c>
      <c r="E412" s="9" t="s">
        <v>325</v>
      </c>
      <c r="F412" s="9" t="s">
        <v>1067</v>
      </c>
      <c r="G412" s="10" t="s">
        <v>1313</v>
      </c>
      <c r="H412" s="9" t="s">
        <v>110</v>
      </c>
      <c r="I412" s="11">
        <v>14.028108</v>
      </c>
      <c r="J412" s="11">
        <v>107.989695</v>
      </c>
      <c r="K412" s="9" t="s">
        <v>329</v>
      </c>
      <c r="L412" s="10"/>
      <c r="M412" s="12" t="s">
        <v>51</v>
      </c>
      <c r="N412" s="13" t="s">
        <v>52</v>
      </c>
      <c r="O412" s="14"/>
      <c r="P412" s="14"/>
      <c r="Q412" s="13" t="s">
        <v>53</v>
      </c>
      <c r="R412" s="15" t="s">
        <v>54</v>
      </c>
      <c r="S412" s="13" t="s">
        <v>55</v>
      </c>
      <c r="T412" s="13" t="s">
        <v>1314</v>
      </c>
      <c r="U412" s="16" t="str">
        <f t="shared" si="12"/>
        <v/>
      </c>
      <c r="V412" s="17" t="str">
        <f t="shared" si="13"/>
        <v>OK</v>
      </c>
    </row>
    <row r="413" spans="1:22" ht="25.5" x14ac:dyDescent="0.25">
      <c r="A413" s="9">
        <v>409</v>
      </c>
      <c r="B413" s="9" t="s">
        <v>1315</v>
      </c>
      <c r="C413" s="9" t="s">
        <v>1048</v>
      </c>
      <c r="D413" s="10" t="s">
        <v>1316</v>
      </c>
      <c r="E413" s="9" t="s">
        <v>325</v>
      </c>
      <c r="F413" s="9" t="s">
        <v>1067</v>
      </c>
      <c r="G413" s="10" t="s">
        <v>1317</v>
      </c>
      <c r="H413" s="9" t="s">
        <v>1318</v>
      </c>
      <c r="I413" s="11">
        <v>14.557861000000001</v>
      </c>
      <c r="J413" s="11">
        <v>108.901</v>
      </c>
      <c r="K413" s="9" t="s">
        <v>329</v>
      </c>
      <c r="L413" s="10"/>
      <c r="M413" s="12" t="s">
        <v>51</v>
      </c>
      <c r="N413" s="13" t="s">
        <v>69</v>
      </c>
      <c r="O413" s="14"/>
      <c r="P413" s="14"/>
      <c r="Q413" s="13" t="s">
        <v>70</v>
      </c>
      <c r="R413" s="15" t="s">
        <v>54</v>
      </c>
      <c r="S413" s="13" t="s">
        <v>55</v>
      </c>
      <c r="T413" s="13" t="s">
        <v>490</v>
      </c>
      <c r="U413" s="16" t="str">
        <f t="shared" si="12"/>
        <v/>
      </c>
      <c r="V413" s="17" t="str">
        <f t="shared" si="13"/>
        <v>OK</v>
      </c>
    </row>
    <row r="414" spans="1:22" ht="38.25" x14ac:dyDescent="0.25">
      <c r="A414" s="9">
        <v>410</v>
      </c>
      <c r="B414" s="9" t="s">
        <v>1319</v>
      </c>
      <c r="C414" s="9" t="s">
        <v>1048</v>
      </c>
      <c r="D414" s="10" t="s">
        <v>1320</v>
      </c>
      <c r="E414" s="9" t="s">
        <v>325</v>
      </c>
      <c r="F414" s="9" t="s">
        <v>1058</v>
      </c>
      <c r="G414" s="10" t="s">
        <v>1321</v>
      </c>
      <c r="H414" s="9" t="s">
        <v>115</v>
      </c>
      <c r="I414" s="11">
        <v>14.03674</v>
      </c>
      <c r="J414" s="11">
        <v>108.014189</v>
      </c>
      <c r="K414" s="9" t="s">
        <v>329</v>
      </c>
      <c r="L414" s="10"/>
      <c r="M414" s="12" t="s">
        <v>51</v>
      </c>
      <c r="N414" s="13" t="s">
        <v>52</v>
      </c>
      <c r="O414" s="14"/>
      <c r="P414" s="14"/>
      <c r="Q414" s="13" t="s">
        <v>53</v>
      </c>
      <c r="R414" s="15" t="s">
        <v>54</v>
      </c>
      <c r="S414" s="13" t="s">
        <v>55</v>
      </c>
      <c r="T414" s="13" t="s">
        <v>1322</v>
      </c>
      <c r="U414" s="16" t="str">
        <f t="shared" si="12"/>
        <v/>
      </c>
      <c r="V414" s="17" t="str">
        <f t="shared" si="13"/>
        <v>OK</v>
      </c>
    </row>
    <row r="415" spans="1:22" ht="25.5" x14ac:dyDescent="0.25">
      <c r="A415" s="9">
        <v>411</v>
      </c>
      <c r="B415" s="9" t="s">
        <v>1323</v>
      </c>
      <c r="C415" s="9" t="s">
        <v>1048</v>
      </c>
      <c r="D415" s="10" t="s">
        <v>1324</v>
      </c>
      <c r="E415" s="9" t="s">
        <v>325</v>
      </c>
      <c r="F415" s="9" t="s">
        <v>1067</v>
      </c>
      <c r="G415" s="10" t="s">
        <v>1325</v>
      </c>
      <c r="H415" s="9" t="s">
        <v>115</v>
      </c>
      <c r="I415" s="11">
        <v>14.036728</v>
      </c>
      <c r="J415" s="11">
        <v>108.01431100000001</v>
      </c>
      <c r="K415" s="9" t="s">
        <v>329</v>
      </c>
      <c r="L415" s="10"/>
      <c r="M415" s="12" t="s">
        <v>51</v>
      </c>
      <c r="N415" s="13" t="s">
        <v>52</v>
      </c>
      <c r="O415" s="14"/>
      <c r="P415" s="14"/>
      <c r="Q415" s="13" t="s">
        <v>53</v>
      </c>
      <c r="R415" s="15" t="s">
        <v>54</v>
      </c>
      <c r="S415" s="13" t="s">
        <v>55</v>
      </c>
      <c r="T415" s="13" t="s">
        <v>1326</v>
      </c>
      <c r="U415" s="16" t="str">
        <f t="shared" si="12"/>
        <v/>
      </c>
      <c r="V415" s="17" t="str">
        <f t="shared" si="13"/>
        <v>OK</v>
      </c>
    </row>
    <row r="416" spans="1:22" ht="38.25" x14ac:dyDescent="0.25">
      <c r="A416" s="9">
        <v>412</v>
      </c>
      <c r="B416" s="9" t="s">
        <v>1327</v>
      </c>
      <c r="C416" s="9" t="s">
        <v>1048</v>
      </c>
      <c r="D416" s="10" t="s">
        <v>1328</v>
      </c>
      <c r="E416" s="9" t="s">
        <v>325</v>
      </c>
      <c r="F416" s="9" t="s">
        <v>1050</v>
      </c>
      <c r="G416" s="10" t="s">
        <v>1329</v>
      </c>
      <c r="H416" s="9" t="s">
        <v>514</v>
      </c>
      <c r="I416" s="11">
        <v>13.858530999999999</v>
      </c>
      <c r="J416" s="11">
        <v>107.942108</v>
      </c>
      <c r="K416" s="9" t="s">
        <v>329</v>
      </c>
      <c r="L416" s="10"/>
      <c r="M416" s="12" t="s">
        <v>51</v>
      </c>
      <c r="N416" s="13" t="s">
        <v>52</v>
      </c>
      <c r="O416" s="14"/>
      <c r="P416" s="14"/>
      <c r="Q416" s="13" t="s">
        <v>53</v>
      </c>
      <c r="R416" s="15" t="s">
        <v>54</v>
      </c>
      <c r="S416" s="13" t="s">
        <v>55</v>
      </c>
      <c r="T416" s="13" t="s">
        <v>1330</v>
      </c>
      <c r="U416" s="16" t="str">
        <f t="shared" si="12"/>
        <v/>
      </c>
      <c r="V416" s="17" t="str">
        <f t="shared" si="13"/>
        <v>OK</v>
      </c>
    </row>
    <row r="417" spans="1:22" ht="38.25" x14ac:dyDescent="0.25">
      <c r="A417" s="9">
        <v>413</v>
      </c>
      <c r="B417" s="9" t="s">
        <v>1331</v>
      </c>
      <c r="C417" s="9" t="s">
        <v>1048</v>
      </c>
      <c r="D417" s="10" t="s">
        <v>1332</v>
      </c>
      <c r="E417" s="9" t="s">
        <v>325</v>
      </c>
      <c r="F417" s="9" t="s">
        <v>1050</v>
      </c>
      <c r="G417" s="10" t="s">
        <v>1333</v>
      </c>
      <c r="H417" s="9" t="s">
        <v>120</v>
      </c>
      <c r="I417" s="11">
        <v>13.755952000000001</v>
      </c>
      <c r="J417" s="11">
        <v>107.890508</v>
      </c>
      <c r="K417" s="9" t="s">
        <v>329</v>
      </c>
      <c r="L417" s="10"/>
      <c r="M417" s="12" t="s">
        <v>51</v>
      </c>
      <c r="N417" s="13" t="s">
        <v>52</v>
      </c>
      <c r="O417" s="14"/>
      <c r="P417" s="14"/>
      <c r="Q417" s="13" t="s">
        <v>53</v>
      </c>
      <c r="R417" s="15" t="s">
        <v>54</v>
      </c>
      <c r="S417" s="13" t="s">
        <v>55</v>
      </c>
      <c r="T417" s="13" t="s">
        <v>1334</v>
      </c>
      <c r="U417" s="16" t="str">
        <f t="shared" si="12"/>
        <v/>
      </c>
      <c r="V417" s="17" t="str">
        <f t="shared" si="13"/>
        <v>OK</v>
      </c>
    </row>
    <row r="418" spans="1:22" ht="38.25" x14ac:dyDescent="0.25">
      <c r="A418" s="9">
        <v>414</v>
      </c>
      <c r="B418" s="9" t="s">
        <v>1335</v>
      </c>
      <c r="C418" s="9" t="s">
        <v>1048</v>
      </c>
      <c r="D418" s="10" t="s">
        <v>1332</v>
      </c>
      <c r="E418" s="9" t="s">
        <v>325</v>
      </c>
      <c r="F418" s="9" t="s">
        <v>1050</v>
      </c>
      <c r="G418" s="10" t="s">
        <v>1333</v>
      </c>
      <c r="H418" s="9" t="s">
        <v>120</v>
      </c>
      <c r="I418" s="11">
        <v>13.755952000000001</v>
      </c>
      <c r="J418" s="11">
        <v>107.890508</v>
      </c>
      <c r="K418" s="9" t="s">
        <v>329</v>
      </c>
      <c r="L418" s="10"/>
      <c r="M418" s="12" t="s">
        <v>51</v>
      </c>
      <c r="N418" s="13" t="s">
        <v>52</v>
      </c>
      <c r="O418" s="14"/>
      <c r="P418" s="14"/>
      <c r="Q418" s="13" t="s">
        <v>53</v>
      </c>
      <c r="R418" s="15" t="s">
        <v>54</v>
      </c>
      <c r="S418" s="13" t="s">
        <v>55</v>
      </c>
      <c r="T418" s="13" t="s">
        <v>1334</v>
      </c>
      <c r="U418" s="16" t="str">
        <f t="shared" si="12"/>
        <v/>
      </c>
      <c r="V418" s="17" t="str">
        <f t="shared" si="13"/>
        <v>OK</v>
      </c>
    </row>
    <row r="419" spans="1:22" ht="25.5" x14ac:dyDescent="0.25">
      <c r="A419" s="9">
        <v>415</v>
      </c>
      <c r="B419" s="9" t="s">
        <v>1336</v>
      </c>
      <c r="C419" s="9" t="s">
        <v>1048</v>
      </c>
      <c r="D419" s="10" t="s">
        <v>1337</v>
      </c>
      <c r="E419" s="9" t="s">
        <v>325</v>
      </c>
      <c r="F419" s="9" t="s">
        <v>1067</v>
      </c>
      <c r="G419" s="10" t="s">
        <v>1338</v>
      </c>
      <c r="H419" s="9" t="s">
        <v>120</v>
      </c>
      <c r="I419" s="11">
        <v>13.746779999999999</v>
      </c>
      <c r="J419" s="11">
        <v>107.85749800000001</v>
      </c>
      <c r="K419" s="9" t="s">
        <v>329</v>
      </c>
      <c r="L419" s="10"/>
      <c r="M419" s="12" t="s">
        <v>51</v>
      </c>
      <c r="N419" s="13" t="s">
        <v>52</v>
      </c>
      <c r="O419" s="14"/>
      <c r="P419" s="14"/>
      <c r="Q419" s="13" t="s">
        <v>53</v>
      </c>
      <c r="R419" s="15" t="s">
        <v>54</v>
      </c>
      <c r="S419" s="13" t="s">
        <v>55</v>
      </c>
      <c r="T419" s="13" t="s">
        <v>1339</v>
      </c>
      <c r="U419" s="16" t="str">
        <f t="shared" si="12"/>
        <v/>
      </c>
      <c r="V419" s="17" t="str">
        <f t="shared" si="13"/>
        <v>OK</v>
      </c>
    </row>
    <row r="420" spans="1:22" ht="25.5" x14ac:dyDescent="0.25">
      <c r="A420" s="9">
        <v>416</v>
      </c>
      <c r="B420" s="9" t="s">
        <v>1340</v>
      </c>
      <c r="C420" s="9" t="s">
        <v>1048</v>
      </c>
      <c r="D420" s="10" t="s">
        <v>1341</v>
      </c>
      <c r="E420" s="9" t="s">
        <v>325</v>
      </c>
      <c r="F420" s="9" t="s">
        <v>1067</v>
      </c>
      <c r="G420" s="10" t="s">
        <v>1342</v>
      </c>
      <c r="H420" s="9" t="s">
        <v>120</v>
      </c>
      <c r="I420" s="11">
        <v>13.754051</v>
      </c>
      <c r="J420" s="11">
        <v>107.877483</v>
      </c>
      <c r="K420" s="9" t="s">
        <v>329</v>
      </c>
      <c r="L420" s="10"/>
      <c r="M420" s="12" t="s">
        <v>51</v>
      </c>
      <c r="N420" s="13" t="s">
        <v>52</v>
      </c>
      <c r="O420" s="14"/>
      <c r="P420" s="14"/>
      <c r="Q420" s="13" t="s">
        <v>53</v>
      </c>
      <c r="R420" s="15" t="s">
        <v>54</v>
      </c>
      <c r="S420" s="13" t="s">
        <v>55</v>
      </c>
      <c r="T420" s="13" t="s">
        <v>1343</v>
      </c>
      <c r="U420" s="16" t="str">
        <f t="shared" si="12"/>
        <v/>
      </c>
      <c r="V420" s="17" t="str">
        <f t="shared" si="13"/>
        <v>OK</v>
      </c>
    </row>
    <row r="421" spans="1:22" ht="25.5" x14ac:dyDescent="0.25">
      <c r="A421" s="9">
        <v>417</v>
      </c>
      <c r="B421" s="9" t="s">
        <v>1344</v>
      </c>
      <c r="C421" s="9" t="s">
        <v>1048</v>
      </c>
      <c r="D421" s="10" t="s">
        <v>1345</v>
      </c>
      <c r="E421" s="9" t="s">
        <v>325</v>
      </c>
      <c r="F421" s="9" t="s">
        <v>1067</v>
      </c>
      <c r="G421" s="10" t="s">
        <v>1346</v>
      </c>
      <c r="H421" s="9" t="s">
        <v>120</v>
      </c>
      <c r="I421" s="11">
        <v>13.754051</v>
      </c>
      <c r="J421" s="11">
        <v>107.877483</v>
      </c>
      <c r="K421" s="9" t="s">
        <v>329</v>
      </c>
      <c r="L421" s="10"/>
      <c r="M421" s="12" t="s">
        <v>51</v>
      </c>
      <c r="N421" s="13" t="s">
        <v>52</v>
      </c>
      <c r="O421" s="14"/>
      <c r="P421" s="14"/>
      <c r="Q421" s="13" t="s">
        <v>53</v>
      </c>
      <c r="R421" s="15" t="s">
        <v>54</v>
      </c>
      <c r="S421" s="13" t="s">
        <v>55</v>
      </c>
      <c r="T421" s="13" t="s">
        <v>1347</v>
      </c>
      <c r="U421" s="16" t="str">
        <f t="shared" si="12"/>
        <v/>
      </c>
      <c r="V421" s="17" t="str">
        <f t="shared" si="13"/>
        <v>OK</v>
      </c>
    </row>
    <row r="422" spans="1:22" ht="38.25" x14ac:dyDescent="0.25">
      <c r="A422" s="9">
        <v>418</v>
      </c>
      <c r="B422" s="9" t="s">
        <v>1348</v>
      </c>
      <c r="C422" s="9" t="s">
        <v>1048</v>
      </c>
      <c r="D422" s="10" t="s">
        <v>1349</v>
      </c>
      <c r="E422" s="9" t="s">
        <v>325</v>
      </c>
      <c r="F422" s="9" t="s">
        <v>1050</v>
      </c>
      <c r="G422" s="10" t="s">
        <v>1350</v>
      </c>
      <c r="H422" s="9" t="s">
        <v>548</v>
      </c>
      <c r="I422" s="11">
        <v>14.101558000000001</v>
      </c>
      <c r="J422" s="11">
        <v>107.96960799999999</v>
      </c>
      <c r="K422" s="9" t="s">
        <v>329</v>
      </c>
      <c r="L422" s="10"/>
      <c r="M422" s="12" t="s">
        <v>51</v>
      </c>
      <c r="N422" s="13" t="s">
        <v>52</v>
      </c>
      <c r="O422" s="14"/>
      <c r="P422" s="14"/>
      <c r="Q422" s="13" t="s">
        <v>53</v>
      </c>
      <c r="R422" s="15" t="s">
        <v>54</v>
      </c>
      <c r="S422" s="13" t="s">
        <v>55</v>
      </c>
      <c r="T422" s="13" t="s">
        <v>1351</v>
      </c>
      <c r="U422" s="16" t="str">
        <f t="shared" si="12"/>
        <v/>
      </c>
      <c r="V422" s="17" t="str">
        <f t="shared" si="13"/>
        <v>OK</v>
      </c>
    </row>
    <row r="423" spans="1:22" ht="38.25" x14ac:dyDescent="0.25">
      <c r="A423" s="9">
        <v>419</v>
      </c>
      <c r="B423" s="9" t="s">
        <v>1352</v>
      </c>
      <c r="C423" s="9" t="s">
        <v>1048</v>
      </c>
      <c r="D423" s="10" t="s">
        <v>1349</v>
      </c>
      <c r="E423" s="9" t="s">
        <v>325</v>
      </c>
      <c r="F423" s="9" t="s">
        <v>1050</v>
      </c>
      <c r="G423" s="10" t="s">
        <v>1350</v>
      </c>
      <c r="H423" s="9" t="s">
        <v>548</v>
      </c>
      <c r="I423" s="11">
        <v>14.101558000000001</v>
      </c>
      <c r="J423" s="11">
        <v>107.96960799999999</v>
      </c>
      <c r="K423" s="9" t="s">
        <v>329</v>
      </c>
      <c r="L423" s="10"/>
      <c r="M423" s="12" t="s">
        <v>51</v>
      </c>
      <c r="N423" s="13" t="s">
        <v>52</v>
      </c>
      <c r="O423" s="14"/>
      <c r="P423" s="14"/>
      <c r="Q423" s="13" t="s">
        <v>53</v>
      </c>
      <c r="R423" s="15" t="s">
        <v>54</v>
      </c>
      <c r="S423" s="13" t="s">
        <v>55</v>
      </c>
      <c r="T423" s="13" t="s">
        <v>1351</v>
      </c>
      <c r="U423" s="16" t="str">
        <f t="shared" si="12"/>
        <v/>
      </c>
      <c r="V423" s="17" t="str">
        <f t="shared" si="13"/>
        <v>OK</v>
      </c>
    </row>
    <row r="424" spans="1:22" ht="25.5" x14ac:dyDescent="0.25">
      <c r="A424" s="9">
        <v>420</v>
      </c>
      <c r="B424" s="9" t="s">
        <v>1353</v>
      </c>
      <c r="C424" s="9" t="s">
        <v>1048</v>
      </c>
      <c r="D424" s="10" t="s">
        <v>1354</v>
      </c>
      <c r="E424" s="9" t="s">
        <v>325</v>
      </c>
      <c r="F424" s="9" t="s">
        <v>1050</v>
      </c>
      <c r="G424" s="10" t="s">
        <v>1355</v>
      </c>
      <c r="H424" s="9" t="s">
        <v>558</v>
      </c>
      <c r="I424" s="11">
        <v>13.547330000000001</v>
      </c>
      <c r="J424" s="11">
        <v>108.099672</v>
      </c>
      <c r="K424" s="9" t="s">
        <v>329</v>
      </c>
      <c r="L424" s="10"/>
      <c r="M424" s="12" t="s">
        <v>51</v>
      </c>
      <c r="N424" s="13" t="s">
        <v>52</v>
      </c>
      <c r="O424" s="14"/>
      <c r="P424" s="14"/>
      <c r="Q424" s="13" t="s">
        <v>53</v>
      </c>
      <c r="R424" s="15" t="s">
        <v>54</v>
      </c>
      <c r="S424" s="13" t="s">
        <v>55</v>
      </c>
      <c r="T424" s="13" t="s">
        <v>1356</v>
      </c>
      <c r="U424" s="16" t="str">
        <f t="shared" si="12"/>
        <v/>
      </c>
      <c r="V424" s="17" t="str">
        <f t="shared" si="13"/>
        <v>OK</v>
      </c>
    </row>
    <row r="425" spans="1:22" ht="25.5" x14ac:dyDescent="0.25">
      <c r="A425" s="9">
        <v>421</v>
      </c>
      <c r="B425" s="9" t="s">
        <v>1357</v>
      </c>
      <c r="C425" s="9" t="s">
        <v>1048</v>
      </c>
      <c r="D425" s="10" t="s">
        <v>1354</v>
      </c>
      <c r="E425" s="9" t="s">
        <v>325</v>
      </c>
      <c r="F425" s="9" t="s">
        <v>1050</v>
      </c>
      <c r="G425" s="10" t="s">
        <v>1355</v>
      </c>
      <c r="H425" s="9" t="s">
        <v>558</v>
      </c>
      <c r="I425" s="11">
        <v>13.547330000000001</v>
      </c>
      <c r="J425" s="11">
        <v>108.099672</v>
      </c>
      <c r="K425" s="9" t="s">
        <v>329</v>
      </c>
      <c r="L425" s="10"/>
      <c r="M425" s="12" t="s">
        <v>51</v>
      </c>
      <c r="N425" s="13" t="s">
        <v>52</v>
      </c>
      <c r="O425" s="14"/>
      <c r="P425" s="14"/>
      <c r="Q425" s="13" t="s">
        <v>53</v>
      </c>
      <c r="R425" s="15" t="s">
        <v>54</v>
      </c>
      <c r="S425" s="13" t="s">
        <v>55</v>
      </c>
      <c r="T425" s="13" t="s">
        <v>1356</v>
      </c>
      <c r="U425" s="16" t="str">
        <f t="shared" si="12"/>
        <v/>
      </c>
      <c r="V425" s="17" t="str">
        <f t="shared" si="13"/>
        <v>OK</v>
      </c>
    </row>
    <row r="426" spans="1:22" ht="25.5" x14ac:dyDescent="0.25">
      <c r="A426" s="9">
        <v>422</v>
      </c>
      <c r="B426" s="9" t="s">
        <v>1358</v>
      </c>
      <c r="C426" s="9" t="s">
        <v>1048</v>
      </c>
      <c r="D426" s="10" t="s">
        <v>1359</v>
      </c>
      <c r="E426" s="9" t="s">
        <v>325</v>
      </c>
      <c r="F426" s="9" t="s">
        <v>1050</v>
      </c>
      <c r="G426" s="10" t="s">
        <v>1360</v>
      </c>
      <c r="H426" s="9" t="s">
        <v>157</v>
      </c>
      <c r="I426" s="11">
        <v>13.696548</v>
      </c>
      <c r="J426" s="11">
        <v>108.075525</v>
      </c>
      <c r="K426" s="9" t="s">
        <v>329</v>
      </c>
      <c r="L426" s="10"/>
      <c r="M426" s="12" t="s">
        <v>51</v>
      </c>
      <c r="N426" s="13" t="s">
        <v>52</v>
      </c>
      <c r="O426" s="14"/>
      <c r="P426" s="14"/>
      <c r="Q426" s="13" t="s">
        <v>53</v>
      </c>
      <c r="R426" s="15" t="s">
        <v>54</v>
      </c>
      <c r="S426" s="13" t="s">
        <v>55</v>
      </c>
      <c r="T426" s="13" t="s">
        <v>1361</v>
      </c>
      <c r="U426" s="16" t="str">
        <f t="shared" si="12"/>
        <v/>
      </c>
      <c r="V426" s="17" t="str">
        <f t="shared" si="13"/>
        <v>OK</v>
      </c>
    </row>
    <row r="427" spans="1:22" ht="25.5" x14ac:dyDescent="0.25">
      <c r="A427" s="9">
        <v>423</v>
      </c>
      <c r="B427" s="9" t="s">
        <v>1362</v>
      </c>
      <c r="C427" s="9" t="s">
        <v>1048</v>
      </c>
      <c r="D427" s="10" t="s">
        <v>1359</v>
      </c>
      <c r="E427" s="9" t="s">
        <v>325</v>
      </c>
      <c r="F427" s="9" t="s">
        <v>1050</v>
      </c>
      <c r="G427" s="10" t="s">
        <v>1360</v>
      </c>
      <c r="H427" s="9" t="s">
        <v>157</v>
      </c>
      <c r="I427" s="11">
        <v>13.696548</v>
      </c>
      <c r="J427" s="11">
        <v>108.075525</v>
      </c>
      <c r="K427" s="9" t="s">
        <v>329</v>
      </c>
      <c r="L427" s="10"/>
      <c r="M427" s="12" t="s">
        <v>51</v>
      </c>
      <c r="N427" s="13" t="s">
        <v>52</v>
      </c>
      <c r="O427" s="14"/>
      <c r="P427" s="14"/>
      <c r="Q427" s="13" t="s">
        <v>53</v>
      </c>
      <c r="R427" s="15" t="s">
        <v>54</v>
      </c>
      <c r="S427" s="13" t="s">
        <v>55</v>
      </c>
      <c r="T427" s="13" t="s">
        <v>1361</v>
      </c>
      <c r="U427" s="16" t="str">
        <f t="shared" si="12"/>
        <v/>
      </c>
      <c r="V427" s="17" t="str">
        <f t="shared" si="13"/>
        <v>OK</v>
      </c>
    </row>
    <row r="428" spans="1:22" ht="25.5" x14ac:dyDescent="0.25">
      <c r="A428" s="9">
        <v>424</v>
      </c>
      <c r="B428" s="9" t="s">
        <v>1363</v>
      </c>
      <c r="C428" s="9" t="s">
        <v>1048</v>
      </c>
      <c r="D428" s="10" t="s">
        <v>1364</v>
      </c>
      <c r="E428" s="9" t="s">
        <v>325</v>
      </c>
      <c r="F428" s="9" t="s">
        <v>1067</v>
      </c>
      <c r="G428" s="10" t="s">
        <v>1365</v>
      </c>
      <c r="H428" s="9" t="s">
        <v>157</v>
      </c>
      <c r="I428" s="11">
        <v>13.690877</v>
      </c>
      <c r="J428" s="11">
        <v>108.07846600000001</v>
      </c>
      <c r="K428" s="9" t="s">
        <v>329</v>
      </c>
      <c r="L428" s="10"/>
      <c r="M428" s="12" t="s">
        <v>51</v>
      </c>
      <c r="N428" s="13" t="s">
        <v>52</v>
      </c>
      <c r="O428" s="14"/>
      <c r="P428" s="14"/>
      <c r="Q428" s="13" t="s">
        <v>53</v>
      </c>
      <c r="R428" s="15" t="s">
        <v>54</v>
      </c>
      <c r="S428" s="13" t="s">
        <v>55</v>
      </c>
      <c r="T428" s="13" t="s">
        <v>1366</v>
      </c>
      <c r="U428" s="16" t="str">
        <f t="shared" si="12"/>
        <v/>
      </c>
      <c r="V428" s="17" t="str">
        <f t="shared" si="13"/>
        <v>OK</v>
      </c>
    </row>
    <row r="429" spans="1:22" ht="25.5" x14ac:dyDescent="0.25">
      <c r="A429" s="9">
        <v>425</v>
      </c>
      <c r="B429" s="9" t="s">
        <v>1367</v>
      </c>
      <c r="C429" s="9" t="s">
        <v>1048</v>
      </c>
      <c r="D429" s="10" t="s">
        <v>1368</v>
      </c>
      <c r="E429" s="9" t="s">
        <v>325</v>
      </c>
      <c r="F429" s="9" t="s">
        <v>1067</v>
      </c>
      <c r="G429" s="10" t="s">
        <v>1369</v>
      </c>
      <c r="H429" s="9" t="s">
        <v>157</v>
      </c>
      <c r="I429" s="11">
        <v>13.695861000000001</v>
      </c>
      <c r="J429" s="11">
        <v>108.076064</v>
      </c>
      <c r="K429" s="9" t="s">
        <v>329</v>
      </c>
      <c r="L429" s="10"/>
      <c r="M429" s="12" t="s">
        <v>51</v>
      </c>
      <c r="N429" s="13" t="s">
        <v>52</v>
      </c>
      <c r="O429" s="14"/>
      <c r="P429" s="14"/>
      <c r="Q429" s="13" t="s">
        <v>53</v>
      </c>
      <c r="R429" s="15" t="s">
        <v>54</v>
      </c>
      <c r="S429" s="13" t="s">
        <v>55</v>
      </c>
      <c r="T429" s="13" t="s">
        <v>1370</v>
      </c>
      <c r="U429" s="16" t="str">
        <f t="shared" si="12"/>
        <v/>
      </c>
      <c r="V429" s="17" t="str">
        <f t="shared" si="13"/>
        <v>OK</v>
      </c>
    </row>
    <row r="430" spans="1:22" ht="38.25" x14ac:dyDescent="0.25">
      <c r="A430" s="9">
        <v>426</v>
      </c>
      <c r="B430" s="9" t="s">
        <v>1371</v>
      </c>
      <c r="C430" s="9" t="s">
        <v>1048</v>
      </c>
      <c r="D430" s="10" t="s">
        <v>1372</v>
      </c>
      <c r="E430" s="9" t="s">
        <v>325</v>
      </c>
      <c r="F430" s="9" t="s">
        <v>1058</v>
      </c>
      <c r="G430" s="10" t="s">
        <v>1373</v>
      </c>
      <c r="H430" s="9" t="s">
        <v>157</v>
      </c>
      <c r="I430" s="11">
        <v>13.693591</v>
      </c>
      <c r="J430" s="11">
        <v>108.07725000000001</v>
      </c>
      <c r="K430" s="9" t="s">
        <v>329</v>
      </c>
      <c r="L430" s="10"/>
      <c r="M430" s="12" t="s">
        <v>51</v>
      </c>
      <c r="N430" s="13" t="s">
        <v>52</v>
      </c>
      <c r="O430" s="14"/>
      <c r="P430" s="14"/>
      <c r="Q430" s="13" t="s">
        <v>53</v>
      </c>
      <c r="R430" s="15" t="s">
        <v>54</v>
      </c>
      <c r="S430" s="13" t="s">
        <v>55</v>
      </c>
      <c r="T430" s="13" t="s">
        <v>1374</v>
      </c>
      <c r="U430" s="16" t="str">
        <f t="shared" si="12"/>
        <v/>
      </c>
      <c r="V430" s="17" t="str">
        <f t="shared" si="13"/>
        <v>OK</v>
      </c>
    </row>
    <row r="431" spans="1:22" ht="25.5" x14ac:dyDescent="0.25">
      <c r="A431" s="9">
        <v>427</v>
      </c>
      <c r="B431" s="9" t="s">
        <v>1375</v>
      </c>
      <c r="C431" s="9" t="s">
        <v>1048</v>
      </c>
      <c r="D431" s="10" t="s">
        <v>1376</v>
      </c>
      <c r="E431" s="9" t="s">
        <v>325</v>
      </c>
      <c r="F431" s="9" t="s">
        <v>1067</v>
      </c>
      <c r="G431" s="10" t="s">
        <v>1377</v>
      </c>
      <c r="H431" s="9" t="s">
        <v>157</v>
      </c>
      <c r="I431" s="11">
        <v>13.695861000000001</v>
      </c>
      <c r="J431" s="11">
        <v>108.076064</v>
      </c>
      <c r="K431" s="9" t="s">
        <v>329</v>
      </c>
      <c r="L431" s="10"/>
      <c r="M431" s="12" t="s">
        <v>51</v>
      </c>
      <c r="N431" s="13" t="s">
        <v>52</v>
      </c>
      <c r="O431" s="14"/>
      <c r="P431" s="14"/>
      <c r="Q431" s="13" t="s">
        <v>53</v>
      </c>
      <c r="R431" s="15" t="s">
        <v>54</v>
      </c>
      <c r="S431" s="13" t="s">
        <v>55</v>
      </c>
      <c r="T431" s="13" t="s">
        <v>1378</v>
      </c>
      <c r="U431" s="16" t="str">
        <f t="shared" si="12"/>
        <v/>
      </c>
      <c r="V431" s="17" t="str">
        <f t="shared" si="13"/>
        <v>OK</v>
      </c>
    </row>
    <row r="432" spans="1:22" ht="25.5" x14ac:dyDescent="0.25">
      <c r="A432" s="9">
        <v>428</v>
      </c>
      <c r="B432" s="9" t="s">
        <v>1379</v>
      </c>
      <c r="C432" s="9" t="s">
        <v>1048</v>
      </c>
      <c r="D432" s="10" t="s">
        <v>1380</v>
      </c>
      <c r="E432" s="9" t="s">
        <v>325</v>
      </c>
      <c r="F432" s="9" t="s">
        <v>1050</v>
      </c>
      <c r="G432" s="10" t="s">
        <v>1381</v>
      </c>
      <c r="H432" s="9" t="s">
        <v>591</v>
      </c>
      <c r="I432" s="11">
        <v>13.94467</v>
      </c>
      <c r="J432" s="11">
        <v>109.234864</v>
      </c>
      <c r="K432" s="9" t="s">
        <v>329</v>
      </c>
      <c r="L432" s="10"/>
      <c r="M432" s="12" t="s">
        <v>51</v>
      </c>
      <c r="N432" s="13" t="s">
        <v>69</v>
      </c>
      <c r="O432" s="14"/>
      <c r="P432" s="14"/>
      <c r="Q432" s="13" t="s">
        <v>70</v>
      </c>
      <c r="R432" s="15" t="s">
        <v>54</v>
      </c>
      <c r="S432" s="13" t="s">
        <v>55</v>
      </c>
      <c r="T432" s="13" t="s">
        <v>343</v>
      </c>
      <c r="U432" s="16" t="str">
        <f t="shared" si="12"/>
        <v/>
      </c>
      <c r="V432" s="17" t="str">
        <f t="shared" si="13"/>
        <v>OK</v>
      </c>
    </row>
    <row r="433" spans="1:22" ht="25.5" x14ac:dyDescent="0.25">
      <c r="A433" s="9">
        <v>429</v>
      </c>
      <c r="B433" s="9" t="s">
        <v>1382</v>
      </c>
      <c r="C433" s="9" t="s">
        <v>1048</v>
      </c>
      <c r="D433" s="10" t="s">
        <v>1383</v>
      </c>
      <c r="E433" s="9" t="s">
        <v>325</v>
      </c>
      <c r="F433" s="9" t="s">
        <v>1058</v>
      </c>
      <c r="G433" s="10" t="s">
        <v>1384</v>
      </c>
      <c r="H433" s="9" t="s">
        <v>1385</v>
      </c>
      <c r="I433" s="11">
        <v>14.029875000000001</v>
      </c>
      <c r="J433" s="11">
        <v>109.053099</v>
      </c>
      <c r="K433" s="9" t="s">
        <v>329</v>
      </c>
      <c r="L433" s="10"/>
      <c r="M433" s="12" t="s">
        <v>51</v>
      </c>
      <c r="N433" s="13" t="s">
        <v>69</v>
      </c>
      <c r="O433" s="14"/>
      <c r="P433" s="14"/>
      <c r="Q433" s="13" t="s">
        <v>70</v>
      </c>
      <c r="R433" s="15" t="s">
        <v>54</v>
      </c>
      <c r="S433" s="13" t="s">
        <v>55</v>
      </c>
      <c r="T433" s="13" t="s">
        <v>1386</v>
      </c>
      <c r="U433" s="16" t="str">
        <f t="shared" si="12"/>
        <v/>
      </c>
      <c r="V433" s="17" t="str">
        <f t="shared" si="13"/>
        <v>OK</v>
      </c>
    </row>
    <row r="434" spans="1:22" ht="25.5" x14ac:dyDescent="0.25">
      <c r="A434" s="9">
        <v>430</v>
      </c>
      <c r="B434" s="9" t="s">
        <v>1387</v>
      </c>
      <c r="C434" s="9" t="s">
        <v>1048</v>
      </c>
      <c r="D434" s="10" t="s">
        <v>1388</v>
      </c>
      <c r="E434" s="9" t="s">
        <v>325</v>
      </c>
      <c r="F434" s="9" t="s">
        <v>1058</v>
      </c>
      <c r="G434" s="10" t="s">
        <v>1389</v>
      </c>
      <c r="H434" s="9" t="s">
        <v>1390</v>
      </c>
      <c r="I434" s="11">
        <v>13.877122999999999</v>
      </c>
      <c r="J434" s="11">
        <v>108.031783</v>
      </c>
      <c r="K434" s="9" t="s">
        <v>329</v>
      </c>
      <c r="L434" s="10"/>
      <c r="M434" s="12" t="s">
        <v>51</v>
      </c>
      <c r="N434" s="13" t="s">
        <v>52</v>
      </c>
      <c r="O434" s="14"/>
      <c r="P434" s="14"/>
      <c r="Q434" s="13" t="s">
        <v>53</v>
      </c>
      <c r="R434" s="15" t="s">
        <v>54</v>
      </c>
      <c r="S434" s="13" t="s">
        <v>55</v>
      </c>
      <c r="T434" s="13" t="s">
        <v>1391</v>
      </c>
      <c r="U434" s="16" t="str">
        <f t="shared" si="12"/>
        <v/>
      </c>
      <c r="V434" s="17" t="str">
        <f t="shared" si="13"/>
        <v>OK</v>
      </c>
    </row>
    <row r="435" spans="1:22" ht="25.5" x14ac:dyDescent="0.25">
      <c r="A435" s="9">
        <v>431</v>
      </c>
      <c r="B435" s="9" t="s">
        <v>1392</v>
      </c>
      <c r="C435" s="9" t="s">
        <v>1048</v>
      </c>
      <c r="D435" s="10" t="s">
        <v>1393</v>
      </c>
      <c r="E435" s="9" t="s">
        <v>325</v>
      </c>
      <c r="F435" s="9" t="s">
        <v>1050</v>
      </c>
      <c r="G435" s="10" t="s">
        <v>1394</v>
      </c>
      <c r="H435" s="9" t="s">
        <v>621</v>
      </c>
      <c r="I435" s="11">
        <v>13.962130999999999</v>
      </c>
      <c r="J435" s="11">
        <v>107.84585</v>
      </c>
      <c r="K435" s="9" t="s">
        <v>329</v>
      </c>
      <c r="L435" s="10"/>
      <c r="M435" s="12" t="s">
        <v>51</v>
      </c>
      <c r="N435" s="13" t="s">
        <v>52</v>
      </c>
      <c r="O435" s="14"/>
      <c r="P435" s="14"/>
      <c r="Q435" s="13" t="s">
        <v>53</v>
      </c>
      <c r="R435" s="15" t="s">
        <v>54</v>
      </c>
      <c r="S435" s="13" t="s">
        <v>55</v>
      </c>
      <c r="T435" s="13" t="s">
        <v>1395</v>
      </c>
      <c r="U435" s="16" t="str">
        <f t="shared" si="12"/>
        <v/>
      </c>
      <c r="V435" s="17" t="str">
        <f t="shared" si="13"/>
        <v>OK</v>
      </c>
    </row>
    <row r="436" spans="1:22" ht="25.5" x14ac:dyDescent="0.25">
      <c r="A436" s="9">
        <v>432</v>
      </c>
      <c r="B436" s="9" t="s">
        <v>1396</v>
      </c>
      <c r="C436" s="9" t="s">
        <v>1048</v>
      </c>
      <c r="D436" s="10" t="s">
        <v>1393</v>
      </c>
      <c r="E436" s="9" t="s">
        <v>325</v>
      </c>
      <c r="F436" s="9" t="s">
        <v>1050</v>
      </c>
      <c r="G436" s="10" t="s">
        <v>1394</v>
      </c>
      <c r="H436" s="9" t="s">
        <v>621</v>
      </c>
      <c r="I436" s="11">
        <v>13.962130999999999</v>
      </c>
      <c r="J436" s="11">
        <v>107.84585</v>
      </c>
      <c r="K436" s="9" t="s">
        <v>329</v>
      </c>
      <c r="L436" s="10"/>
      <c r="M436" s="12" t="s">
        <v>51</v>
      </c>
      <c r="N436" s="13" t="s">
        <v>52</v>
      </c>
      <c r="O436" s="14"/>
      <c r="P436" s="14"/>
      <c r="Q436" s="13" t="s">
        <v>53</v>
      </c>
      <c r="R436" s="15" t="s">
        <v>54</v>
      </c>
      <c r="S436" s="13" t="s">
        <v>55</v>
      </c>
      <c r="T436" s="13" t="s">
        <v>1395</v>
      </c>
      <c r="U436" s="16" t="str">
        <f t="shared" si="12"/>
        <v/>
      </c>
      <c r="V436" s="17" t="str">
        <f t="shared" si="13"/>
        <v>OK</v>
      </c>
    </row>
    <row r="437" spans="1:22" ht="25.5" x14ac:dyDescent="0.25">
      <c r="A437" s="9">
        <v>433</v>
      </c>
      <c r="B437" s="9" t="s">
        <v>1397</v>
      </c>
      <c r="C437" s="9" t="s">
        <v>1048</v>
      </c>
      <c r="D437" s="10" t="s">
        <v>1393</v>
      </c>
      <c r="E437" s="9" t="s">
        <v>325</v>
      </c>
      <c r="F437" s="9" t="s">
        <v>1050</v>
      </c>
      <c r="G437" s="10" t="s">
        <v>1394</v>
      </c>
      <c r="H437" s="9" t="s">
        <v>621</v>
      </c>
      <c r="I437" s="11">
        <v>13.962130999999999</v>
      </c>
      <c r="J437" s="11">
        <v>107.84585</v>
      </c>
      <c r="K437" s="9" t="s">
        <v>329</v>
      </c>
      <c r="L437" s="10"/>
      <c r="M437" s="12" t="s">
        <v>51</v>
      </c>
      <c r="N437" s="13" t="s">
        <v>52</v>
      </c>
      <c r="O437" s="14"/>
      <c r="P437" s="14"/>
      <c r="Q437" s="13" t="s">
        <v>53</v>
      </c>
      <c r="R437" s="15" t="s">
        <v>54</v>
      </c>
      <c r="S437" s="13" t="s">
        <v>55</v>
      </c>
      <c r="T437" s="13" t="s">
        <v>1395</v>
      </c>
      <c r="U437" s="16" t="str">
        <f t="shared" si="12"/>
        <v/>
      </c>
      <c r="V437" s="17" t="str">
        <f t="shared" si="13"/>
        <v>OK</v>
      </c>
    </row>
    <row r="438" spans="1:22" ht="25.5" x14ac:dyDescent="0.25">
      <c r="A438" s="9">
        <v>434</v>
      </c>
      <c r="B438" s="9" t="s">
        <v>1398</v>
      </c>
      <c r="C438" s="9" t="s">
        <v>1048</v>
      </c>
      <c r="D438" s="10" t="s">
        <v>1399</v>
      </c>
      <c r="E438" s="9" t="s">
        <v>325</v>
      </c>
      <c r="F438" s="9" t="s">
        <v>1050</v>
      </c>
      <c r="G438" s="10" t="s">
        <v>1400</v>
      </c>
      <c r="H438" s="9" t="s">
        <v>621</v>
      </c>
      <c r="I438" s="11">
        <v>14.046989</v>
      </c>
      <c r="J438" s="11">
        <v>107.860608</v>
      </c>
      <c r="K438" s="9" t="s">
        <v>329</v>
      </c>
      <c r="L438" s="10"/>
      <c r="M438" s="12" t="s">
        <v>51</v>
      </c>
      <c r="N438" s="13" t="s">
        <v>52</v>
      </c>
      <c r="O438" s="14"/>
      <c r="P438" s="14"/>
      <c r="Q438" s="13" t="s">
        <v>53</v>
      </c>
      <c r="R438" s="15" t="s">
        <v>54</v>
      </c>
      <c r="S438" s="13" t="s">
        <v>55</v>
      </c>
      <c r="T438" s="13" t="s">
        <v>1401</v>
      </c>
      <c r="U438" s="16" t="str">
        <f t="shared" si="12"/>
        <v/>
      </c>
      <c r="V438" s="17" t="str">
        <f t="shared" si="13"/>
        <v>OK</v>
      </c>
    </row>
    <row r="439" spans="1:22" ht="25.5" x14ac:dyDescent="0.25">
      <c r="A439" s="9">
        <v>435</v>
      </c>
      <c r="B439" s="9" t="s">
        <v>1402</v>
      </c>
      <c r="C439" s="9" t="s">
        <v>1048</v>
      </c>
      <c r="D439" s="10" t="s">
        <v>1403</v>
      </c>
      <c r="E439" s="9" t="s">
        <v>325</v>
      </c>
      <c r="F439" s="9" t="s">
        <v>1067</v>
      </c>
      <c r="G439" s="10" t="s">
        <v>1404</v>
      </c>
      <c r="H439" s="9" t="s">
        <v>621</v>
      </c>
      <c r="I439" s="11">
        <v>13.96133</v>
      </c>
      <c r="J439" s="11">
        <v>107.84868</v>
      </c>
      <c r="K439" s="9" t="s">
        <v>329</v>
      </c>
      <c r="L439" s="10"/>
      <c r="M439" s="12" t="s">
        <v>51</v>
      </c>
      <c r="N439" s="13" t="s">
        <v>52</v>
      </c>
      <c r="O439" s="14"/>
      <c r="P439" s="14"/>
      <c r="Q439" s="13" t="s">
        <v>53</v>
      </c>
      <c r="R439" s="15" t="s">
        <v>54</v>
      </c>
      <c r="S439" s="13" t="s">
        <v>55</v>
      </c>
      <c r="T439" s="13" t="s">
        <v>1405</v>
      </c>
      <c r="U439" s="16" t="str">
        <f t="shared" si="12"/>
        <v/>
      </c>
      <c r="V439" s="17" t="str">
        <f t="shared" si="13"/>
        <v>OK</v>
      </c>
    </row>
    <row r="440" spans="1:22" ht="25.5" x14ac:dyDescent="0.25">
      <c r="A440" s="9">
        <v>436</v>
      </c>
      <c r="B440" s="9" t="s">
        <v>1406</v>
      </c>
      <c r="C440" s="9" t="s">
        <v>1048</v>
      </c>
      <c r="D440" s="10" t="s">
        <v>1407</v>
      </c>
      <c r="E440" s="9" t="s">
        <v>325</v>
      </c>
      <c r="F440" s="9" t="s">
        <v>1050</v>
      </c>
      <c r="G440" s="10" t="s">
        <v>1408</v>
      </c>
      <c r="H440" s="9" t="s">
        <v>125</v>
      </c>
      <c r="I440" s="11">
        <v>14.216443999999999</v>
      </c>
      <c r="J440" s="11">
        <v>107.84653900000001</v>
      </c>
      <c r="K440" s="9" t="s">
        <v>329</v>
      </c>
      <c r="L440" s="10"/>
      <c r="M440" s="12" t="s">
        <v>51</v>
      </c>
      <c r="N440" s="13" t="s">
        <v>52</v>
      </c>
      <c r="O440" s="14"/>
      <c r="P440" s="14"/>
      <c r="Q440" s="13" t="s">
        <v>53</v>
      </c>
      <c r="R440" s="15" t="s">
        <v>54</v>
      </c>
      <c r="S440" s="13" t="s">
        <v>55</v>
      </c>
      <c r="T440" s="13" t="s">
        <v>1409</v>
      </c>
      <c r="U440" s="16" t="str">
        <f t="shared" si="12"/>
        <v/>
      </c>
      <c r="V440" s="17" t="str">
        <f t="shared" si="13"/>
        <v>OK</v>
      </c>
    </row>
    <row r="441" spans="1:22" ht="25.5" x14ac:dyDescent="0.25">
      <c r="A441" s="9">
        <v>437</v>
      </c>
      <c r="B441" s="9" t="s">
        <v>1410</v>
      </c>
      <c r="C441" s="9" t="s">
        <v>1048</v>
      </c>
      <c r="D441" s="10" t="s">
        <v>1411</v>
      </c>
      <c r="E441" s="9" t="s">
        <v>325</v>
      </c>
      <c r="F441" s="9" t="s">
        <v>1050</v>
      </c>
      <c r="G441" s="10" t="s">
        <v>1412</v>
      </c>
      <c r="H441" s="9" t="s">
        <v>1413</v>
      </c>
      <c r="I441" s="11">
        <v>13.500747</v>
      </c>
      <c r="J441" s="11">
        <v>107.87023499999999</v>
      </c>
      <c r="K441" s="9" t="s">
        <v>329</v>
      </c>
      <c r="L441" s="10"/>
      <c r="M441" s="12" t="s">
        <v>51</v>
      </c>
      <c r="N441" s="13" t="s">
        <v>52</v>
      </c>
      <c r="O441" s="14"/>
      <c r="P441" s="14"/>
      <c r="Q441" s="13" t="s">
        <v>53</v>
      </c>
      <c r="R441" s="15" t="s">
        <v>54</v>
      </c>
      <c r="S441" s="13" t="s">
        <v>55</v>
      </c>
      <c r="T441" s="13" t="s">
        <v>1414</v>
      </c>
      <c r="U441" s="16" t="str">
        <f t="shared" si="12"/>
        <v/>
      </c>
      <c r="V441" s="17" t="str">
        <f t="shared" si="13"/>
        <v>OK</v>
      </c>
    </row>
    <row r="442" spans="1:22" ht="25.5" x14ac:dyDescent="0.25">
      <c r="A442" s="9">
        <v>438</v>
      </c>
      <c r="B442" s="9" t="s">
        <v>1415</v>
      </c>
      <c r="C442" s="9" t="s">
        <v>1048</v>
      </c>
      <c r="D442" s="10" t="s">
        <v>1416</v>
      </c>
      <c r="E442" s="9" t="s">
        <v>325</v>
      </c>
      <c r="F442" s="9" t="s">
        <v>1050</v>
      </c>
      <c r="G442" s="10" t="s">
        <v>1417</v>
      </c>
      <c r="H442" s="9" t="s">
        <v>711</v>
      </c>
      <c r="I442" s="11">
        <v>13.369192999999999</v>
      </c>
      <c r="J442" s="11">
        <v>108.593812</v>
      </c>
      <c r="K442" s="9" t="s">
        <v>329</v>
      </c>
      <c r="L442" s="10"/>
      <c r="M442" s="12" t="s">
        <v>51</v>
      </c>
      <c r="N442" s="13" t="s">
        <v>52</v>
      </c>
      <c r="O442" s="14"/>
      <c r="P442" s="14"/>
      <c r="Q442" s="13" t="s">
        <v>53</v>
      </c>
      <c r="R442" s="15" t="s">
        <v>54</v>
      </c>
      <c r="S442" s="13" t="s">
        <v>55</v>
      </c>
      <c r="T442" s="13" t="s">
        <v>1418</v>
      </c>
      <c r="U442" s="16" t="str">
        <f t="shared" si="12"/>
        <v/>
      </c>
      <c r="V442" s="17" t="str">
        <f t="shared" si="13"/>
        <v>OK</v>
      </c>
    </row>
    <row r="443" spans="1:22" ht="25.5" x14ac:dyDescent="0.25">
      <c r="A443" s="9">
        <v>439</v>
      </c>
      <c r="B443" s="9" t="s">
        <v>1419</v>
      </c>
      <c r="C443" s="9" t="s">
        <v>1048</v>
      </c>
      <c r="D443" s="10" t="s">
        <v>1420</v>
      </c>
      <c r="E443" s="9" t="s">
        <v>325</v>
      </c>
      <c r="F443" s="9" t="s">
        <v>1050</v>
      </c>
      <c r="G443" s="10" t="s">
        <v>1421</v>
      </c>
      <c r="H443" s="9" t="s">
        <v>1422</v>
      </c>
      <c r="I443" s="11">
        <v>13.394771</v>
      </c>
      <c r="J443" s="11">
        <v>108.46228000000001</v>
      </c>
      <c r="K443" s="9" t="s">
        <v>329</v>
      </c>
      <c r="L443" s="10"/>
      <c r="M443" s="12" t="s">
        <v>51</v>
      </c>
      <c r="N443" s="13" t="s">
        <v>52</v>
      </c>
      <c r="O443" s="14"/>
      <c r="P443" s="14"/>
      <c r="Q443" s="13" t="s">
        <v>53</v>
      </c>
      <c r="R443" s="15" t="s">
        <v>54</v>
      </c>
      <c r="S443" s="13" t="s">
        <v>55</v>
      </c>
      <c r="T443" s="13" t="s">
        <v>1423</v>
      </c>
      <c r="U443" s="16" t="str">
        <f t="shared" si="12"/>
        <v/>
      </c>
      <c r="V443" s="17" t="str">
        <f t="shared" si="13"/>
        <v>OK</v>
      </c>
    </row>
    <row r="444" spans="1:22" ht="25.5" x14ac:dyDescent="0.25">
      <c r="A444" s="9">
        <v>440</v>
      </c>
      <c r="B444" s="9" t="s">
        <v>1424</v>
      </c>
      <c r="C444" s="9" t="s">
        <v>1048</v>
      </c>
      <c r="D444" s="10" t="s">
        <v>1420</v>
      </c>
      <c r="E444" s="9" t="s">
        <v>325</v>
      </c>
      <c r="F444" s="9" t="s">
        <v>1050</v>
      </c>
      <c r="G444" s="10" t="s">
        <v>1421</v>
      </c>
      <c r="H444" s="9" t="s">
        <v>1422</v>
      </c>
      <c r="I444" s="11">
        <v>13.394771</v>
      </c>
      <c r="J444" s="11">
        <v>108.46228000000001</v>
      </c>
      <c r="K444" s="9" t="s">
        <v>329</v>
      </c>
      <c r="L444" s="10"/>
      <c r="M444" s="12" t="s">
        <v>51</v>
      </c>
      <c r="N444" s="13" t="s">
        <v>52</v>
      </c>
      <c r="O444" s="14"/>
      <c r="P444" s="14"/>
      <c r="Q444" s="13" t="s">
        <v>53</v>
      </c>
      <c r="R444" s="15" t="s">
        <v>54</v>
      </c>
      <c r="S444" s="13" t="s">
        <v>55</v>
      </c>
      <c r="T444" s="13" t="s">
        <v>1423</v>
      </c>
      <c r="U444" s="16" t="str">
        <f t="shared" si="12"/>
        <v/>
      </c>
      <c r="V444" s="17" t="str">
        <f t="shared" si="13"/>
        <v>OK</v>
      </c>
    </row>
    <row r="445" spans="1:22" ht="25.5" x14ac:dyDescent="0.25">
      <c r="A445" s="9">
        <v>441</v>
      </c>
      <c r="B445" s="9" t="s">
        <v>1425</v>
      </c>
      <c r="C445" s="9" t="s">
        <v>1048</v>
      </c>
      <c r="D445" s="10" t="s">
        <v>1426</v>
      </c>
      <c r="E445" s="9" t="s">
        <v>325</v>
      </c>
      <c r="F445" s="9" t="s">
        <v>1058</v>
      </c>
      <c r="G445" s="10" t="s">
        <v>1427</v>
      </c>
      <c r="H445" s="9" t="s">
        <v>1428</v>
      </c>
      <c r="I445" s="11">
        <v>14.019429000000001</v>
      </c>
      <c r="J445" s="11">
        <v>108.209907</v>
      </c>
      <c r="K445" s="9" t="s">
        <v>329</v>
      </c>
      <c r="L445" s="10"/>
      <c r="M445" s="12" t="s">
        <v>51</v>
      </c>
      <c r="N445" s="13" t="s">
        <v>52</v>
      </c>
      <c r="O445" s="14"/>
      <c r="P445" s="14"/>
      <c r="Q445" s="13" t="s">
        <v>53</v>
      </c>
      <c r="R445" s="15" t="s">
        <v>54</v>
      </c>
      <c r="S445" s="13" t="s">
        <v>55</v>
      </c>
      <c r="T445" s="13" t="s">
        <v>1429</v>
      </c>
      <c r="U445" s="16" t="str">
        <f t="shared" si="12"/>
        <v/>
      </c>
      <c r="V445" s="17" t="str">
        <f t="shared" si="13"/>
        <v>OK</v>
      </c>
    </row>
    <row r="446" spans="1:22" ht="25.5" x14ac:dyDescent="0.25">
      <c r="A446" s="9">
        <v>442</v>
      </c>
      <c r="B446" s="9" t="s">
        <v>1430</v>
      </c>
      <c r="C446" s="9" t="s">
        <v>1048</v>
      </c>
      <c r="D446" s="10" t="s">
        <v>1431</v>
      </c>
      <c r="E446" s="9" t="s">
        <v>325</v>
      </c>
      <c r="F446" s="9" t="s">
        <v>1050</v>
      </c>
      <c r="G446" s="10" t="s">
        <v>1432</v>
      </c>
      <c r="H446" s="9" t="s">
        <v>135</v>
      </c>
      <c r="I446" s="11">
        <v>14.14447</v>
      </c>
      <c r="J446" s="11">
        <v>108.603773</v>
      </c>
      <c r="K446" s="9" t="s">
        <v>329</v>
      </c>
      <c r="L446" s="10"/>
      <c r="M446" s="12" t="s">
        <v>51</v>
      </c>
      <c r="N446" s="13" t="s">
        <v>52</v>
      </c>
      <c r="O446" s="14"/>
      <c r="P446" s="14"/>
      <c r="Q446" s="13" t="s">
        <v>53</v>
      </c>
      <c r="R446" s="15" t="s">
        <v>54</v>
      </c>
      <c r="S446" s="13" t="s">
        <v>55</v>
      </c>
      <c r="T446" s="13" t="s">
        <v>1433</v>
      </c>
      <c r="U446" s="16" t="str">
        <f t="shared" si="12"/>
        <v/>
      </c>
      <c r="V446" s="17" t="str">
        <f t="shared" si="13"/>
        <v>OK</v>
      </c>
    </row>
    <row r="447" spans="1:22" ht="25.5" x14ac:dyDescent="0.25">
      <c r="A447" s="9">
        <v>443</v>
      </c>
      <c r="B447" s="9" t="s">
        <v>1434</v>
      </c>
      <c r="C447" s="9" t="s">
        <v>1048</v>
      </c>
      <c r="D447" s="10" t="s">
        <v>1431</v>
      </c>
      <c r="E447" s="9" t="s">
        <v>325</v>
      </c>
      <c r="F447" s="9" t="s">
        <v>1050</v>
      </c>
      <c r="G447" s="10" t="s">
        <v>1432</v>
      </c>
      <c r="H447" s="9" t="s">
        <v>135</v>
      </c>
      <c r="I447" s="11">
        <v>14.14447</v>
      </c>
      <c r="J447" s="11">
        <v>108.603773</v>
      </c>
      <c r="K447" s="9" t="s">
        <v>329</v>
      </c>
      <c r="L447" s="10"/>
      <c r="M447" s="12" t="s">
        <v>51</v>
      </c>
      <c r="N447" s="13" t="s">
        <v>52</v>
      </c>
      <c r="O447" s="14"/>
      <c r="P447" s="14"/>
      <c r="Q447" s="13" t="s">
        <v>53</v>
      </c>
      <c r="R447" s="15" t="s">
        <v>54</v>
      </c>
      <c r="S447" s="13" t="s">
        <v>55</v>
      </c>
      <c r="T447" s="13" t="s">
        <v>1433</v>
      </c>
      <c r="U447" s="16" t="str">
        <f t="shared" si="12"/>
        <v/>
      </c>
      <c r="V447" s="17" t="str">
        <f t="shared" si="13"/>
        <v>OK</v>
      </c>
    </row>
    <row r="448" spans="1:22" ht="25.5" x14ac:dyDescent="0.25">
      <c r="A448" s="9">
        <v>444</v>
      </c>
      <c r="B448" s="9" t="s">
        <v>1435</v>
      </c>
      <c r="C448" s="9" t="s">
        <v>1048</v>
      </c>
      <c r="D448" s="10" t="s">
        <v>1431</v>
      </c>
      <c r="E448" s="9" t="s">
        <v>325</v>
      </c>
      <c r="F448" s="9" t="s">
        <v>1050</v>
      </c>
      <c r="G448" s="10" t="s">
        <v>1432</v>
      </c>
      <c r="H448" s="9" t="s">
        <v>135</v>
      </c>
      <c r="I448" s="11">
        <v>14.14447</v>
      </c>
      <c r="J448" s="11">
        <v>108.603773</v>
      </c>
      <c r="K448" s="9" t="s">
        <v>329</v>
      </c>
      <c r="L448" s="10"/>
      <c r="M448" s="12" t="s">
        <v>51</v>
      </c>
      <c r="N448" s="13" t="s">
        <v>52</v>
      </c>
      <c r="O448" s="14"/>
      <c r="P448" s="14"/>
      <c r="Q448" s="13" t="s">
        <v>53</v>
      </c>
      <c r="R448" s="15" t="s">
        <v>54</v>
      </c>
      <c r="S448" s="13" t="s">
        <v>55</v>
      </c>
      <c r="T448" s="13" t="s">
        <v>1433</v>
      </c>
      <c r="U448" s="16" t="str">
        <f t="shared" si="12"/>
        <v/>
      </c>
      <c r="V448" s="17" t="str">
        <f t="shared" si="13"/>
        <v>OK</v>
      </c>
    </row>
    <row r="449" spans="1:22" ht="25.5" x14ac:dyDescent="0.25">
      <c r="A449" s="9">
        <v>445</v>
      </c>
      <c r="B449" s="9" t="s">
        <v>1436</v>
      </c>
      <c r="C449" s="9" t="s">
        <v>1048</v>
      </c>
      <c r="D449" s="10" t="s">
        <v>1437</v>
      </c>
      <c r="E449" s="9" t="s">
        <v>325</v>
      </c>
      <c r="F449" s="9" t="s">
        <v>1050</v>
      </c>
      <c r="G449" s="10" t="s">
        <v>1438</v>
      </c>
      <c r="H449" s="9" t="s">
        <v>140</v>
      </c>
      <c r="I449" s="11">
        <v>13.777129</v>
      </c>
      <c r="J449" s="11">
        <v>108.527252</v>
      </c>
      <c r="K449" s="9" t="s">
        <v>329</v>
      </c>
      <c r="L449" s="10"/>
      <c r="M449" s="12" t="s">
        <v>51</v>
      </c>
      <c r="N449" s="13" t="s">
        <v>52</v>
      </c>
      <c r="O449" s="14"/>
      <c r="P449" s="14"/>
      <c r="Q449" s="13" t="s">
        <v>53</v>
      </c>
      <c r="R449" s="15" t="s">
        <v>54</v>
      </c>
      <c r="S449" s="13" t="s">
        <v>55</v>
      </c>
      <c r="T449" s="13" t="s">
        <v>1439</v>
      </c>
      <c r="U449" s="16" t="str">
        <f t="shared" si="12"/>
        <v/>
      </c>
      <c r="V449" s="17" t="str">
        <f t="shared" si="13"/>
        <v>OK</v>
      </c>
    </row>
    <row r="450" spans="1:22" ht="25.5" x14ac:dyDescent="0.25">
      <c r="A450" s="9">
        <v>446</v>
      </c>
      <c r="B450" s="9" t="s">
        <v>1440</v>
      </c>
      <c r="C450" s="9" t="s">
        <v>1048</v>
      </c>
      <c r="D450" s="10" t="s">
        <v>1437</v>
      </c>
      <c r="E450" s="9" t="s">
        <v>325</v>
      </c>
      <c r="F450" s="9" t="s">
        <v>1050</v>
      </c>
      <c r="G450" s="10" t="s">
        <v>1438</v>
      </c>
      <c r="H450" s="9" t="s">
        <v>140</v>
      </c>
      <c r="I450" s="11">
        <v>13.777129</v>
      </c>
      <c r="J450" s="11">
        <v>108.527252</v>
      </c>
      <c r="K450" s="9" t="s">
        <v>329</v>
      </c>
      <c r="L450" s="10"/>
      <c r="M450" s="12" t="s">
        <v>51</v>
      </c>
      <c r="N450" s="13" t="s">
        <v>52</v>
      </c>
      <c r="O450" s="14"/>
      <c r="P450" s="14"/>
      <c r="Q450" s="13" t="s">
        <v>53</v>
      </c>
      <c r="R450" s="15" t="s">
        <v>54</v>
      </c>
      <c r="S450" s="13" t="s">
        <v>55</v>
      </c>
      <c r="T450" s="13" t="s">
        <v>1439</v>
      </c>
      <c r="U450" s="16" t="str">
        <f t="shared" si="12"/>
        <v/>
      </c>
      <c r="V450" s="17" t="str">
        <f t="shared" si="13"/>
        <v>OK</v>
      </c>
    </row>
    <row r="451" spans="1:22" ht="25.5" x14ac:dyDescent="0.25">
      <c r="A451" s="9">
        <v>447</v>
      </c>
      <c r="B451" s="9" t="s">
        <v>1441</v>
      </c>
      <c r="C451" s="9" t="s">
        <v>1048</v>
      </c>
      <c r="D451" s="10" t="s">
        <v>1437</v>
      </c>
      <c r="E451" s="9" t="s">
        <v>325</v>
      </c>
      <c r="F451" s="9" t="s">
        <v>1050</v>
      </c>
      <c r="G451" s="10" t="s">
        <v>1438</v>
      </c>
      <c r="H451" s="9" t="s">
        <v>140</v>
      </c>
      <c r="I451" s="11">
        <v>13.777129</v>
      </c>
      <c r="J451" s="11">
        <v>108.527252</v>
      </c>
      <c r="K451" s="9" t="s">
        <v>329</v>
      </c>
      <c r="L451" s="10"/>
      <c r="M451" s="12" t="s">
        <v>51</v>
      </c>
      <c r="N451" s="13" t="s">
        <v>52</v>
      </c>
      <c r="O451" s="14"/>
      <c r="P451" s="14"/>
      <c r="Q451" s="13" t="s">
        <v>53</v>
      </c>
      <c r="R451" s="15" t="s">
        <v>54</v>
      </c>
      <c r="S451" s="13" t="s">
        <v>55</v>
      </c>
      <c r="T451" s="13" t="s">
        <v>1439</v>
      </c>
      <c r="U451" s="16" t="str">
        <f t="shared" si="12"/>
        <v/>
      </c>
      <c r="V451" s="17" t="str">
        <f t="shared" si="13"/>
        <v>OK</v>
      </c>
    </row>
    <row r="452" spans="1:22" ht="25.5" x14ac:dyDescent="0.25">
      <c r="A452" s="9">
        <v>448</v>
      </c>
      <c r="B452" s="9" t="s">
        <v>1442</v>
      </c>
      <c r="C452" s="9" t="s">
        <v>1048</v>
      </c>
      <c r="D452" s="10" t="s">
        <v>1443</v>
      </c>
      <c r="E452" s="9" t="s">
        <v>325</v>
      </c>
      <c r="F452" s="9" t="s">
        <v>1050</v>
      </c>
      <c r="G452" s="10" t="s">
        <v>1444</v>
      </c>
      <c r="H452" s="9" t="s">
        <v>320</v>
      </c>
      <c r="I452" s="11">
        <v>14.040767000000001</v>
      </c>
      <c r="J452" s="11">
        <v>108.25268699999999</v>
      </c>
      <c r="K452" s="9" t="s">
        <v>329</v>
      </c>
      <c r="L452" s="10"/>
      <c r="M452" s="12" t="s">
        <v>51</v>
      </c>
      <c r="N452" s="13" t="s">
        <v>52</v>
      </c>
      <c r="O452" s="14"/>
      <c r="P452" s="14"/>
      <c r="Q452" s="13" t="s">
        <v>53</v>
      </c>
      <c r="R452" s="15" t="s">
        <v>54</v>
      </c>
      <c r="S452" s="13" t="s">
        <v>55</v>
      </c>
      <c r="T452" s="13" t="s">
        <v>1445</v>
      </c>
      <c r="U452" s="16" t="str">
        <f t="shared" si="12"/>
        <v/>
      </c>
      <c r="V452" s="17" t="str">
        <f t="shared" si="13"/>
        <v>OK</v>
      </c>
    </row>
    <row r="453" spans="1:22" ht="25.5" x14ac:dyDescent="0.25">
      <c r="A453" s="9">
        <v>449</v>
      </c>
      <c r="B453" s="9" t="s">
        <v>1446</v>
      </c>
      <c r="C453" s="9" t="s">
        <v>1048</v>
      </c>
      <c r="D453" s="10" t="s">
        <v>1443</v>
      </c>
      <c r="E453" s="9" t="s">
        <v>325</v>
      </c>
      <c r="F453" s="9" t="s">
        <v>1050</v>
      </c>
      <c r="G453" s="10" t="s">
        <v>1444</v>
      </c>
      <c r="H453" s="9" t="s">
        <v>320</v>
      </c>
      <c r="I453" s="11">
        <v>14.040767000000001</v>
      </c>
      <c r="J453" s="11">
        <v>108.25268699999999</v>
      </c>
      <c r="K453" s="9" t="s">
        <v>329</v>
      </c>
      <c r="L453" s="10"/>
      <c r="M453" s="12" t="s">
        <v>51</v>
      </c>
      <c r="N453" s="13" t="s">
        <v>52</v>
      </c>
      <c r="O453" s="14"/>
      <c r="P453" s="14"/>
      <c r="Q453" s="13" t="s">
        <v>53</v>
      </c>
      <c r="R453" s="15" t="s">
        <v>54</v>
      </c>
      <c r="S453" s="13" t="s">
        <v>55</v>
      </c>
      <c r="T453" s="13" t="s">
        <v>1445</v>
      </c>
      <c r="U453" s="16" t="str">
        <f t="shared" ref="U453:U516" si="14">IF(AND(ISNUMBER(O453),ISNUMBER(P453)),ROUND(SQRT(((P453-J453)*111320*COS(RADIANS(I453)))^2+((O453-I453)*110540)^2),0),"")</f>
        <v/>
      </c>
      <c r="V453" s="17" t="str">
        <f t="shared" ref="V453:V516" si="15">IF(N453="","",IF(N453="Sửa vị trí",IF(OR(O453="",P453=""),"Thiếu vĩ độ / kinh độ mới",IF(OR(O453&lt;12.5,O453&gt;15,P453&lt;107,P453&gt;109.6),"Toạ độ ngoài Gia Lai (đảo vĩ/kinh độ?)",IF(Q453="","Chọn cách xác định",IF(U453&gt;20000,"Dời hơn 20 km – kiểm tra lại","OK")))),IF(AND(N453&lt;&gt;"Sửa vị trí",OR(O453&lt;&gt;"",P453&lt;&gt;"")),"Có toạ độ mới nhưng kết quả không phải Sửa vị trí","OK")))</f>
        <v>OK</v>
      </c>
    </row>
    <row r="454" spans="1:22" ht="25.5" x14ac:dyDescent="0.25">
      <c r="A454" s="9">
        <v>450</v>
      </c>
      <c r="B454" s="9" t="s">
        <v>1447</v>
      </c>
      <c r="C454" s="9" t="s">
        <v>1048</v>
      </c>
      <c r="D454" s="10" t="s">
        <v>1443</v>
      </c>
      <c r="E454" s="9" t="s">
        <v>325</v>
      </c>
      <c r="F454" s="9" t="s">
        <v>1050</v>
      </c>
      <c r="G454" s="10" t="s">
        <v>1444</v>
      </c>
      <c r="H454" s="9" t="s">
        <v>320</v>
      </c>
      <c r="I454" s="11">
        <v>14.040767000000001</v>
      </c>
      <c r="J454" s="11">
        <v>108.25268699999999</v>
      </c>
      <c r="K454" s="9" t="s">
        <v>329</v>
      </c>
      <c r="L454" s="10"/>
      <c r="M454" s="12" t="s">
        <v>51</v>
      </c>
      <c r="N454" s="13" t="s">
        <v>52</v>
      </c>
      <c r="O454" s="14"/>
      <c r="P454" s="14"/>
      <c r="Q454" s="13" t="s">
        <v>53</v>
      </c>
      <c r="R454" s="15" t="s">
        <v>54</v>
      </c>
      <c r="S454" s="13" t="s">
        <v>55</v>
      </c>
      <c r="T454" s="13" t="s">
        <v>1445</v>
      </c>
      <c r="U454" s="16" t="str">
        <f t="shared" si="14"/>
        <v/>
      </c>
      <c r="V454" s="17" t="str">
        <f t="shared" si="15"/>
        <v>OK</v>
      </c>
    </row>
    <row r="455" spans="1:22" ht="25.5" x14ac:dyDescent="0.25">
      <c r="A455" s="9">
        <v>451</v>
      </c>
      <c r="B455" s="9" t="s">
        <v>1448</v>
      </c>
      <c r="C455" s="9" t="s">
        <v>1048</v>
      </c>
      <c r="D455" s="10" t="s">
        <v>1449</v>
      </c>
      <c r="E455" s="9" t="s">
        <v>325</v>
      </c>
      <c r="F455" s="9" t="s">
        <v>1058</v>
      </c>
      <c r="G455" s="10" t="s">
        <v>1450</v>
      </c>
      <c r="H455" s="9" t="s">
        <v>342</v>
      </c>
      <c r="I455" s="11">
        <v>13.947006999999999</v>
      </c>
      <c r="J455" s="11">
        <v>109.06029700000001</v>
      </c>
      <c r="K455" s="9" t="s">
        <v>329</v>
      </c>
      <c r="L455" s="10"/>
      <c r="M455" s="12" t="s">
        <v>51</v>
      </c>
      <c r="N455" s="13" t="s">
        <v>69</v>
      </c>
      <c r="O455" s="14"/>
      <c r="P455" s="14"/>
      <c r="Q455" s="13" t="s">
        <v>70</v>
      </c>
      <c r="R455" s="15" t="s">
        <v>54</v>
      </c>
      <c r="S455" s="13" t="s">
        <v>55</v>
      </c>
      <c r="T455" s="13" t="s">
        <v>343</v>
      </c>
      <c r="U455" s="16" t="str">
        <f t="shared" si="14"/>
        <v/>
      </c>
      <c r="V455" s="17" t="str">
        <f t="shared" si="15"/>
        <v>OK</v>
      </c>
    </row>
    <row r="456" spans="1:22" ht="25.5" x14ac:dyDescent="0.25">
      <c r="A456" s="9">
        <v>452</v>
      </c>
      <c r="B456" s="9" t="s">
        <v>1451</v>
      </c>
      <c r="C456" s="9" t="s">
        <v>1048</v>
      </c>
      <c r="D456" s="10" t="s">
        <v>1452</v>
      </c>
      <c r="E456" s="9" t="s">
        <v>325</v>
      </c>
      <c r="F456" s="9" t="s">
        <v>1067</v>
      </c>
      <c r="G456" s="10" t="s">
        <v>1453</v>
      </c>
      <c r="H456" s="9" t="s">
        <v>342</v>
      </c>
      <c r="I456" s="11">
        <v>14.012321</v>
      </c>
      <c r="J456" s="11">
        <v>109.073505</v>
      </c>
      <c r="K456" s="9" t="s">
        <v>329</v>
      </c>
      <c r="L456" s="10"/>
      <c r="M456" s="12" t="s">
        <v>51</v>
      </c>
      <c r="N456" s="13" t="s">
        <v>69</v>
      </c>
      <c r="O456" s="14"/>
      <c r="P456" s="14"/>
      <c r="Q456" s="13" t="s">
        <v>70</v>
      </c>
      <c r="R456" s="15" t="s">
        <v>54</v>
      </c>
      <c r="S456" s="13" t="s">
        <v>55</v>
      </c>
      <c r="T456" s="13" t="s">
        <v>343</v>
      </c>
      <c r="U456" s="16" t="str">
        <f t="shared" si="14"/>
        <v/>
      </c>
      <c r="V456" s="17" t="str">
        <f t="shared" si="15"/>
        <v>OK</v>
      </c>
    </row>
    <row r="457" spans="1:22" ht="38.25" x14ac:dyDescent="0.25">
      <c r="A457" s="9">
        <v>453</v>
      </c>
      <c r="B457" s="9" t="s">
        <v>1454</v>
      </c>
      <c r="C457" s="9" t="s">
        <v>1048</v>
      </c>
      <c r="D457" s="10" t="s">
        <v>1455</v>
      </c>
      <c r="E457" s="9" t="s">
        <v>325</v>
      </c>
      <c r="F457" s="9" t="s">
        <v>1067</v>
      </c>
      <c r="G457" s="10" t="s">
        <v>1456</v>
      </c>
      <c r="H457" s="9" t="s">
        <v>342</v>
      </c>
      <c r="I457" s="11">
        <v>13.997684</v>
      </c>
      <c r="J457" s="11">
        <v>109.059168</v>
      </c>
      <c r="K457" s="9" t="s">
        <v>329</v>
      </c>
      <c r="L457" s="10"/>
      <c r="M457" s="12" t="s">
        <v>51</v>
      </c>
      <c r="N457" s="13" t="s">
        <v>69</v>
      </c>
      <c r="O457" s="14"/>
      <c r="P457" s="14"/>
      <c r="Q457" s="13" t="s">
        <v>70</v>
      </c>
      <c r="R457" s="15" t="s">
        <v>54</v>
      </c>
      <c r="S457" s="13" t="s">
        <v>55</v>
      </c>
      <c r="T457" s="13" t="s">
        <v>343</v>
      </c>
      <c r="U457" s="16" t="str">
        <f t="shared" si="14"/>
        <v/>
      </c>
      <c r="V457" s="17" t="str">
        <f t="shared" si="15"/>
        <v>OK</v>
      </c>
    </row>
    <row r="458" spans="1:22" ht="38.25" x14ac:dyDescent="0.25">
      <c r="A458" s="9">
        <v>454</v>
      </c>
      <c r="B458" s="9" t="s">
        <v>1457</v>
      </c>
      <c r="C458" s="9" t="s">
        <v>1048</v>
      </c>
      <c r="D458" s="10" t="s">
        <v>1458</v>
      </c>
      <c r="E458" s="9" t="s">
        <v>325</v>
      </c>
      <c r="F458" s="9" t="s">
        <v>1058</v>
      </c>
      <c r="G458" s="10" t="s">
        <v>1459</v>
      </c>
      <c r="H458" s="9" t="s">
        <v>342</v>
      </c>
      <c r="I458" s="11">
        <v>13.993437</v>
      </c>
      <c r="J458" s="11">
        <v>109.058678</v>
      </c>
      <c r="K458" s="9" t="s">
        <v>329</v>
      </c>
      <c r="L458" s="10"/>
      <c r="M458" s="12" t="s">
        <v>51</v>
      </c>
      <c r="N458" s="13" t="s">
        <v>69</v>
      </c>
      <c r="O458" s="14"/>
      <c r="P458" s="14"/>
      <c r="Q458" s="13" t="s">
        <v>70</v>
      </c>
      <c r="R458" s="15" t="s">
        <v>54</v>
      </c>
      <c r="S458" s="13" t="s">
        <v>55</v>
      </c>
      <c r="T458" s="13" t="s">
        <v>343</v>
      </c>
      <c r="U458" s="16" t="str">
        <f t="shared" si="14"/>
        <v/>
      </c>
      <c r="V458" s="17" t="str">
        <f t="shared" si="15"/>
        <v>OK</v>
      </c>
    </row>
    <row r="459" spans="1:22" ht="38.25" x14ac:dyDescent="0.25">
      <c r="A459" s="9">
        <v>455</v>
      </c>
      <c r="B459" s="9" t="s">
        <v>1460</v>
      </c>
      <c r="C459" s="9" t="s">
        <v>1048</v>
      </c>
      <c r="D459" s="10" t="s">
        <v>1461</v>
      </c>
      <c r="E459" s="9" t="s">
        <v>325</v>
      </c>
      <c r="F459" s="9" t="s">
        <v>1058</v>
      </c>
      <c r="G459" s="10" t="s">
        <v>1462</v>
      </c>
      <c r="H459" s="9" t="s">
        <v>346</v>
      </c>
      <c r="I459" s="11">
        <v>14.161770000000001</v>
      </c>
      <c r="J459" s="11">
        <v>109.047292</v>
      </c>
      <c r="K459" s="9" t="s">
        <v>329</v>
      </c>
      <c r="L459" s="10"/>
      <c r="M459" s="12" t="s">
        <v>51</v>
      </c>
      <c r="N459" s="13" t="s">
        <v>69</v>
      </c>
      <c r="O459" s="14"/>
      <c r="P459" s="14"/>
      <c r="Q459" s="13" t="s">
        <v>70</v>
      </c>
      <c r="R459" s="15" t="s">
        <v>54</v>
      </c>
      <c r="S459" s="13" t="s">
        <v>55</v>
      </c>
      <c r="T459" s="13" t="s">
        <v>347</v>
      </c>
      <c r="U459" s="16" t="str">
        <f t="shared" si="14"/>
        <v/>
      </c>
      <c r="V459" s="17" t="str">
        <f t="shared" si="15"/>
        <v>OK</v>
      </c>
    </row>
    <row r="460" spans="1:22" ht="25.5" x14ac:dyDescent="0.25">
      <c r="A460" s="9">
        <v>456</v>
      </c>
      <c r="B460" s="9" t="s">
        <v>1463</v>
      </c>
      <c r="C460" s="9" t="s">
        <v>1048</v>
      </c>
      <c r="D460" s="10" t="s">
        <v>1464</v>
      </c>
      <c r="E460" s="9" t="s">
        <v>325</v>
      </c>
      <c r="F460" s="9" t="s">
        <v>1050</v>
      </c>
      <c r="G460" s="10" t="s">
        <v>1465</v>
      </c>
      <c r="H460" s="9" t="s">
        <v>768</v>
      </c>
      <c r="I460" s="11">
        <v>13.528129</v>
      </c>
      <c r="J460" s="11">
        <v>108.32158099999999</v>
      </c>
      <c r="K460" s="9" t="s">
        <v>329</v>
      </c>
      <c r="L460" s="10"/>
      <c r="M460" s="12" t="s">
        <v>51</v>
      </c>
      <c r="N460" s="13" t="s">
        <v>52</v>
      </c>
      <c r="O460" s="14"/>
      <c r="P460" s="14"/>
      <c r="Q460" s="13" t="s">
        <v>53</v>
      </c>
      <c r="R460" s="15" t="s">
        <v>54</v>
      </c>
      <c r="S460" s="13" t="s">
        <v>55</v>
      </c>
      <c r="T460" s="13" t="s">
        <v>1466</v>
      </c>
      <c r="U460" s="16" t="str">
        <f t="shared" si="14"/>
        <v/>
      </c>
      <c r="V460" s="17" t="str">
        <f t="shared" si="15"/>
        <v>OK</v>
      </c>
    </row>
    <row r="461" spans="1:22" ht="25.5" x14ac:dyDescent="0.25">
      <c r="A461" s="9">
        <v>457</v>
      </c>
      <c r="B461" s="9" t="s">
        <v>1467</v>
      </c>
      <c r="C461" s="9" t="s">
        <v>1048</v>
      </c>
      <c r="D461" s="10" t="s">
        <v>1464</v>
      </c>
      <c r="E461" s="9" t="s">
        <v>325</v>
      </c>
      <c r="F461" s="9" t="s">
        <v>1050</v>
      </c>
      <c r="G461" s="10" t="s">
        <v>1465</v>
      </c>
      <c r="H461" s="9" t="s">
        <v>768</v>
      </c>
      <c r="I461" s="11">
        <v>13.528129</v>
      </c>
      <c r="J461" s="11">
        <v>108.32158099999999</v>
      </c>
      <c r="K461" s="9" t="s">
        <v>329</v>
      </c>
      <c r="L461" s="10"/>
      <c r="M461" s="12" t="s">
        <v>51</v>
      </c>
      <c r="N461" s="13" t="s">
        <v>52</v>
      </c>
      <c r="O461" s="14"/>
      <c r="P461" s="14"/>
      <c r="Q461" s="13" t="s">
        <v>53</v>
      </c>
      <c r="R461" s="15" t="s">
        <v>54</v>
      </c>
      <c r="S461" s="13" t="s">
        <v>55</v>
      </c>
      <c r="T461" s="13" t="s">
        <v>1466</v>
      </c>
      <c r="U461" s="16" t="str">
        <f t="shared" si="14"/>
        <v/>
      </c>
      <c r="V461" s="17" t="str">
        <f t="shared" si="15"/>
        <v>OK</v>
      </c>
    </row>
    <row r="462" spans="1:22" ht="25.5" x14ac:dyDescent="0.25">
      <c r="A462" s="9">
        <v>458</v>
      </c>
      <c r="B462" s="9" t="s">
        <v>1468</v>
      </c>
      <c r="C462" s="9" t="s">
        <v>1048</v>
      </c>
      <c r="D462" s="10" t="s">
        <v>1464</v>
      </c>
      <c r="E462" s="9" t="s">
        <v>325</v>
      </c>
      <c r="F462" s="9" t="s">
        <v>1050</v>
      </c>
      <c r="G462" s="10" t="s">
        <v>1465</v>
      </c>
      <c r="H462" s="9" t="s">
        <v>768</v>
      </c>
      <c r="I462" s="11">
        <v>13.528129</v>
      </c>
      <c r="J462" s="11">
        <v>108.32158099999999</v>
      </c>
      <c r="K462" s="9" t="s">
        <v>329</v>
      </c>
      <c r="L462" s="10"/>
      <c r="M462" s="12" t="s">
        <v>51</v>
      </c>
      <c r="N462" s="13" t="s">
        <v>52</v>
      </c>
      <c r="O462" s="14"/>
      <c r="P462" s="14"/>
      <c r="Q462" s="13" t="s">
        <v>53</v>
      </c>
      <c r="R462" s="15" t="s">
        <v>54</v>
      </c>
      <c r="S462" s="13" t="s">
        <v>55</v>
      </c>
      <c r="T462" s="13" t="s">
        <v>1466</v>
      </c>
      <c r="U462" s="16" t="str">
        <f t="shared" si="14"/>
        <v/>
      </c>
      <c r="V462" s="17" t="str">
        <f t="shared" si="15"/>
        <v>OK</v>
      </c>
    </row>
    <row r="463" spans="1:22" ht="25.5" x14ac:dyDescent="0.25">
      <c r="A463" s="9">
        <v>459</v>
      </c>
      <c r="B463" s="9" t="s">
        <v>1469</v>
      </c>
      <c r="C463" s="9" t="s">
        <v>1048</v>
      </c>
      <c r="D463" s="10" t="s">
        <v>1470</v>
      </c>
      <c r="E463" s="9" t="s">
        <v>325</v>
      </c>
      <c r="F463" s="9" t="s">
        <v>1050</v>
      </c>
      <c r="G463" s="10" t="s">
        <v>1471</v>
      </c>
      <c r="H463" s="9" t="s">
        <v>212</v>
      </c>
      <c r="I463" s="11">
        <v>13.195795</v>
      </c>
      <c r="J463" s="11">
        <v>108.690122</v>
      </c>
      <c r="K463" s="9" t="s">
        <v>329</v>
      </c>
      <c r="L463" s="10"/>
      <c r="M463" s="12" t="s">
        <v>51</v>
      </c>
      <c r="N463" s="13" t="s">
        <v>52</v>
      </c>
      <c r="O463" s="14"/>
      <c r="P463" s="14"/>
      <c r="Q463" s="13" t="s">
        <v>53</v>
      </c>
      <c r="R463" s="15" t="s">
        <v>54</v>
      </c>
      <c r="S463" s="13" t="s">
        <v>55</v>
      </c>
      <c r="T463" s="13" t="s">
        <v>1472</v>
      </c>
      <c r="U463" s="16" t="str">
        <f t="shared" si="14"/>
        <v/>
      </c>
      <c r="V463" s="17" t="str">
        <f t="shared" si="15"/>
        <v>OK</v>
      </c>
    </row>
    <row r="464" spans="1:22" ht="25.5" x14ac:dyDescent="0.25">
      <c r="A464" s="9">
        <v>460</v>
      </c>
      <c r="B464" s="9" t="s">
        <v>1473</v>
      </c>
      <c r="C464" s="9" t="s">
        <v>1048</v>
      </c>
      <c r="D464" s="10" t="s">
        <v>1470</v>
      </c>
      <c r="E464" s="9" t="s">
        <v>325</v>
      </c>
      <c r="F464" s="9" t="s">
        <v>1050</v>
      </c>
      <c r="G464" s="10" t="s">
        <v>1471</v>
      </c>
      <c r="H464" s="9" t="s">
        <v>212</v>
      </c>
      <c r="I464" s="11">
        <v>13.195795</v>
      </c>
      <c r="J464" s="11">
        <v>108.690122</v>
      </c>
      <c r="K464" s="9" t="s">
        <v>329</v>
      </c>
      <c r="L464" s="10"/>
      <c r="M464" s="12" t="s">
        <v>51</v>
      </c>
      <c r="N464" s="13" t="s">
        <v>52</v>
      </c>
      <c r="O464" s="14"/>
      <c r="P464" s="14"/>
      <c r="Q464" s="13" t="s">
        <v>53</v>
      </c>
      <c r="R464" s="15" t="s">
        <v>54</v>
      </c>
      <c r="S464" s="13" t="s">
        <v>55</v>
      </c>
      <c r="T464" s="13" t="s">
        <v>1472</v>
      </c>
      <c r="U464" s="16" t="str">
        <f t="shared" si="14"/>
        <v/>
      </c>
      <c r="V464" s="17" t="str">
        <f t="shared" si="15"/>
        <v>OK</v>
      </c>
    </row>
    <row r="465" spans="1:22" ht="25.5" x14ac:dyDescent="0.25">
      <c r="A465" s="9">
        <v>461</v>
      </c>
      <c r="B465" s="9" t="s">
        <v>1474</v>
      </c>
      <c r="C465" s="9" t="s">
        <v>1048</v>
      </c>
      <c r="D465" s="10" t="s">
        <v>1470</v>
      </c>
      <c r="E465" s="9" t="s">
        <v>325</v>
      </c>
      <c r="F465" s="9" t="s">
        <v>1050</v>
      </c>
      <c r="G465" s="10" t="s">
        <v>1471</v>
      </c>
      <c r="H465" s="9" t="s">
        <v>212</v>
      </c>
      <c r="I465" s="11">
        <v>13.195795</v>
      </c>
      <c r="J465" s="11">
        <v>108.690122</v>
      </c>
      <c r="K465" s="9" t="s">
        <v>329</v>
      </c>
      <c r="L465" s="10"/>
      <c r="M465" s="12" t="s">
        <v>51</v>
      </c>
      <c r="N465" s="13" t="s">
        <v>52</v>
      </c>
      <c r="O465" s="14"/>
      <c r="P465" s="14"/>
      <c r="Q465" s="13" t="s">
        <v>53</v>
      </c>
      <c r="R465" s="15" t="s">
        <v>54</v>
      </c>
      <c r="S465" s="13" t="s">
        <v>55</v>
      </c>
      <c r="T465" s="13" t="s">
        <v>1472</v>
      </c>
      <c r="U465" s="16" t="str">
        <f t="shared" si="14"/>
        <v/>
      </c>
      <c r="V465" s="17" t="str">
        <f t="shared" si="15"/>
        <v>OK</v>
      </c>
    </row>
    <row r="466" spans="1:22" ht="38.25" x14ac:dyDescent="0.25">
      <c r="A466" s="9">
        <v>462</v>
      </c>
      <c r="B466" s="9" t="s">
        <v>1475</v>
      </c>
      <c r="C466" s="9" t="s">
        <v>1048</v>
      </c>
      <c r="D466" s="10" t="s">
        <v>1476</v>
      </c>
      <c r="E466" s="9" t="s">
        <v>325</v>
      </c>
      <c r="F466" s="9" t="s">
        <v>1067</v>
      </c>
      <c r="G466" s="10" t="s">
        <v>1477</v>
      </c>
      <c r="H466" s="9" t="s">
        <v>786</v>
      </c>
      <c r="I466" s="11">
        <v>13.803278000000001</v>
      </c>
      <c r="J466" s="11">
        <v>109.147802</v>
      </c>
      <c r="K466" s="9" t="s">
        <v>329</v>
      </c>
      <c r="L466" s="10"/>
      <c r="M466" s="12" t="s">
        <v>51</v>
      </c>
      <c r="N466" s="13" t="s">
        <v>69</v>
      </c>
      <c r="O466" s="14"/>
      <c r="P466" s="14"/>
      <c r="Q466" s="13" t="s">
        <v>70</v>
      </c>
      <c r="R466" s="15" t="s">
        <v>54</v>
      </c>
      <c r="S466" s="13" t="s">
        <v>55</v>
      </c>
      <c r="T466" s="13" t="s">
        <v>787</v>
      </c>
      <c r="U466" s="16" t="str">
        <f t="shared" si="14"/>
        <v/>
      </c>
      <c r="V466" s="17" t="str">
        <f t="shared" si="15"/>
        <v>OK</v>
      </c>
    </row>
    <row r="467" spans="1:22" ht="38.25" x14ac:dyDescent="0.25">
      <c r="A467" s="9">
        <v>463</v>
      </c>
      <c r="B467" s="9" t="s">
        <v>1478</v>
      </c>
      <c r="C467" s="9" t="s">
        <v>1048</v>
      </c>
      <c r="D467" s="10" t="s">
        <v>1479</v>
      </c>
      <c r="E467" s="9" t="s">
        <v>325</v>
      </c>
      <c r="F467" s="9" t="s">
        <v>1058</v>
      </c>
      <c r="G467" s="10" t="s">
        <v>1480</v>
      </c>
      <c r="H467" s="9" t="s">
        <v>1007</v>
      </c>
      <c r="I467" s="11">
        <v>13.781567000000001</v>
      </c>
      <c r="J467" s="11">
        <v>109.112104</v>
      </c>
      <c r="K467" s="9" t="s">
        <v>329</v>
      </c>
      <c r="L467" s="10"/>
      <c r="M467" s="12" t="s">
        <v>51</v>
      </c>
      <c r="N467" s="13" t="s">
        <v>69</v>
      </c>
      <c r="O467" s="14"/>
      <c r="P467" s="14"/>
      <c r="Q467" s="13" t="s">
        <v>70</v>
      </c>
      <c r="R467" s="15" t="s">
        <v>54</v>
      </c>
      <c r="S467" s="13" t="s">
        <v>55</v>
      </c>
      <c r="T467" s="13" t="s">
        <v>787</v>
      </c>
      <c r="U467" s="16" t="str">
        <f t="shared" si="14"/>
        <v/>
      </c>
      <c r="V467" s="17" t="str">
        <f t="shared" si="15"/>
        <v>OK</v>
      </c>
    </row>
    <row r="468" spans="1:22" ht="25.5" x14ac:dyDescent="0.25">
      <c r="A468" s="9">
        <v>464</v>
      </c>
      <c r="B468" s="9" t="s">
        <v>1481</v>
      </c>
      <c r="C468" s="9" t="s">
        <v>1048</v>
      </c>
      <c r="D468" s="10" t="s">
        <v>1482</v>
      </c>
      <c r="E468" s="9" t="s">
        <v>325</v>
      </c>
      <c r="F468" s="9" t="s">
        <v>1067</v>
      </c>
      <c r="G468" s="10" t="s">
        <v>1483</v>
      </c>
      <c r="H468" s="9" t="s">
        <v>812</v>
      </c>
      <c r="I468" s="11">
        <v>13.892817000000001</v>
      </c>
      <c r="J468" s="11">
        <v>108.974242</v>
      </c>
      <c r="K468" s="9" t="s">
        <v>329</v>
      </c>
      <c r="L468" s="10"/>
      <c r="M468" s="12" t="s">
        <v>51</v>
      </c>
      <c r="N468" s="13" t="s">
        <v>69</v>
      </c>
      <c r="O468" s="14"/>
      <c r="P468" s="14"/>
      <c r="Q468" s="13" t="s">
        <v>70</v>
      </c>
      <c r="R468" s="15" t="s">
        <v>54</v>
      </c>
      <c r="S468" s="13" t="s">
        <v>55</v>
      </c>
      <c r="T468" s="13" t="s">
        <v>813</v>
      </c>
      <c r="U468" s="16" t="str">
        <f t="shared" si="14"/>
        <v/>
      </c>
      <c r="V468" s="17" t="str">
        <f t="shared" si="15"/>
        <v>OK</v>
      </c>
    </row>
    <row r="469" spans="1:22" ht="38.25" x14ac:dyDescent="0.25">
      <c r="A469" s="9">
        <v>465</v>
      </c>
      <c r="B469" s="9" t="s">
        <v>1484</v>
      </c>
      <c r="C469" s="9" t="s">
        <v>1048</v>
      </c>
      <c r="D469" s="10" t="s">
        <v>1485</v>
      </c>
      <c r="E469" s="9" t="s">
        <v>325</v>
      </c>
      <c r="F469" s="9" t="s">
        <v>1058</v>
      </c>
      <c r="G469" s="10" t="s">
        <v>1486</v>
      </c>
      <c r="H469" s="9" t="s">
        <v>812</v>
      </c>
      <c r="I469" s="11">
        <v>13.906250999999999</v>
      </c>
      <c r="J469" s="11">
        <v>108.92212600000001</v>
      </c>
      <c r="K469" s="9" t="s">
        <v>329</v>
      </c>
      <c r="L469" s="10"/>
      <c r="M469" s="12" t="s">
        <v>51</v>
      </c>
      <c r="N469" s="13" t="s">
        <v>69</v>
      </c>
      <c r="O469" s="14"/>
      <c r="P469" s="14"/>
      <c r="Q469" s="13" t="s">
        <v>70</v>
      </c>
      <c r="R469" s="15" t="s">
        <v>54</v>
      </c>
      <c r="S469" s="13" t="s">
        <v>55</v>
      </c>
      <c r="T469" s="13" t="s">
        <v>813</v>
      </c>
      <c r="U469" s="16" t="str">
        <f t="shared" si="14"/>
        <v/>
      </c>
      <c r="V469" s="17" t="str">
        <f t="shared" si="15"/>
        <v>OK</v>
      </c>
    </row>
    <row r="470" spans="1:22" ht="25.5" x14ac:dyDescent="0.25">
      <c r="A470" s="9">
        <v>466</v>
      </c>
      <c r="B470" s="9" t="s">
        <v>1487</v>
      </c>
      <c r="C470" s="9" t="s">
        <v>1048</v>
      </c>
      <c r="D470" s="10" t="s">
        <v>1488</v>
      </c>
      <c r="E470" s="9" t="s">
        <v>325</v>
      </c>
      <c r="F470" s="9" t="s">
        <v>1058</v>
      </c>
      <c r="G470" s="10" t="s">
        <v>1489</v>
      </c>
      <c r="H470" s="9" t="s">
        <v>1490</v>
      </c>
      <c r="I470" s="11">
        <v>13.963984999999999</v>
      </c>
      <c r="J470" s="11">
        <v>109.159285</v>
      </c>
      <c r="K470" s="9" t="s">
        <v>329</v>
      </c>
      <c r="L470" s="10"/>
      <c r="M470" s="12" t="s">
        <v>51</v>
      </c>
      <c r="N470" s="13" t="s">
        <v>69</v>
      </c>
      <c r="O470" s="14"/>
      <c r="P470" s="14"/>
      <c r="Q470" s="13" t="s">
        <v>70</v>
      </c>
      <c r="R470" s="15" t="s">
        <v>54</v>
      </c>
      <c r="S470" s="13" t="s">
        <v>55</v>
      </c>
      <c r="T470" s="13" t="s">
        <v>343</v>
      </c>
      <c r="U470" s="16" t="str">
        <f t="shared" si="14"/>
        <v/>
      </c>
      <c r="V470" s="17" t="str">
        <f t="shared" si="15"/>
        <v>OK</v>
      </c>
    </row>
    <row r="471" spans="1:22" ht="25.5" x14ac:dyDescent="0.25">
      <c r="A471" s="9">
        <v>467</v>
      </c>
      <c r="B471" s="9" t="s">
        <v>1491</v>
      </c>
      <c r="C471" s="9" t="s">
        <v>1048</v>
      </c>
      <c r="D471" s="10" t="s">
        <v>1492</v>
      </c>
      <c r="E471" s="9" t="s">
        <v>325</v>
      </c>
      <c r="F471" s="9" t="s">
        <v>1067</v>
      </c>
      <c r="G471" s="10" t="s">
        <v>1493</v>
      </c>
      <c r="H471" s="9" t="s">
        <v>1490</v>
      </c>
      <c r="I471" s="11">
        <v>13.964483</v>
      </c>
      <c r="J471" s="11">
        <v>109.159235</v>
      </c>
      <c r="K471" s="9" t="s">
        <v>329</v>
      </c>
      <c r="L471" s="10"/>
      <c r="M471" s="12" t="s">
        <v>51</v>
      </c>
      <c r="N471" s="13" t="s">
        <v>69</v>
      </c>
      <c r="O471" s="14"/>
      <c r="P471" s="14"/>
      <c r="Q471" s="13" t="s">
        <v>70</v>
      </c>
      <c r="R471" s="15" t="s">
        <v>54</v>
      </c>
      <c r="S471" s="13" t="s">
        <v>55</v>
      </c>
      <c r="T471" s="13" t="s">
        <v>1494</v>
      </c>
      <c r="U471" s="16" t="str">
        <f t="shared" si="14"/>
        <v/>
      </c>
      <c r="V471" s="17" t="str">
        <f t="shared" si="15"/>
        <v>OK</v>
      </c>
    </row>
    <row r="472" spans="1:22" ht="25.5" x14ac:dyDescent="0.25">
      <c r="A472" s="9">
        <v>468</v>
      </c>
      <c r="B472" s="9" t="s">
        <v>1495</v>
      </c>
      <c r="C472" s="9" t="s">
        <v>1048</v>
      </c>
      <c r="D472" s="10" t="s">
        <v>1496</v>
      </c>
      <c r="E472" s="9" t="s">
        <v>325</v>
      </c>
      <c r="F472" s="9" t="s">
        <v>1050</v>
      </c>
      <c r="G472" s="10" t="s">
        <v>1497</v>
      </c>
      <c r="H472" s="9" t="s">
        <v>1498</v>
      </c>
      <c r="I472" s="11">
        <v>13.970549999999999</v>
      </c>
      <c r="J472" s="11">
        <v>108.548434</v>
      </c>
      <c r="K472" s="9" t="s">
        <v>329</v>
      </c>
      <c r="L472" s="10"/>
      <c r="M472" s="12" t="s">
        <v>51</v>
      </c>
      <c r="N472" s="13" t="s">
        <v>52</v>
      </c>
      <c r="O472" s="14"/>
      <c r="P472" s="14"/>
      <c r="Q472" s="13" t="s">
        <v>53</v>
      </c>
      <c r="R472" s="15" t="s">
        <v>54</v>
      </c>
      <c r="S472" s="13" t="s">
        <v>55</v>
      </c>
      <c r="T472" s="13" t="s">
        <v>1499</v>
      </c>
      <c r="U472" s="16" t="str">
        <f t="shared" si="14"/>
        <v/>
      </c>
      <c r="V472" s="17" t="str">
        <f t="shared" si="15"/>
        <v>OK</v>
      </c>
    </row>
    <row r="473" spans="1:22" ht="25.5" x14ac:dyDescent="0.25">
      <c r="A473" s="9">
        <v>469</v>
      </c>
      <c r="B473" s="9" t="s">
        <v>1500</v>
      </c>
      <c r="C473" s="9" t="s">
        <v>1048</v>
      </c>
      <c r="D473" s="10" t="s">
        <v>1496</v>
      </c>
      <c r="E473" s="9" t="s">
        <v>325</v>
      </c>
      <c r="F473" s="9" t="s">
        <v>1050</v>
      </c>
      <c r="G473" s="10" t="s">
        <v>1497</v>
      </c>
      <c r="H473" s="9" t="s">
        <v>1498</v>
      </c>
      <c r="I473" s="11">
        <v>13.970549999999999</v>
      </c>
      <c r="J473" s="11">
        <v>108.548434</v>
      </c>
      <c r="K473" s="9" t="s">
        <v>329</v>
      </c>
      <c r="L473" s="10"/>
      <c r="M473" s="12" t="s">
        <v>51</v>
      </c>
      <c r="N473" s="13" t="s">
        <v>52</v>
      </c>
      <c r="O473" s="14"/>
      <c r="P473" s="14"/>
      <c r="Q473" s="13" t="s">
        <v>53</v>
      </c>
      <c r="R473" s="15" t="s">
        <v>54</v>
      </c>
      <c r="S473" s="13" t="s">
        <v>55</v>
      </c>
      <c r="T473" s="13" t="s">
        <v>1499</v>
      </c>
      <c r="U473" s="16" t="str">
        <f t="shared" si="14"/>
        <v/>
      </c>
      <c r="V473" s="17" t="str">
        <f t="shared" si="15"/>
        <v>OK</v>
      </c>
    </row>
    <row r="474" spans="1:22" ht="25.5" x14ac:dyDescent="0.25">
      <c r="A474" s="9">
        <v>470</v>
      </c>
      <c r="B474" s="9" t="s">
        <v>1501</v>
      </c>
      <c r="C474" s="9" t="s">
        <v>1048</v>
      </c>
      <c r="D474" s="10" t="s">
        <v>1502</v>
      </c>
      <c r="E474" s="9" t="s">
        <v>325</v>
      </c>
      <c r="F474" s="9" t="s">
        <v>1058</v>
      </c>
      <c r="G474" s="10" t="s">
        <v>1503</v>
      </c>
      <c r="H474" s="9" t="s">
        <v>1498</v>
      </c>
      <c r="I474" s="11">
        <v>13.99985</v>
      </c>
      <c r="J474" s="11">
        <v>108.44640699999999</v>
      </c>
      <c r="K474" s="9" t="s">
        <v>329</v>
      </c>
      <c r="L474" s="10"/>
      <c r="M474" s="12" t="s">
        <v>51</v>
      </c>
      <c r="N474" s="13" t="s">
        <v>52</v>
      </c>
      <c r="O474" s="14"/>
      <c r="P474" s="14"/>
      <c r="Q474" s="13" t="s">
        <v>53</v>
      </c>
      <c r="R474" s="15" t="s">
        <v>54</v>
      </c>
      <c r="S474" s="13" t="s">
        <v>55</v>
      </c>
      <c r="T474" s="13" t="s">
        <v>1504</v>
      </c>
      <c r="U474" s="16" t="str">
        <f t="shared" si="14"/>
        <v/>
      </c>
      <c r="V474" s="17" t="str">
        <f t="shared" si="15"/>
        <v>OK</v>
      </c>
    </row>
    <row r="475" spans="1:22" ht="25.5" x14ac:dyDescent="0.25">
      <c r="A475" s="9">
        <v>471</v>
      </c>
      <c r="B475" s="9" t="s">
        <v>1505</v>
      </c>
      <c r="C475" s="9" t="s">
        <v>1048</v>
      </c>
      <c r="D475" s="10" t="s">
        <v>1506</v>
      </c>
      <c r="E475" s="9" t="s">
        <v>325</v>
      </c>
      <c r="F475" s="9" t="s">
        <v>1050</v>
      </c>
      <c r="G475" s="10" t="s">
        <v>1507</v>
      </c>
      <c r="H475" s="9" t="s">
        <v>1508</v>
      </c>
      <c r="I475" s="11">
        <v>13.992905</v>
      </c>
      <c r="J475" s="11">
        <v>108.110215</v>
      </c>
      <c r="K475" s="9" t="s">
        <v>329</v>
      </c>
      <c r="L475" s="10"/>
      <c r="M475" s="12" t="s">
        <v>51</v>
      </c>
      <c r="N475" s="13" t="s">
        <v>52</v>
      </c>
      <c r="O475" s="14"/>
      <c r="P475" s="14"/>
      <c r="Q475" s="13" t="s">
        <v>53</v>
      </c>
      <c r="R475" s="15" t="s">
        <v>54</v>
      </c>
      <c r="S475" s="13" t="s">
        <v>55</v>
      </c>
      <c r="T475" s="13" t="s">
        <v>1509</v>
      </c>
      <c r="U475" s="16" t="str">
        <f t="shared" si="14"/>
        <v/>
      </c>
      <c r="V475" s="17" t="str">
        <f t="shared" si="15"/>
        <v>OK</v>
      </c>
    </row>
    <row r="476" spans="1:22" ht="25.5" x14ac:dyDescent="0.25">
      <c r="A476" s="9">
        <v>472</v>
      </c>
      <c r="B476" s="9" t="s">
        <v>1510</v>
      </c>
      <c r="C476" s="9" t="s">
        <v>1048</v>
      </c>
      <c r="D476" s="10" t="s">
        <v>1506</v>
      </c>
      <c r="E476" s="9" t="s">
        <v>325</v>
      </c>
      <c r="F476" s="9" t="s">
        <v>1050</v>
      </c>
      <c r="G476" s="10" t="s">
        <v>1507</v>
      </c>
      <c r="H476" s="9" t="s">
        <v>1508</v>
      </c>
      <c r="I476" s="11">
        <v>13.992905</v>
      </c>
      <c r="J476" s="11">
        <v>108.110215</v>
      </c>
      <c r="K476" s="9" t="s">
        <v>329</v>
      </c>
      <c r="L476" s="10"/>
      <c r="M476" s="12" t="s">
        <v>51</v>
      </c>
      <c r="N476" s="13" t="s">
        <v>52</v>
      </c>
      <c r="O476" s="14"/>
      <c r="P476" s="14"/>
      <c r="Q476" s="13" t="s">
        <v>53</v>
      </c>
      <c r="R476" s="15" t="s">
        <v>54</v>
      </c>
      <c r="S476" s="13" t="s">
        <v>55</v>
      </c>
      <c r="T476" s="13" t="s">
        <v>1509</v>
      </c>
      <c r="U476" s="16" t="str">
        <f t="shared" si="14"/>
        <v/>
      </c>
      <c r="V476" s="17" t="str">
        <f t="shared" si="15"/>
        <v>OK</v>
      </c>
    </row>
    <row r="477" spans="1:22" ht="25.5" x14ac:dyDescent="0.25">
      <c r="A477" s="9">
        <v>473</v>
      </c>
      <c r="B477" s="9" t="s">
        <v>1511</v>
      </c>
      <c r="C477" s="9" t="s">
        <v>1048</v>
      </c>
      <c r="D477" s="10" t="s">
        <v>1506</v>
      </c>
      <c r="E477" s="9" t="s">
        <v>325</v>
      </c>
      <c r="F477" s="9" t="s">
        <v>1050</v>
      </c>
      <c r="G477" s="10" t="s">
        <v>1507</v>
      </c>
      <c r="H477" s="9" t="s">
        <v>1508</v>
      </c>
      <c r="I477" s="11">
        <v>13.992905</v>
      </c>
      <c r="J477" s="11">
        <v>108.110215</v>
      </c>
      <c r="K477" s="9" t="s">
        <v>329</v>
      </c>
      <c r="L477" s="10"/>
      <c r="M477" s="12" t="s">
        <v>51</v>
      </c>
      <c r="N477" s="13" t="s">
        <v>52</v>
      </c>
      <c r="O477" s="14"/>
      <c r="P477" s="14"/>
      <c r="Q477" s="13" t="s">
        <v>53</v>
      </c>
      <c r="R477" s="15" t="s">
        <v>54</v>
      </c>
      <c r="S477" s="13" t="s">
        <v>55</v>
      </c>
      <c r="T477" s="13" t="s">
        <v>1509</v>
      </c>
      <c r="U477" s="16" t="str">
        <f t="shared" si="14"/>
        <v/>
      </c>
      <c r="V477" s="17" t="str">
        <f t="shared" si="15"/>
        <v>OK</v>
      </c>
    </row>
    <row r="478" spans="1:22" ht="25.5" x14ac:dyDescent="0.25">
      <c r="A478" s="9">
        <v>474</v>
      </c>
      <c r="B478" s="9" t="s">
        <v>1512</v>
      </c>
      <c r="C478" s="9" t="s">
        <v>1048</v>
      </c>
      <c r="D478" s="10" t="s">
        <v>1513</v>
      </c>
      <c r="E478" s="9" t="s">
        <v>325</v>
      </c>
      <c r="F478" s="9" t="s">
        <v>1067</v>
      </c>
      <c r="G478" s="10" t="s">
        <v>1514</v>
      </c>
      <c r="H478" s="9" t="s">
        <v>1508</v>
      </c>
      <c r="I478" s="11">
        <v>13.99391</v>
      </c>
      <c r="J478" s="11">
        <v>108.12748999999999</v>
      </c>
      <c r="K478" s="9" t="s">
        <v>329</v>
      </c>
      <c r="L478" s="10"/>
      <c r="M478" s="12" t="s">
        <v>51</v>
      </c>
      <c r="N478" s="13" t="s">
        <v>52</v>
      </c>
      <c r="O478" s="14"/>
      <c r="P478" s="14"/>
      <c r="Q478" s="13" t="s">
        <v>53</v>
      </c>
      <c r="R478" s="15" t="s">
        <v>54</v>
      </c>
      <c r="S478" s="13" t="s">
        <v>55</v>
      </c>
      <c r="T478" s="13" t="s">
        <v>1515</v>
      </c>
      <c r="U478" s="16" t="str">
        <f t="shared" si="14"/>
        <v/>
      </c>
      <c r="V478" s="17" t="str">
        <f t="shared" si="15"/>
        <v>OK</v>
      </c>
    </row>
    <row r="479" spans="1:22" ht="25.5" x14ac:dyDescent="0.25">
      <c r="A479" s="9">
        <v>475</v>
      </c>
      <c r="B479" s="9" t="s">
        <v>1516</v>
      </c>
      <c r="C479" s="9" t="s">
        <v>1048</v>
      </c>
      <c r="D479" s="10" t="s">
        <v>1517</v>
      </c>
      <c r="E479" s="9" t="s">
        <v>325</v>
      </c>
      <c r="F479" s="9" t="s">
        <v>1067</v>
      </c>
      <c r="G479" s="10" t="s">
        <v>1518</v>
      </c>
      <c r="H479" s="9" t="s">
        <v>1508</v>
      </c>
      <c r="I479" s="11">
        <v>13.994319000000001</v>
      </c>
      <c r="J479" s="11">
        <v>108.112771</v>
      </c>
      <c r="K479" s="9" t="s">
        <v>329</v>
      </c>
      <c r="L479" s="10"/>
      <c r="M479" s="12" t="s">
        <v>51</v>
      </c>
      <c r="N479" s="13" t="s">
        <v>52</v>
      </c>
      <c r="O479" s="14"/>
      <c r="P479" s="14"/>
      <c r="Q479" s="13" t="s">
        <v>53</v>
      </c>
      <c r="R479" s="15" t="s">
        <v>54</v>
      </c>
      <c r="S479" s="13" t="s">
        <v>55</v>
      </c>
      <c r="T479" s="13" t="s">
        <v>1519</v>
      </c>
      <c r="U479" s="16" t="str">
        <f t="shared" si="14"/>
        <v/>
      </c>
      <c r="V479" s="17" t="str">
        <f t="shared" si="15"/>
        <v>OK</v>
      </c>
    </row>
    <row r="480" spans="1:22" ht="25.5" x14ac:dyDescent="0.25">
      <c r="A480" s="9">
        <v>476</v>
      </c>
      <c r="B480" s="9" t="s">
        <v>1520</v>
      </c>
      <c r="C480" s="9" t="s">
        <v>1048</v>
      </c>
      <c r="D480" s="10" t="s">
        <v>1521</v>
      </c>
      <c r="E480" s="9" t="s">
        <v>325</v>
      </c>
      <c r="F480" s="9" t="s">
        <v>1058</v>
      </c>
      <c r="G480" s="10" t="s">
        <v>1522</v>
      </c>
      <c r="H480" s="9" t="s">
        <v>1508</v>
      </c>
      <c r="I480" s="11">
        <v>13.995150000000001</v>
      </c>
      <c r="J480" s="11">
        <v>108.114456</v>
      </c>
      <c r="K480" s="9" t="s">
        <v>329</v>
      </c>
      <c r="L480" s="10"/>
      <c r="M480" s="12" t="s">
        <v>51</v>
      </c>
      <c r="N480" s="13" t="s">
        <v>52</v>
      </c>
      <c r="O480" s="14"/>
      <c r="P480" s="14"/>
      <c r="Q480" s="13" t="s">
        <v>53</v>
      </c>
      <c r="R480" s="15" t="s">
        <v>54</v>
      </c>
      <c r="S480" s="13" t="s">
        <v>55</v>
      </c>
      <c r="T480" s="13" t="s">
        <v>1523</v>
      </c>
      <c r="U480" s="16" t="str">
        <f t="shared" si="14"/>
        <v/>
      </c>
      <c r="V480" s="17" t="str">
        <f t="shared" si="15"/>
        <v>OK</v>
      </c>
    </row>
    <row r="481" spans="1:22" ht="25.5" x14ac:dyDescent="0.25">
      <c r="A481" s="9">
        <v>477</v>
      </c>
      <c r="B481" s="9" t="s">
        <v>1524</v>
      </c>
      <c r="C481" s="9" t="s">
        <v>1048</v>
      </c>
      <c r="D481" s="10" t="s">
        <v>1525</v>
      </c>
      <c r="E481" s="9" t="s">
        <v>325</v>
      </c>
      <c r="F481" s="9" t="s">
        <v>1050</v>
      </c>
      <c r="G481" s="10" t="s">
        <v>1526</v>
      </c>
      <c r="H481" s="9" t="s">
        <v>839</v>
      </c>
      <c r="I481" s="11">
        <v>14.112173</v>
      </c>
      <c r="J481" s="11">
        <v>109.144049</v>
      </c>
      <c r="K481" s="9" t="s">
        <v>329</v>
      </c>
      <c r="L481" s="10"/>
      <c r="M481" s="12" t="s">
        <v>51</v>
      </c>
      <c r="N481" s="13" t="s">
        <v>69</v>
      </c>
      <c r="O481" s="14"/>
      <c r="P481" s="14"/>
      <c r="Q481" s="13" t="s">
        <v>70</v>
      </c>
      <c r="R481" s="15" t="s">
        <v>54</v>
      </c>
      <c r="S481" s="13" t="s">
        <v>55</v>
      </c>
      <c r="T481" s="13" t="s">
        <v>343</v>
      </c>
      <c r="U481" s="16" t="str">
        <f t="shared" si="14"/>
        <v/>
      </c>
      <c r="V481" s="17" t="str">
        <f t="shared" si="15"/>
        <v>OK</v>
      </c>
    </row>
    <row r="482" spans="1:22" ht="25.5" x14ac:dyDescent="0.25">
      <c r="A482" s="9">
        <v>478</v>
      </c>
      <c r="B482" s="9" t="s">
        <v>1527</v>
      </c>
      <c r="C482" s="9" t="s">
        <v>1048</v>
      </c>
      <c r="D482" s="10" t="s">
        <v>1528</v>
      </c>
      <c r="E482" s="9" t="s">
        <v>325</v>
      </c>
      <c r="F482" s="9" t="s">
        <v>1050</v>
      </c>
      <c r="G482" s="10" t="s">
        <v>1529</v>
      </c>
      <c r="H482" s="9" t="s">
        <v>217</v>
      </c>
      <c r="I482" s="11">
        <v>13.80965</v>
      </c>
      <c r="J482" s="11">
        <v>107.70296500000001</v>
      </c>
      <c r="K482" s="9" t="s">
        <v>329</v>
      </c>
      <c r="L482" s="10"/>
      <c r="M482" s="12" t="s">
        <v>51</v>
      </c>
      <c r="N482" s="13" t="s">
        <v>52</v>
      </c>
      <c r="O482" s="14"/>
      <c r="P482" s="14"/>
      <c r="Q482" s="13" t="s">
        <v>53</v>
      </c>
      <c r="R482" s="15" t="s">
        <v>54</v>
      </c>
      <c r="S482" s="13" t="s">
        <v>55</v>
      </c>
      <c r="T482" s="13" t="s">
        <v>1530</v>
      </c>
      <c r="U482" s="16" t="str">
        <f t="shared" si="14"/>
        <v/>
      </c>
      <c r="V482" s="17" t="str">
        <f t="shared" si="15"/>
        <v>OK</v>
      </c>
    </row>
    <row r="483" spans="1:22" ht="25.5" x14ac:dyDescent="0.25">
      <c r="A483" s="9">
        <v>479</v>
      </c>
      <c r="B483" s="9" t="s">
        <v>1531</v>
      </c>
      <c r="C483" s="9" t="s">
        <v>1048</v>
      </c>
      <c r="D483" s="10" t="s">
        <v>1528</v>
      </c>
      <c r="E483" s="9" t="s">
        <v>325</v>
      </c>
      <c r="F483" s="9" t="s">
        <v>1050</v>
      </c>
      <c r="G483" s="10" t="s">
        <v>1529</v>
      </c>
      <c r="H483" s="9" t="s">
        <v>217</v>
      </c>
      <c r="I483" s="11">
        <v>13.80965</v>
      </c>
      <c r="J483" s="11">
        <v>107.70296500000001</v>
      </c>
      <c r="K483" s="9" t="s">
        <v>329</v>
      </c>
      <c r="L483" s="10"/>
      <c r="M483" s="12" t="s">
        <v>51</v>
      </c>
      <c r="N483" s="13" t="s">
        <v>52</v>
      </c>
      <c r="O483" s="14"/>
      <c r="P483" s="14"/>
      <c r="Q483" s="13" t="s">
        <v>53</v>
      </c>
      <c r="R483" s="15" t="s">
        <v>54</v>
      </c>
      <c r="S483" s="13" t="s">
        <v>55</v>
      </c>
      <c r="T483" s="13" t="s">
        <v>1530</v>
      </c>
      <c r="U483" s="16" t="str">
        <f t="shared" si="14"/>
        <v/>
      </c>
      <c r="V483" s="17" t="str">
        <f t="shared" si="15"/>
        <v>OK</v>
      </c>
    </row>
    <row r="484" spans="1:22" ht="25.5" x14ac:dyDescent="0.25">
      <c r="A484" s="9">
        <v>480</v>
      </c>
      <c r="B484" s="9" t="s">
        <v>1532</v>
      </c>
      <c r="C484" s="9" t="s">
        <v>1048</v>
      </c>
      <c r="D484" s="10" t="s">
        <v>1533</v>
      </c>
      <c r="E484" s="9" t="s">
        <v>325</v>
      </c>
      <c r="F484" s="9" t="s">
        <v>1050</v>
      </c>
      <c r="G484" s="10" t="s">
        <v>1534</v>
      </c>
      <c r="H484" s="9" t="s">
        <v>217</v>
      </c>
      <c r="I484" s="11">
        <v>13.799806</v>
      </c>
      <c r="J484" s="11">
        <v>107.693319</v>
      </c>
      <c r="K484" s="9" t="s">
        <v>329</v>
      </c>
      <c r="L484" s="10"/>
      <c r="M484" s="12" t="s">
        <v>51</v>
      </c>
      <c r="N484" s="13" t="s">
        <v>52</v>
      </c>
      <c r="O484" s="14"/>
      <c r="P484" s="14"/>
      <c r="Q484" s="13" t="s">
        <v>53</v>
      </c>
      <c r="R484" s="15" t="s">
        <v>54</v>
      </c>
      <c r="S484" s="13" t="s">
        <v>55</v>
      </c>
      <c r="T484" s="13" t="s">
        <v>1535</v>
      </c>
      <c r="U484" s="16" t="str">
        <f t="shared" si="14"/>
        <v/>
      </c>
      <c r="V484" s="17" t="str">
        <f t="shared" si="15"/>
        <v>OK</v>
      </c>
    </row>
    <row r="485" spans="1:22" ht="25.5" x14ac:dyDescent="0.25">
      <c r="A485" s="9">
        <v>481</v>
      </c>
      <c r="B485" s="9" t="s">
        <v>1536</v>
      </c>
      <c r="C485" s="9" t="s">
        <v>1048</v>
      </c>
      <c r="D485" s="10" t="s">
        <v>1537</v>
      </c>
      <c r="E485" s="9" t="s">
        <v>325</v>
      </c>
      <c r="F485" s="9" t="s">
        <v>1067</v>
      </c>
      <c r="G485" s="10" t="s">
        <v>1538</v>
      </c>
      <c r="H485" s="9" t="s">
        <v>217</v>
      </c>
      <c r="I485" s="11">
        <v>13.800253</v>
      </c>
      <c r="J485" s="11">
        <v>107.689215</v>
      </c>
      <c r="K485" s="9" t="s">
        <v>329</v>
      </c>
      <c r="L485" s="10"/>
      <c r="M485" s="12" t="s">
        <v>51</v>
      </c>
      <c r="N485" s="13" t="s">
        <v>52</v>
      </c>
      <c r="O485" s="14"/>
      <c r="P485" s="14"/>
      <c r="Q485" s="13" t="s">
        <v>53</v>
      </c>
      <c r="R485" s="15" t="s">
        <v>54</v>
      </c>
      <c r="S485" s="13" t="s">
        <v>55</v>
      </c>
      <c r="T485" s="13" t="s">
        <v>1539</v>
      </c>
      <c r="U485" s="16" t="str">
        <f t="shared" si="14"/>
        <v/>
      </c>
      <c r="V485" s="17" t="str">
        <f t="shared" si="15"/>
        <v>OK</v>
      </c>
    </row>
    <row r="486" spans="1:22" ht="25.5" x14ac:dyDescent="0.25">
      <c r="A486" s="9">
        <v>482</v>
      </c>
      <c r="B486" s="9" t="s">
        <v>1540</v>
      </c>
      <c r="C486" s="9" t="s">
        <v>1048</v>
      </c>
      <c r="D486" s="10" t="s">
        <v>1541</v>
      </c>
      <c r="E486" s="9" t="s">
        <v>86</v>
      </c>
      <c r="F486" s="9" t="s">
        <v>46</v>
      </c>
      <c r="G486" s="10" t="s">
        <v>1542</v>
      </c>
      <c r="H486" s="9" t="s">
        <v>88</v>
      </c>
      <c r="I486" s="11">
        <v>13.978982</v>
      </c>
      <c r="J486" s="11">
        <v>107.996099</v>
      </c>
      <c r="K486" s="9" t="s">
        <v>329</v>
      </c>
      <c r="L486" s="10"/>
      <c r="M486" s="12" t="s">
        <v>51</v>
      </c>
      <c r="N486" s="13" t="s">
        <v>62</v>
      </c>
      <c r="O486" s="14">
        <v>13.978669</v>
      </c>
      <c r="P486" s="14">
        <v>107.996324</v>
      </c>
      <c r="Q486" s="13" t="s">
        <v>53</v>
      </c>
      <c r="R486" s="15" t="s">
        <v>54</v>
      </c>
      <c r="S486" s="13" t="s">
        <v>55</v>
      </c>
      <c r="T486" s="13" t="s">
        <v>1543</v>
      </c>
      <c r="U486" s="16">
        <f t="shared" si="14"/>
        <v>42</v>
      </c>
      <c r="V486" s="17" t="str">
        <f t="shared" si="15"/>
        <v>OK</v>
      </c>
    </row>
    <row r="487" spans="1:22" ht="25.5" x14ac:dyDescent="0.25">
      <c r="A487" s="9">
        <v>483</v>
      </c>
      <c r="B487" s="9" t="s">
        <v>1544</v>
      </c>
      <c r="C487" s="9" t="s">
        <v>1048</v>
      </c>
      <c r="D487" s="10" t="s">
        <v>1545</v>
      </c>
      <c r="E487" s="9" t="s">
        <v>86</v>
      </c>
      <c r="F487" s="9" t="s">
        <v>46</v>
      </c>
      <c r="G487" s="10" t="s">
        <v>1546</v>
      </c>
      <c r="H487" s="9" t="s">
        <v>157</v>
      </c>
      <c r="I487" s="11">
        <v>13.691336</v>
      </c>
      <c r="J487" s="11">
        <v>108.077834</v>
      </c>
      <c r="K487" s="9" t="s">
        <v>329</v>
      </c>
      <c r="L487" s="10"/>
      <c r="M487" s="12" t="s">
        <v>51</v>
      </c>
      <c r="N487" s="13" t="s">
        <v>52</v>
      </c>
      <c r="O487" s="14"/>
      <c r="P487" s="14"/>
      <c r="Q487" s="13" t="s">
        <v>53</v>
      </c>
      <c r="R487" s="15" t="s">
        <v>54</v>
      </c>
      <c r="S487" s="13" t="s">
        <v>55</v>
      </c>
      <c r="T487" s="13" t="s">
        <v>1547</v>
      </c>
      <c r="U487" s="16" t="str">
        <f t="shared" si="14"/>
        <v/>
      </c>
      <c r="V487" s="17" t="str">
        <f t="shared" si="15"/>
        <v>OK</v>
      </c>
    </row>
    <row r="488" spans="1:22" ht="25.5" x14ac:dyDescent="0.25">
      <c r="A488" s="9">
        <v>484</v>
      </c>
      <c r="B488" s="9" t="s">
        <v>1548</v>
      </c>
      <c r="C488" s="9" t="s">
        <v>1048</v>
      </c>
      <c r="D488" s="10" t="s">
        <v>1549</v>
      </c>
      <c r="E488" s="9" t="s">
        <v>86</v>
      </c>
      <c r="F488" s="9" t="s">
        <v>46</v>
      </c>
      <c r="G488" s="10" t="s">
        <v>1550</v>
      </c>
      <c r="H488" s="9" t="s">
        <v>621</v>
      </c>
      <c r="I488" s="11">
        <v>13.962650999999999</v>
      </c>
      <c r="J488" s="11">
        <v>107.840356</v>
      </c>
      <c r="K488" s="9" t="s">
        <v>329</v>
      </c>
      <c r="L488" s="10"/>
      <c r="M488" s="12" t="s">
        <v>51</v>
      </c>
      <c r="N488" s="13" t="s">
        <v>52</v>
      </c>
      <c r="O488" s="14"/>
      <c r="P488" s="14"/>
      <c r="Q488" s="13" t="s">
        <v>53</v>
      </c>
      <c r="R488" s="15" t="s">
        <v>54</v>
      </c>
      <c r="S488" s="13" t="s">
        <v>55</v>
      </c>
      <c r="T488" s="13" t="s">
        <v>1551</v>
      </c>
      <c r="U488" s="16" t="str">
        <f t="shared" si="14"/>
        <v/>
      </c>
      <c r="V488" s="17" t="str">
        <f t="shared" si="15"/>
        <v>OK</v>
      </c>
    </row>
    <row r="489" spans="1:22" ht="38.25" x14ac:dyDescent="0.25">
      <c r="A489" s="9">
        <v>485</v>
      </c>
      <c r="B489" s="9" t="s">
        <v>1552</v>
      </c>
      <c r="C489" s="9" t="s">
        <v>1048</v>
      </c>
      <c r="D489" s="10" t="s">
        <v>1553</v>
      </c>
      <c r="E489" s="9" t="s">
        <v>45</v>
      </c>
      <c r="F489" s="9" t="s">
        <v>46</v>
      </c>
      <c r="G489" s="10" t="s">
        <v>1554</v>
      </c>
      <c r="H489" s="9" t="s">
        <v>60</v>
      </c>
      <c r="I489" s="11">
        <v>13.968952</v>
      </c>
      <c r="J489" s="11">
        <v>107.99766099999999</v>
      </c>
      <c r="K489" s="9" t="s">
        <v>329</v>
      </c>
      <c r="L489" s="10"/>
      <c r="M489" s="12" t="s">
        <v>51</v>
      </c>
      <c r="N489" s="13" t="s">
        <v>62</v>
      </c>
      <c r="O489" s="14">
        <v>13.969868999999999</v>
      </c>
      <c r="P489" s="14">
        <v>107.999404</v>
      </c>
      <c r="Q489" s="13" t="s">
        <v>53</v>
      </c>
      <c r="R489" s="15" t="s">
        <v>54</v>
      </c>
      <c r="S489" s="13" t="s">
        <v>55</v>
      </c>
      <c r="T489" s="13" t="s">
        <v>1555</v>
      </c>
      <c r="U489" s="16">
        <f t="shared" si="14"/>
        <v>214</v>
      </c>
      <c r="V489" s="17" t="str">
        <f t="shared" si="15"/>
        <v>OK</v>
      </c>
    </row>
    <row r="490" spans="1:22" ht="25.5" x14ac:dyDescent="0.25">
      <c r="A490" s="9">
        <v>486</v>
      </c>
      <c r="B490" s="9" t="s">
        <v>1556</v>
      </c>
      <c r="C490" s="9" t="s">
        <v>1048</v>
      </c>
      <c r="D490" s="10" t="s">
        <v>1557</v>
      </c>
      <c r="E490" s="9" t="s">
        <v>169</v>
      </c>
      <c r="F490" s="9" t="s">
        <v>46</v>
      </c>
      <c r="G490" s="10" t="s">
        <v>1558</v>
      </c>
      <c r="H490" s="9" t="s">
        <v>88</v>
      </c>
      <c r="I490" s="11">
        <v>13.969587000000001</v>
      </c>
      <c r="J490" s="11">
        <v>107.996284</v>
      </c>
      <c r="K490" s="9" t="s">
        <v>329</v>
      </c>
      <c r="L490" s="10"/>
      <c r="M490" s="12" t="s">
        <v>51</v>
      </c>
      <c r="N490" s="13" t="s">
        <v>52</v>
      </c>
      <c r="O490" s="14"/>
      <c r="P490" s="14"/>
      <c r="Q490" s="13" t="s">
        <v>53</v>
      </c>
      <c r="R490" s="15" t="s">
        <v>54</v>
      </c>
      <c r="S490" s="13" t="s">
        <v>55</v>
      </c>
      <c r="T490" s="13" t="s">
        <v>1559</v>
      </c>
      <c r="U490" s="16" t="str">
        <f t="shared" si="14"/>
        <v/>
      </c>
      <c r="V490" s="17" t="str">
        <f t="shared" si="15"/>
        <v>OK</v>
      </c>
    </row>
    <row r="491" spans="1:22" ht="38.25" x14ac:dyDescent="0.25">
      <c r="A491" s="9">
        <v>487</v>
      </c>
      <c r="B491" s="9" t="s">
        <v>1560</v>
      </c>
      <c r="C491" s="9" t="s">
        <v>1048</v>
      </c>
      <c r="D491" s="10" t="s">
        <v>1561</v>
      </c>
      <c r="E491" s="9" t="s">
        <v>954</v>
      </c>
      <c r="F491" s="9" t="s">
        <v>1058</v>
      </c>
      <c r="G491" s="10" t="s">
        <v>1562</v>
      </c>
      <c r="H491" s="9" t="s">
        <v>181</v>
      </c>
      <c r="I491" s="11">
        <v>13.952124</v>
      </c>
      <c r="J491" s="11">
        <v>108.657912</v>
      </c>
      <c r="K491" s="9" t="s">
        <v>329</v>
      </c>
      <c r="L491" s="10"/>
      <c r="M491" s="12" t="s">
        <v>51</v>
      </c>
      <c r="N491" s="13" t="s">
        <v>52</v>
      </c>
      <c r="O491" s="14"/>
      <c r="P491" s="14"/>
      <c r="Q491" s="13" t="s">
        <v>53</v>
      </c>
      <c r="R491" s="15" t="s">
        <v>54</v>
      </c>
      <c r="S491" s="13" t="s">
        <v>55</v>
      </c>
      <c r="T491" s="13" t="s">
        <v>1563</v>
      </c>
      <c r="U491" s="16" t="str">
        <f t="shared" si="14"/>
        <v/>
      </c>
      <c r="V491" s="17" t="str">
        <f t="shared" si="15"/>
        <v>OK</v>
      </c>
    </row>
    <row r="492" spans="1:22" ht="38.25" x14ac:dyDescent="0.25">
      <c r="A492" s="9">
        <v>488</v>
      </c>
      <c r="B492" s="9" t="s">
        <v>1564</v>
      </c>
      <c r="C492" s="9" t="s">
        <v>1048</v>
      </c>
      <c r="D492" s="10" t="s">
        <v>1565</v>
      </c>
      <c r="E492" s="9" t="s">
        <v>954</v>
      </c>
      <c r="F492" s="9" t="s">
        <v>1067</v>
      </c>
      <c r="G492" s="10" t="s">
        <v>1566</v>
      </c>
      <c r="H492" s="9" t="s">
        <v>181</v>
      </c>
      <c r="I492" s="11">
        <v>13.953329</v>
      </c>
      <c r="J492" s="11">
        <v>108.658874</v>
      </c>
      <c r="K492" s="9" t="s">
        <v>329</v>
      </c>
      <c r="L492" s="10"/>
      <c r="M492" s="12" t="s">
        <v>51</v>
      </c>
      <c r="N492" s="13" t="s">
        <v>52</v>
      </c>
      <c r="O492" s="14"/>
      <c r="P492" s="14"/>
      <c r="Q492" s="13" t="s">
        <v>53</v>
      </c>
      <c r="R492" s="15" t="s">
        <v>54</v>
      </c>
      <c r="S492" s="13" t="s">
        <v>55</v>
      </c>
      <c r="T492" s="13" t="s">
        <v>1567</v>
      </c>
      <c r="U492" s="16" t="str">
        <f t="shared" si="14"/>
        <v/>
      </c>
      <c r="V492" s="17" t="str">
        <f t="shared" si="15"/>
        <v>OK</v>
      </c>
    </row>
    <row r="493" spans="1:22" ht="51" x14ac:dyDescent="0.25">
      <c r="A493" s="9">
        <v>489</v>
      </c>
      <c r="B493" s="9" t="s">
        <v>1568</v>
      </c>
      <c r="C493" s="9" t="s">
        <v>1048</v>
      </c>
      <c r="D493" s="10" t="s">
        <v>1569</v>
      </c>
      <c r="E493" s="9" t="s">
        <v>954</v>
      </c>
      <c r="F493" s="9" t="s">
        <v>1050</v>
      </c>
      <c r="G493" s="10" t="s">
        <v>1570</v>
      </c>
      <c r="H493" s="9" t="s">
        <v>1571</v>
      </c>
      <c r="I493" s="11">
        <v>13.924588</v>
      </c>
      <c r="J493" s="11">
        <v>109.08907600000001</v>
      </c>
      <c r="K493" s="9" t="s">
        <v>329</v>
      </c>
      <c r="L493" s="10"/>
      <c r="M493" s="12" t="s">
        <v>51</v>
      </c>
      <c r="N493" s="13" t="s">
        <v>69</v>
      </c>
      <c r="O493" s="14"/>
      <c r="P493" s="14"/>
      <c r="Q493" s="13" t="s">
        <v>70</v>
      </c>
      <c r="R493" s="15" t="s">
        <v>54</v>
      </c>
      <c r="S493" s="13" t="s">
        <v>55</v>
      </c>
      <c r="T493" s="13" t="s">
        <v>361</v>
      </c>
      <c r="U493" s="16" t="str">
        <f t="shared" si="14"/>
        <v/>
      </c>
      <c r="V493" s="17" t="str">
        <f t="shared" si="15"/>
        <v>OK</v>
      </c>
    </row>
    <row r="494" spans="1:22" ht="38.25" x14ac:dyDescent="0.25">
      <c r="A494" s="9">
        <v>490</v>
      </c>
      <c r="B494" s="9" t="s">
        <v>1572</v>
      </c>
      <c r="C494" s="9" t="s">
        <v>1048</v>
      </c>
      <c r="D494" s="10" t="s">
        <v>1573</v>
      </c>
      <c r="E494" s="9" t="s">
        <v>954</v>
      </c>
      <c r="F494" s="9" t="s">
        <v>1058</v>
      </c>
      <c r="G494" s="10" t="s">
        <v>1574</v>
      </c>
      <c r="H494" s="9" t="s">
        <v>377</v>
      </c>
      <c r="I494" s="11">
        <v>13.888667999999999</v>
      </c>
      <c r="J494" s="11">
        <v>109.117616</v>
      </c>
      <c r="K494" s="9" t="s">
        <v>329</v>
      </c>
      <c r="L494" s="10"/>
      <c r="M494" s="12" t="s">
        <v>51</v>
      </c>
      <c r="N494" s="13" t="s">
        <v>69</v>
      </c>
      <c r="O494" s="14"/>
      <c r="P494" s="14"/>
      <c r="Q494" s="13" t="s">
        <v>70</v>
      </c>
      <c r="R494" s="15" t="s">
        <v>54</v>
      </c>
      <c r="S494" s="13" t="s">
        <v>55</v>
      </c>
      <c r="T494" s="13" t="s">
        <v>361</v>
      </c>
      <c r="U494" s="16" t="str">
        <f t="shared" si="14"/>
        <v/>
      </c>
      <c r="V494" s="17" t="str">
        <f t="shared" si="15"/>
        <v>OK</v>
      </c>
    </row>
    <row r="495" spans="1:22" ht="38.25" x14ac:dyDescent="0.25">
      <c r="A495" s="9">
        <v>491</v>
      </c>
      <c r="B495" s="9" t="s">
        <v>1575</v>
      </c>
      <c r="C495" s="9" t="s">
        <v>1048</v>
      </c>
      <c r="D495" s="10" t="s">
        <v>1576</v>
      </c>
      <c r="E495" s="9" t="s">
        <v>954</v>
      </c>
      <c r="F495" s="9" t="s">
        <v>1067</v>
      </c>
      <c r="G495" s="10" t="s">
        <v>1577</v>
      </c>
      <c r="H495" s="9" t="s">
        <v>377</v>
      </c>
      <c r="I495" s="11">
        <v>13.888947</v>
      </c>
      <c r="J495" s="11">
        <v>109.114903</v>
      </c>
      <c r="K495" s="9" t="s">
        <v>329</v>
      </c>
      <c r="L495" s="10"/>
      <c r="M495" s="12" t="s">
        <v>51</v>
      </c>
      <c r="N495" s="13" t="s">
        <v>69</v>
      </c>
      <c r="O495" s="14"/>
      <c r="P495" s="14"/>
      <c r="Q495" s="13" t="s">
        <v>70</v>
      </c>
      <c r="R495" s="15" t="s">
        <v>54</v>
      </c>
      <c r="S495" s="13" t="s">
        <v>55</v>
      </c>
      <c r="T495" s="13" t="s">
        <v>330</v>
      </c>
      <c r="U495" s="16" t="str">
        <f t="shared" si="14"/>
        <v/>
      </c>
      <c r="V495" s="17" t="str">
        <f t="shared" si="15"/>
        <v>OK</v>
      </c>
    </row>
    <row r="496" spans="1:22" ht="51" x14ac:dyDescent="0.25">
      <c r="A496" s="9">
        <v>492</v>
      </c>
      <c r="B496" s="9" t="s">
        <v>1578</v>
      </c>
      <c r="C496" s="9" t="s">
        <v>1048</v>
      </c>
      <c r="D496" s="10" t="s">
        <v>1579</v>
      </c>
      <c r="E496" s="9" t="s">
        <v>954</v>
      </c>
      <c r="F496" s="9" t="s">
        <v>1058</v>
      </c>
      <c r="G496" s="10" t="s">
        <v>1580</v>
      </c>
      <c r="H496" s="9" t="s">
        <v>382</v>
      </c>
      <c r="I496" s="11">
        <v>14.43669</v>
      </c>
      <c r="J496" s="11">
        <v>109.01812200000001</v>
      </c>
      <c r="K496" s="9" t="s">
        <v>329</v>
      </c>
      <c r="L496" s="10"/>
      <c r="M496" s="12" t="s">
        <v>51</v>
      </c>
      <c r="N496" s="13" t="s">
        <v>69</v>
      </c>
      <c r="O496" s="14"/>
      <c r="P496" s="14"/>
      <c r="Q496" s="13" t="s">
        <v>70</v>
      </c>
      <c r="R496" s="15" t="s">
        <v>54</v>
      </c>
      <c r="S496" s="13" t="s">
        <v>55</v>
      </c>
      <c r="T496" s="13" t="s">
        <v>397</v>
      </c>
      <c r="U496" s="16" t="str">
        <f t="shared" si="14"/>
        <v/>
      </c>
      <c r="V496" s="17" t="str">
        <f t="shared" si="15"/>
        <v>OK</v>
      </c>
    </row>
    <row r="497" spans="1:22" ht="38.25" x14ac:dyDescent="0.25">
      <c r="A497" s="9">
        <v>493</v>
      </c>
      <c r="B497" s="9" t="s">
        <v>1581</v>
      </c>
      <c r="C497" s="9" t="s">
        <v>1048</v>
      </c>
      <c r="D497" s="10" t="s">
        <v>1582</v>
      </c>
      <c r="E497" s="9" t="s">
        <v>954</v>
      </c>
      <c r="F497" s="9" t="s">
        <v>1067</v>
      </c>
      <c r="G497" s="10" t="s">
        <v>1583</v>
      </c>
      <c r="H497" s="9" t="s">
        <v>382</v>
      </c>
      <c r="I497" s="11">
        <v>14.430149999999999</v>
      </c>
      <c r="J497" s="11">
        <v>109.0147</v>
      </c>
      <c r="K497" s="9" t="s">
        <v>329</v>
      </c>
      <c r="L497" s="10"/>
      <c r="M497" s="12" t="s">
        <v>51</v>
      </c>
      <c r="N497" s="13" t="s">
        <v>69</v>
      </c>
      <c r="O497" s="14"/>
      <c r="P497" s="14"/>
      <c r="Q497" s="13" t="s">
        <v>70</v>
      </c>
      <c r="R497" s="15" t="s">
        <v>54</v>
      </c>
      <c r="S497" s="13" t="s">
        <v>55</v>
      </c>
      <c r="T497" s="13" t="s">
        <v>383</v>
      </c>
      <c r="U497" s="16" t="str">
        <f t="shared" si="14"/>
        <v/>
      </c>
      <c r="V497" s="17" t="str">
        <f t="shared" si="15"/>
        <v>OK</v>
      </c>
    </row>
    <row r="498" spans="1:22" ht="38.25" x14ac:dyDescent="0.25">
      <c r="A498" s="9">
        <v>494</v>
      </c>
      <c r="B498" s="9" t="s">
        <v>1584</v>
      </c>
      <c r="C498" s="9" t="s">
        <v>1048</v>
      </c>
      <c r="D498" s="10" t="s">
        <v>1585</v>
      </c>
      <c r="E498" s="9" t="s">
        <v>954</v>
      </c>
      <c r="F498" s="9" t="s">
        <v>1050</v>
      </c>
      <c r="G498" s="10" t="s">
        <v>1586</v>
      </c>
      <c r="H498" s="9" t="s">
        <v>88</v>
      </c>
      <c r="I498" s="11">
        <v>13.979466</v>
      </c>
      <c r="J498" s="11">
        <v>107.993135</v>
      </c>
      <c r="K498" s="9" t="s">
        <v>329</v>
      </c>
      <c r="L498" s="10"/>
      <c r="M498" s="12" t="s">
        <v>51</v>
      </c>
      <c r="N498" s="13" t="s">
        <v>52</v>
      </c>
      <c r="O498" s="14"/>
      <c r="P498" s="14"/>
      <c r="Q498" s="13" t="s">
        <v>53</v>
      </c>
      <c r="R498" s="15" t="s">
        <v>54</v>
      </c>
      <c r="S498" s="13" t="s">
        <v>55</v>
      </c>
      <c r="T498" s="13" t="s">
        <v>1587</v>
      </c>
      <c r="U498" s="16" t="str">
        <f t="shared" si="14"/>
        <v/>
      </c>
      <c r="V498" s="17" t="str">
        <f t="shared" si="15"/>
        <v>OK</v>
      </c>
    </row>
    <row r="499" spans="1:22" ht="38.25" x14ac:dyDescent="0.25">
      <c r="A499" s="9">
        <v>495</v>
      </c>
      <c r="B499" s="9" t="s">
        <v>1588</v>
      </c>
      <c r="C499" s="9" t="s">
        <v>1048</v>
      </c>
      <c r="D499" s="10" t="s">
        <v>1589</v>
      </c>
      <c r="E499" s="9" t="s">
        <v>954</v>
      </c>
      <c r="F499" s="9" t="s">
        <v>1067</v>
      </c>
      <c r="G499" s="10" t="s">
        <v>1590</v>
      </c>
      <c r="H499" s="9" t="s">
        <v>88</v>
      </c>
      <c r="I499" s="11">
        <v>13.979939999999999</v>
      </c>
      <c r="J499" s="11">
        <v>107.99347</v>
      </c>
      <c r="K499" s="9" t="s">
        <v>329</v>
      </c>
      <c r="L499" s="10"/>
      <c r="M499" s="12" t="s">
        <v>51</v>
      </c>
      <c r="N499" s="13" t="s">
        <v>52</v>
      </c>
      <c r="O499" s="14"/>
      <c r="P499" s="14"/>
      <c r="Q499" s="13" t="s">
        <v>53</v>
      </c>
      <c r="R499" s="15" t="s">
        <v>54</v>
      </c>
      <c r="S499" s="13" t="s">
        <v>55</v>
      </c>
      <c r="T499" s="13" t="s">
        <v>1591</v>
      </c>
      <c r="U499" s="16" t="str">
        <f t="shared" si="14"/>
        <v/>
      </c>
      <c r="V499" s="17" t="str">
        <f t="shared" si="15"/>
        <v>OK</v>
      </c>
    </row>
    <row r="500" spans="1:22" ht="38.25" x14ac:dyDescent="0.25">
      <c r="A500" s="9">
        <v>496</v>
      </c>
      <c r="B500" s="9" t="s">
        <v>1592</v>
      </c>
      <c r="C500" s="9" t="s">
        <v>1048</v>
      </c>
      <c r="D500" s="10" t="s">
        <v>1593</v>
      </c>
      <c r="E500" s="9" t="s">
        <v>954</v>
      </c>
      <c r="F500" s="9" t="s">
        <v>1067</v>
      </c>
      <c r="G500" s="10" t="s">
        <v>1594</v>
      </c>
      <c r="H500" s="9" t="s">
        <v>88</v>
      </c>
      <c r="I500" s="11">
        <v>13.979939999999999</v>
      </c>
      <c r="J500" s="11">
        <v>107.99347</v>
      </c>
      <c r="K500" s="9" t="s">
        <v>329</v>
      </c>
      <c r="L500" s="10"/>
      <c r="M500" s="12" t="s">
        <v>51</v>
      </c>
      <c r="N500" s="13" t="s">
        <v>52</v>
      </c>
      <c r="O500" s="14"/>
      <c r="P500" s="14"/>
      <c r="Q500" s="13" t="s">
        <v>53</v>
      </c>
      <c r="R500" s="15" t="s">
        <v>54</v>
      </c>
      <c r="S500" s="13" t="s">
        <v>55</v>
      </c>
      <c r="T500" s="13" t="s">
        <v>1595</v>
      </c>
      <c r="U500" s="16" t="str">
        <f t="shared" si="14"/>
        <v/>
      </c>
      <c r="V500" s="17" t="str">
        <f t="shared" si="15"/>
        <v>OK</v>
      </c>
    </row>
    <row r="501" spans="1:22" ht="38.25" x14ac:dyDescent="0.25">
      <c r="A501" s="9">
        <v>497</v>
      </c>
      <c r="B501" s="9" t="s">
        <v>1596</v>
      </c>
      <c r="C501" s="9" t="s">
        <v>1048</v>
      </c>
      <c r="D501" s="10" t="s">
        <v>1597</v>
      </c>
      <c r="E501" s="9" t="s">
        <v>954</v>
      </c>
      <c r="F501" s="9" t="s">
        <v>1058</v>
      </c>
      <c r="G501" s="10" t="s">
        <v>1598</v>
      </c>
      <c r="H501" s="9" t="s">
        <v>60</v>
      </c>
      <c r="I501" s="11">
        <v>13.977683000000001</v>
      </c>
      <c r="J501" s="11">
        <v>107.9995</v>
      </c>
      <c r="K501" s="9" t="s">
        <v>329</v>
      </c>
      <c r="L501" s="10"/>
      <c r="M501" s="12" t="s">
        <v>51</v>
      </c>
      <c r="N501" s="13" t="s">
        <v>69</v>
      </c>
      <c r="O501" s="14"/>
      <c r="P501" s="14"/>
      <c r="Q501" s="13" t="s">
        <v>70</v>
      </c>
      <c r="R501" s="15" t="s">
        <v>54</v>
      </c>
      <c r="S501" s="13" t="s">
        <v>55</v>
      </c>
      <c r="T501" s="13" t="s">
        <v>813</v>
      </c>
      <c r="U501" s="16" t="str">
        <f t="shared" si="14"/>
        <v/>
      </c>
      <c r="V501" s="17" t="str">
        <f t="shared" si="15"/>
        <v>OK</v>
      </c>
    </row>
    <row r="502" spans="1:22" ht="38.25" x14ac:dyDescent="0.25">
      <c r="A502" s="9">
        <v>498</v>
      </c>
      <c r="B502" s="9" t="s">
        <v>1599</v>
      </c>
      <c r="C502" s="9" t="s">
        <v>1048</v>
      </c>
      <c r="D502" s="10" t="s">
        <v>1600</v>
      </c>
      <c r="E502" s="9" t="s">
        <v>954</v>
      </c>
      <c r="F502" s="9" t="s">
        <v>1058</v>
      </c>
      <c r="G502" s="10" t="s">
        <v>1601</v>
      </c>
      <c r="H502" s="9" t="s">
        <v>60</v>
      </c>
      <c r="I502" s="11">
        <v>13.978745</v>
      </c>
      <c r="J502" s="11">
        <v>108.01248699999999</v>
      </c>
      <c r="K502" s="9" t="s">
        <v>329</v>
      </c>
      <c r="L502" s="10"/>
      <c r="M502" s="12" t="s">
        <v>51</v>
      </c>
      <c r="N502" s="13" t="s">
        <v>52</v>
      </c>
      <c r="O502" s="14"/>
      <c r="P502" s="14"/>
      <c r="Q502" s="13" t="s">
        <v>53</v>
      </c>
      <c r="R502" s="15" t="s">
        <v>54</v>
      </c>
      <c r="S502" s="13" t="s">
        <v>55</v>
      </c>
      <c r="T502" s="13" t="s">
        <v>1602</v>
      </c>
      <c r="U502" s="16" t="str">
        <f t="shared" si="14"/>
        <v/>
      </c>
      <c r="V502" s="17" t="str">
        <f t="shared" si="15"/>
        <v>OK</v>
      </c>
    </row>
    <row r="503" spans="1:22" ht="38.25" x14ac:dyDescent="0.25">
      <c r="A503" s="9">
        <v>499</v>
      </c>
      <c r="B503" s="9" t="s">
        <v>1603</v>
      </c>
      <c r="C503" s="9" t="s">
        <v>1048</v>
      </c>
      <c r="D503" s="10" t="s">
        <v>1604</v>
      </c>
      <c r="E503" s="9" t="s">
        <v>954</v>
      </c>
      <c r="F503" s="9" t="s">
        <v>1067</v>
      </c>
      <c r="G503" s="10" t="s">
        <v>1605</v>
      </c>
      <c r="H503" s="9" t="s">
        <v>60</v>
      </c>
      <c r="I503" s="11">
        <v>13.98213</v>
      </c>
      <c r="J503" s="11">
        <v>108.009505</v>
      </c>
      <c r="K503" s="9" t="s">
        <v>329</v>
      </c>
      <c r="L503" s="10"/>
      <c r="M503" s="12" t="s">
        <v>51</v>
      </c>
      <c r="N503" s="13" t="s">
        <v>52</v>
      </c>
      <c r="O503" s="14"/>
      <c r="P503" s="14"/>
      <c r="Q503" s="13" t="s">
        <v>53</v>
      </c>
      <c r="R503" s="15" t="s">
        <v>54</v>
      </c>
      <c r="S503" s="13" t="s">
        <v>55</v>
      </c>
      <c r="T503" s="13" t="s">
        <v>1606</v>
      </c>
      <c r="U503" s="16" t="str">
        <f t="shared" si="14"/>
        <v/>
      </c>
      <c r="V503" s="17" t="str">
        <f t="shared" si="15"/>
        <v>OK</v>
      </c>
    </row>
    <row r="504" spans="1:22" ht="38.25" x14ac:dyDescent="0.25">
      <c r="A504" s="9">
        <v>500</v>
      </c>
      <c r="B504" s="9" t="s">
        <v>1607</v>
      </c>
      <c r="C504" s="9" t="s">
        <v>1048</v>
      </c>
      <c r="D504" s="10" t="s">
        <v>1608</v>
      </c>
      <c r="E504" s="9" t="s">
        <v>954</v>
      </c>
      <c r="F504" s="9" t="s">
        <v>1067</v>
      </c>
      <c r="G504" s="10" t="s">
        <v>1609</v>
      </c>
      <c r="H504" s="9" t="s">
        <v>60</v>
      </c>
      <c r="I504" s="11">
        <v>13.977135000000001</v>
      </c>
      <c r="J504" s="11">
        <v>108.00343100000001</v>
      </c>
      <c r="K504" s="9" t="s">
        <v>329</v>
      </c>
      <c r="L504" s="10"/>
      <c r="M504" s="12" t="s">
        <v>51</v>
      </c>
      <c r="N504" s="13" t="s">
        <v>52</v>
      </c>
      <c r="O504" s="14"/>
      <c r="P504" s="14"/>
      <c r="Q504" s="13" t="s">
        <v>53</v>
      </c>
      <c r="R504" s="15" t="s">
        <v>54</v>
      </c>
      <c r="S504" s="13" t="s">
        <v>55</v>
      </c>
      <c r="T504" s="13" t="s">
        <v>1610</v>
      </c>
      <c r="U504" s="16" t="str">
        <f t="shared" si="14"/>
        <v/>
      </c>
      <c r="V504" s="17" t="str">
        <f t="shared" si="15"/>
        <v>OK</v>
      </c>
    </row>
    <row r="505" spans="1:22" ht="38.25" x14ac:dyDescent="0.25">
      <c r="A505" s="9">
        <v>501</v>
      </c>
      <c r="B505" s="9" t="s">
        <v>1611</v>
      </c>
      <c r="C505" s="9" t="s">
        <v>1048</v>
      </c>
      <c r="D505" s="10" t="s">
        <v>1612</v>
      </c>
      <c r="E505" s="9" t="s">
        <v>954</v>
      </c>
      <c r="F505" s="9" t="s">
        <v>1067</v>
      </c>
      <c r="G505" s="10" t="s">
        <v>1613</v>
      </c>
      <c r="H505" s="9" t="s">
        <v>328</v>
      </c>
      <c r="I505" s="11">
        <v>13.775999000000001</v>
      </c>
      <c r="J505" s="11">
        <v>109.232429</v>
      </c>
      <c r="K505" s="9" t="s">
        <v>329</v>
      </c>
      <c r="L505" s="10"/>
      <c r="M505" s="12" t="s">
        <v>51</v>
      </c>
      <c r="N505" s="13" t="s">
        <v>69</v>
      </c>
      <c r="O505" s="14"/>
      <c r="P505" s="14"/>
      <c r="Q505" s="13" t="s">
        <v>70</v>
      </c>
      <c r="R505" s="15" t="s">
        <v>54</v>
      </c>
      <c r="S505" s="13" t="s">
        <v>55</v>
      </c>
      <c r="T505" s="13" t="s">
        <v>330</v>
      </c>
      <c r="U505" s="16" t="str">
        <f t="shared" si="14"/>
        <v/>
      </c>
      <c r="V505" s="17" t="str">
        <f t="shared" si="15"/>
        <v>OK</v>
      </c>
    </row>
    <row r="506" spans="1:22" ht="38.25" x14ac:dyDescent="0.25">
      <c r="A506" s="9">
        <v>502</v>
      </c>
      <c r="B506" s="9" t="s">
        <v>1614</v>
      </c>
      <c r="C506" s="9" t="s">
        <v>1048</v>
      </c>
      <c r="D506" s="10" t="s">
        <v>1615</v>
      </c>
      <c r="E506" s="9" t="s">
        <v>954</v>
      </c>
      <c r="F506" s="9" t="s">
        <v>1067</v>
      </c>
      <c r="G506" s="10" t="s">
        <v>1616</v>
      </c>
      <c r="H506" s="9" t="s">
        <v>328</v>
      </c>
      <c r="I506" s="11">
        <v>13.781314</v>
      </c>
      <c r="J506" s="11">
        <v>109.21972</v>
      </c>
      <c r="K506" s="9" t="s">
        <v>329</v>
      </c>
      <c r="L506" s="10"/>
      <c r="M506" s="12" t="s">
        <v>51</v>
      </c>
      <c r="N506" s="13" t="s">
        <v>69</v>
      </c>
      <c r="O506" s="14"/>
      <c r="P506" s="14"/>
      <c r="Q506" s="13" t="s">
        <v>70</v>
      </c>
      <c r="R506" s="15" t="s">
        <v>54</v>
      </c>
      <c r="S506" s="13" t="s">
        <v>55</v>
      </c>
      <c r="T506" s="13" t="s">
        <v>330</v>
      </c>
      <c r="U506" s="16" t="str">
        <f t="shared" si="14"/>
        <v/>
      </c>
      <c r="V506" s="17" t="str">
        <f t="shared" si="15"/>
        <v>OK</v>
      </c>
    </row>
    <row r="507" spans="1:22" ht="38.25" x14ac:dyDescent="0.25">
      <c r="A507" s="9">
        <v>503</v>
      </c>
      <c r="B507" s="9" t="s">
        <v>1617</v>
      </c>
      <c r="C507" s="9" t="s">
        <v>1048</v>
      </c>
      <c r="D507" s="10" t="s">
        <v>1618</v>
      </c>
      <c r="E507" s="9" t="s">
        <v>954</v>
      </c>
      <c r="F507" s="9" t="s">
        <v>1067</v>
      </c>
      <c r="G507" s="10" t="s">
        <v>1619</v>
      </c>
      <c r="H507" s="9" t="s">
        <v>328</v>
      </c>
      <c r="I507" s="11">
        <v>13.770082</v>
      </c>
      <c r="J507" s="11">
        <v>109.221047</v>
      </c>
      <c r="K507" s="9" t="s">
        <v>329</v>
      </c>
      <c r="L507" s="10"/>
      <c r="M507" s="12" t="s">
        <v>51</v>
      </c>
      <c r="N507" s="13" t="s">
        <v>69</v>
      </c>
      <c r="O507" s="14"/>
      <c r="P507" s="14"/>
      <c r="Q507" s="13" t="s">
        <v>70</v>
      </c>
      <c r="R507" s="15" t="s">
        <v>54</v>
      </c>
      <c r="S507" s="13" t="s">
        <v>55</v>
      </c>
      <c r="T507" s="13" t="s">
        <v>330</v>
      </c>
      <c r="U507" s="16" t="str">
        <f t="shared" si="14"/>
        <v/>
      </c>
      <c r="V507" s="17" t="str">
        <f t="shared" si="15"/>
        <v>OK</v>
      </c>
    </row>
    <row r="508" spans="1:22" ht="38.25" x14ac:dyDescent="0.25">
      <c r="A508" s="9">
        <v>504</v>
      </c>
      <c r="B508" s="9" t="s">
        <v>1620</v>
      </c>
      <c r="C508" s="9" t="s">
        <v>1048</v>
      </c>
      <c r="D508" s="10" t="s">
        <v>1621</v>
      </c>
      <c r="E508" s="9" t="s">
        <v>954</v>
      </c>
      <c r="F508" s="9" t="s">
        <v>1067</v>
      </c>
      <c r="G508" s="10" t="s">
        <v>1622</v>
      </c>
      <c r="H508" s="9" t="s">
        <v>328</v>
      </c>
      <c r="I508" s="11">
        <v>13.772857</v>
      </c>
      <c r="J508" s="11">
        <v>109.224608</v>
      </c>
      <c r="K508" s="9" t="s">
        <v>329</v>
      </c>
      <c r="L508" s="10"/>
      <c r="M508" s="12" t="s">
        <v>51</v>
      </c>
      <c r="N508" s="13" t="s">
        <v>69</v>
      </c>
      <c r="O508" s="14"/>
      <c r="P508" s="14"/>
      <c r="Q508" s="13" t="s">
        <v>70</v>
      </c>
      <c r="R508" s="15" t="s">
        <v>54</v>
      </c>
      <c r="S508" s="13" t="s">
        <v>55</v>
      </c>
      <c r="T508" s="13" t="s">
        <v>330</v>
      </c>
      <c r="U508" s="16" t="str">
        <f t="shared" si="14"/>
        <v/>
      </c>
      <c r="V508" s="17" t="str">
        <f t="shared" si="15"/>
        <v>OK</v>
      </c>
    </row>
    <row r="509" spans="1:22" ht="51" x14ac:dyDescent="0.25">
      <c r="A509" s="9">
        <v>505</v>
      </c>
      <c r="B509" s="9" t="s">
        <v>1623</v>
      </c>
      <c r="C509" s="9" t="s">
        <v>1048</v>
      </c>
      <c r="D509" s="10" t="s">
        <v>1624</v>
      </c>
      <c r="E509" s="9" t="s">
        <v>954</v>
      </c>
      <c r="F509" s="9" t="s">
        <v>1058</v>
      </c>
      <c r="G509" s="10" t="s">
        <v>1625</v>
      </c>
      <c r="H509" s="9" t="s">
        <v>448</v>
      </c>
      <c r="I509" s="11">
        <v>13.796265999999999</v>
      </c>
      <c r="J509" s="11">
        <v>109.147442</v>
      </c>
      <c r="K509" s="9" t="s">
        <v>329</v>
      </c>
      <c r="L509" s="10"/>
      <c r="M509" s="12" t="s">
        <v>51</v>
      </c>
      <c r="N509" s="13" t="s">
        <v>69</v>
      </c>
      <c r="O509" s="14"/>
      <c r="P509" s="14"/>
      <c r="Q509" s="13" t="s">
        <v>70</v>
      </c>
      <c r="R509" s="15" t="s">
        <v>54</v>
      </c>
      <c r="S509" s="13" t="s">
        <v>55</v>
      </c>
      <c r="T509" s="13" t="s">
        <v>330</v>
      </c>
      <c r="U509" s="16" t="str">
        <f t="shared" si="14"/>
        <v/>
      </c>
      <c r="V509" s="17" t="str">
        <f t="shared" si="15"/>
        <v>OK</v>
      </c>
    </row>
    <row r="510" spans="1:22" ht="38.25" x14ac:dyDescent="0.25">
      <c r="A510" s="9">
        <v>506</v>
      </c>
      <c r="B510" s="9" t="s">
        <v>1626</v>
      </c>
      <c r="C510" s="9" t="s">
        <v>1048</v>
      </c>
      <c r="D510" s="10" t="s">
        <v>1627</v>
      </c>
      <c r="E510" s="9" t="s">
        <v>954</v>
      </c>
      <c r="F510" s="9" t="s">
        <v>1067</v>
      </c>
      <c r="G510" s="10" t="s">
        <v>1628</v>
      </c>
      <c r="H510" s="9" t="s">
        <v>448</v>
      </c>
      <c r="I510" s="11">
        <v>13.781891999999999</v>
      </c>
      <c r="J510" s="11">
        <v>109.148669</v>
      </c>
      <c r="K510" s="9" t="s">
        <v>329</v>
      </c>
      <c r="L510" s="10"/>
      <c r="M510" s="12" t="s">
        <v>51</v>
      </c>
      <c r="N510" s="13" t="s">
        <v>69</v>
      </c>
      <c r="O510" s="14"/>
      <c r="P510" s="14"/>
      <c r="Q510" s="13" t="s">
        <v>70</v>
      </c>
      <c r="R510" s="15" t="s">
        <v>54</v>
      </c>
      <c r="S510" s="13" t="s">
        <v>55</v>
      </c>
      <c r="T510" s="13" t="s">
        <v>330</v>
      </c>
      <c r="U510" s="16" t="str">
        <f t="shared" si="14"/>
        <v/>
      </c>
      <c r="V510" s="17" t="str">
        <f t="shared" si="15"/>
        <v>OK</v>
      </c>
    </row>
    <row r="511" spans="1:22" ht="51" x14ac:dyDescent="0.25">
      <c r="A511" s="9">
        <v>507</v>
      </c>
      <c r="B511" s="9" t="s">
        <v>1629</v>
      </c>
      <c r="C511" s="9" t="s">
        <v>1048</v>
      </c>
      <c r="D511" s="10" t="s">
        <v>1630</v>
      </c>
      <c r="E511" s="9" t="s">
        <v>954</v>
      </c>
      <c r="F511" s="9" t="s">
        <v>1050</v>
      </c>
      <c r="G511" s="10" t="s">
        <v>1631</v>
      </c>
      <c r="H511" s="9" t="s">
        <v>334</v>
      </c>
      <c r="I511" s="11">
        <v>13.771539000000001</v>
      </c>
      <c r="J511" s="11">
        <v>109.220151</v>
      </c>
      <c r="K511" s="9" t="s">
        <v>329</v>
      </c>
      <c r="L511" s="10"/>
      <c r="M511" s="12" t="s">
        <v>51</v>
      </c>
      <c r="N511" s="13" t="s">
        <v>69</v>
      </c>
      <c r="O511" s="14"/>
      <c r="P511" s="14"/>
      <c r="Q511" s="13" t="s">
        <v>70</v>
      </c>
      <c r="R511" s="15" t="s">
        <v>54</v>
      </c>
      <c r="S511" s="13" t="s">
        <v>55</v>
      </c>
      <c r="T511" s="13" t="s">
        <v>330</v>
      </c>
      <c r="U511" s="16" t="str">
        <f t="shared" si="14"/>
        <v/>
      </c>
      <c r="V511" s="17" t="str">
        <f t="shared" si="15"/>
        <v>OK</v>
      </c>
    </row>
    <row r="512" spans="1:22" ht="76.5" x14ac:dyDescent="0.25">
      <c r="A512" s="9">
        <v>508</v>
      </c>
      <c r="B512" s="9" t="s">
        <v>1632</v>
      </c>
      <c r="C512" s="9" t="s">
        <v>1048</v>
      </c>
      <c r="D512" s="10" t="s">
        <v>1633</v>
      </c>
      <c r="E512" s="9" t="s">
        <v>954</v>
      </c>
      <c r="F512" s="9" t="s">
        <v>1058</v>
      </c>
      <c r="G512" s="10" t="s">
        <v>1634</v>
      </c>
      <c r="H512" s="9" t="s">
        <v>334</v>
      </c>
      <c r="I512" s="11">
        <v>13.766901000000001</v>
      </c>
      <c r="J512" s="11">
        <v>109.215935</v>
      </c>
      <c r="K512" s="9" t="s">
        <v>329</v>
      </c>
      <c r="L512" s="10"/>
      <c r="M512" s="12" t="s">
        <v>51</v>
      </c>
      <c r="N512" s="13" t="s">
        <v>69</v>
      </c>
      <c r="O512" s="14"/>
      <c r="P512" s="14"/>
      <c r="Q512" s="13" t="s">
        <v>70</v>
      </c>
      <c r="R512" s="15" t="s">
        <v>54</v>
      </c>
      <c r="S512" s="13" t="s">
        <v>55</v>
      </c>
      <c r="T512" s="13" t="s">
        <v>330</v>
      </c>
      <c r="U512" s="16" t="str">
        <f t="shared" si="14"/>
        <v/>
      </c>
      <c r="V512" s="17" t="str">
        <f t="shared" si="15"/>
        <v>OK</v>
      </c>
    </row>
    <row r="513" spans="1:22" ht="51" x14ac:dyDescent="0.25">
      <c r="A513" s="9">
        <v>509</v>
      </c>
      <c r="B513" s="9" t="s">
        <v>1635</v>
      </c>
      <c r="C513" s="9" t="s">
        <v>1048</v>
      </c>
      <c r="D513" s="10" t="s">
        <v>1636</v>
      </c>
      <c r="E513" s="9" t="s">
        <v>954</v>
      </c>
      <c r="F513" s="9" t="s">
        <v>1067</v>
      </c>
      <c r="G513" s="10" t="s">
        <v>1637</v>
      </c>
      <c r="H513" s="9" t="s">
        <v>334</v>
      </c>
      <c r="I513" s="11">
        <v>13.762536000000001</v>
      </c>
      <c r="J513" s="11">
        <v>109.21313499999999</v>
      </c>
      <c r="K513" s="9" t="s">
        <v>329</v>
      </c>
      <c r="L513" s="10"/>
      <c r="M513" s="12" t="s">
        <v>51</v>
      </c>
      <c r="N513" s="13" t="s">
        <v>69</v>
      </c>
      <c r="O513" s="14"/>
      <c r="P513" s="14"/>
      <c r="Q513" s="13" t="s">
        <v>70</v>
      </c>
      <c r="R513" s="15" t="s">
        <v>54</v>
      </c>
      <c r="S513" s="13" t="s">
        <v>55</v>
      </c>
      <c r="T513" s="13" t="s">
        <v>330</v>
      </c>
      <c r="U513" s="16" t="str">
        <f t="shared" si="14"/>
        <v/>
      </c>
      <c r="V513" s="17" t="str">
        <f t="shared" si="15"/>
        <v>OK</v>
      </c>
    </row>
    <row r="514" spans="1:22" ht="51" x14ac:dyDescent="0.25">
      <c r="A514" s="9">
        <v>510</v>
      </c>
      <c r="B514" s="9" t="s">
        <v>1638</v>
      </c>
      <c r="C514" s="9" t="s">
        <v>1048</v>
      </c>
      <c r="D514" s="10" t="s">
        <v>1639</v>
      </c>
      <c r="E514" s="9" t="s">
        <v>954</v>
      </c>
      <c r="F514" s="9" t="s">
        <v>1067</v>
      </c>
      <c r="G514" s="10" t="s">
        <v>1640</v>
      </c>
      <c r="H514" s="9" t="s">
        <v>334</v>
      </c>
      <c r="I514" s="11">
        <v>13.751969000000001</v>
      </c>
      <c r="J514" s="11">
        <v>109.210566</v>
      </c>
      <c r="K514" s="9" t="s">
        <v>329</v>
      </c>
      <c r="L514" s="10"/>
      <c r="M514" s="12" t="s">
        <v>51</v>
      </c>
      <c r="N514" s="13" t="s">
        <v>69</v>
      </c>
      <c r="O514" s="14"/>
      <c r="P514" s="14"/>
      <c r="Q514" s="13" t="s">
        <v>70</v>
      </c>
      <c r="R514" s="15" t="s">
        <v>54</v>
      </c>
      <c r="S514" s="13" t="s">
        <v>55</v>
      </c>
      <c r="T514" s="13" t="s">
        <v>330</v>
      </c>
      <c r="U514" s="16" t="str">
        <f t="shared" si="14"/>
        <v/>
      </c>
      <c r="V514" s="17" t="str">
        <f t="shared" si="15"/>
        <v>OK</v>
      </c>
    </row>
    <row r="515" spans="1:22" ht="51" x14ac:dyDescent="0.25">
      <c r="A515" s="9">
        <v>511</v>
      </c>
      <c r="B515" s="9" t="s">
        <v>1641</v>
      </c>
      <c r="C515" s="9" t="s">
        <v>1048</v>
      </c>
      <c r="D515" s="10" t="s">
        <v>1642</v>
      </c>
      <c r="E515" s="9" t="s">
        <v>954</v>
      </c>
      <c r="F515" s="9" t="s">
        <v>1050</v>
      </c>
      <c r="G515" s="10" t="s">
        <v>1643</v>
      </c>
      <c r="H515" s="9" t="s">
        <v>470</v>
      </c>
      <c r="I515" s="11">
        <v>14.548729</v>
      </c>
      <c r="J515" s="11">
        <v>109.043099</v>
      </c>
      <c r="K515" s="9" t="s">
        <v>329</v>
      </c>
      <c r="L515" s="10"/>
      <c r="M515" s="12" t="s">
        <v>51</v>
      </c>
      <c r="N515" s="13" t="s">
        <v>69</v>
      </c>
      <c r="O515" s="14"/>
      <c r="P515" s="14"/>
      <c r="Q515" s="13" t="s">
        <v>70</v>
      </c>
      <c r="R515" s="15" t="s">
        <v>54</v>
      </c>
      <c r="S515" s="13" t="s">
        <v>55</v>
      </c>
      <c r="T515" s="13" t="s">
        <v>397</v>
      </c>
      <c r="U515" s="16" t="str">
        <f t="shared" si="14"/>
        <v/>
      </c>
      <c r="V515" s="17" t="str">
        <f t="shared" si="15"/>
        <v>OK</v>
      </c>
    </row>
    <row r="516" spans="1:22" ht="38.25" x14ac:dyDescent="0.25">
      <c r="A516" s="9">
        <v>512</v>
      </c>
      <c r="B516" s="9" t="s">
        <v>1644</v>
      </c>
      <c r="C516" s="9" t="s">
        <v>1048</v>
      </c>
      <c r="D516" s="10" t="s">
        <v>1645</v>
      </c>
      <c r="E516" s="9" t="s">
        <v>954</v>
      </c>
      <c r="F516" s="9" t="s">
        <v>1067</v>
      </c>
      <c r="G516" s="10" t="s">
        <v>1313</v>
      </c>
      <c r="H516" s="9" t="s">
        <v>110</v>
      </c>
      <c r="I516" s="11">
        <v>14.028142000000001</v>
      </c>
      <c r="J516" s="11">
        <v>107.989501</v>
      </c>
      <c r="K516" s="9" t="s">
        <v>329</v>
      </c>
      <c r="L516" s="10"/>
      <c r="M516" s="12" t="s">
        <v>51</v>
      </c>
      <c r="N516" s="13" t="s">
        <v>52</v>
      </c>
      <c r="O516" s="14"/>
      <c r="P516" s="14"/>
      <c r="Q516" s="13" t="s">
        <v>53</v>
      </c>
      <c r="R516" s="15" t="s">
        <v>54</v>
      </c>
      <c r="S516" s="13" t="s">
        <v>55</v>
      </c>
      <c r="T516" s="13" t="s">
        <v>1646</v>
      </c>
      <c r="U516" s="16" t="str">
        <f t="shared" si="14"/>
        <v/>
      </c>
      <c r="V516" s="17" t="str">
        <f t="shared" si="15"/>
        <v>OK</v>
      </c>
    </row>
    <row r="517" spans="1:22" ht="38.25" x14ac:dyDescent="0.25">
      <c r="A517" s="9">
        <v>513</v>
      </c>
      <c r="B517" s="9" t="s">
        <v>1647</v>
      </c>
      <c r="C517" s="9" t="s">
        <v>1048</v>
      </c>
      <c r="D517" s="10" t="s">
        <v>1648</v>
      </c>
      <c r="E517" s="9" t="s">
        <v>954</v>
      </c>
      <c r="F517" s="9" t="s">
        <v>1067</v>
      </c>
      <c r="G517" s="10" t="s">
        <v>1649</v>
      </c>
      <c r="H517" s="9" t="s">
        <v>110</v>
      </c>
      <c r="I517" s="11">
        <v>14.028142000000001</v>
      </c>
      <c r="J517" s="11">
        <v>107.989501</v>
      </c>
      <c r="K517" s="9" t="s">
        <v>329</v>
      </c>
      <c r="L517" s="10"/>
      <c r="M517" s="12" t="s">
        <v>51</v>
      </c>
      <c r="N517" s="13" t="s">
        <v>52</v>
      </c>
      <c r="O517" s="14"/>
      <c r="P517" s="14"/>
      <c r="Q517" s="13" t="s">
        <v>53</v>
      </c>
      <c r="R517" s="15" t="s">
        <v>54</v>
      </c>
      <c r="S517" s="13" t="s">
        <v>55</v>
      </c>
      <c r="T517" s="13" t="s">
        <v>1650</v>
      </c>
      <c r="U517" s="16" t="str">
        <f t="shared" ref="U517:U530" si="16">IF(AND(ISNUMBER(O517),ISNUMBER(P517)),ROUND(SQRT(((P517-J517)*111320*COS(RADIANS(I517)))^2+((O517-I517)*110540)^2),0),"")</f>
        <v/>
      </c>
      <c r="V517" s="17" t="str">
        <f t="shared" ref="V517:V580" si="17">IF(N517="","",IF(N517="Sửa vị trí",IF(OR(O517="",P517=""),"Thiếu vĩ độ / kinh độ mới",IF(OR(O517&lt;12.5,O517&gt;15,P517&lt;107,P517&gt;109.6),"Toạ độ ngoài Gia Lai (đảo vĩ/kinh độ?)",IF(Q517="","Chọn cách xác định",IF(U517&gt;20000,"Dời hơn 20 km – kiểm tra lại","OK")))),IF(AND(N517&lt;&gt;"Sửa vị trí",OR(O517&lt;&gt;"",P517&lt;&gt;"")),"Có toạ độ mới nhưng kết quả không phải Sửa vị trí","OK")))</f>
        <v>OK</v>
      </c>
    </row>
    <row r="518" spans="1:22" ht="25.5" x14ac:dyDescent="0.25">
      <c r="A518" s="9">
        <v>514</v>
      </c>
      <c r="B518" s="9" t="s">
        <v>1651</v>
      </c>
      <c r="C518" s="9" t="s">
        <v>1048</v>
      </c>
      <c r="D518" s="10" t="s">
        <v>1652</v>
      </c>
      <c r="E518" s="9" t="s">
        <v>954</v>
      </c>
      <c r="F518" s="9" t="s">
        <v>1067</v>
      </c>
      <c r="G518" s="10" t="s">
        <v>1653</v>
      </c>
      <c r="H518" s="9" t="s">
        <v>1318</v>
      </c>
      <c r="I518" s="11">
        <v>14.557774999999999</v>
      </c>
      <c r="J518" s="11">
        <v>108.90097</v>
      </c>
      <c r="K518" s="9" t="s">
        <v>329</v>
      </c>
      <c r="L518" s="10"/>
      <c r="M518" s="12" t="s">
        <v>51</v>
      </c>
      <c r="N518" s="13" t="s">
        <v>69</v>
      </c>
      <c r="O518" s="14"/>
      <c r="P518" s="14"/>
      <c r="Q518" s="13" t="s">
        <v>70</v>
      </c>
      <c r="R518" s="15" t="s">
        <v>54</v>
      </c>
      <c r="S518" s="13" t="s">
        <v>55</v>
      </c>
      <c r="T518" s="13" t="s">
        <v>490</v>
      </c>
      <c r="U518" s="16" t="str">
        <f t="shared" si="16"/>
        <v/>
      </c>
      <c r="V518" s="17" t="str">
        <f t="shared" si="17"/>
        <v>OK</v>
      </c>
    </row>
    <row r="519" spans="1:22" ht="38.25" x14ac:dyDescent="0.25">
      <c r="A519" s="9">
        <v>515</v>
      </c>
      <c r="B519" s="9" t="s">
        <v>1654</v>
      </c>
      <c r="C519" s="9" t="s">
        <v>1048</v>
      </c>
      <c r="D519" s="10" t="s">
        <v>1655</v>
      </c>
      <c r="E519" s="9" t="s">
        <v>954</v>
      </c>
      <c r="F519" s="9" t="s">
        <v>1067</v>
      </c>
      <c r="G519" s="10" t="s">
        <v>1656</v>
      </c>
      <c r="H519" s="9" t="s">
        <v>157</v>
      </c>
      <c r="I519" s="11">
        <v>13.69585</v>
      </c>
      <c r="J519" s="11">
        <v>108.076021</v>
      </c>
      <c r="K519" s="9" t="s">
        <v>329</v>
      </c>
      <c r="L519" s="10"/>
      <c r="M519" s="12" t="s">
        <v>51</v>
      </c>
      <c r="N519" s="13" t="s">
        <v>52</v>
      </c>
      <c r="O519" s="14"/>
      <c r="P519" s="14"/>
      <c r="Q519" s="13" t="s">
        <v>53</v>
      </c>
      <c r="R519" s="15" t="s">
        <v>54</v>
      </c>
      <c r="S519" s="13" t="s">
        <v>55</v>
      </c>
      <c r="T519" s="13" t="s">
        <v>1657</v>
      </c>
      <c r="U519" s="16" t="str">
        <f t="shared" si="16"/>
        <v/>
      </c>
      <c r="V519" s="17" t="str">
        <f t="shared" si="17"/>
        <v>OK</v>
      </c>
    </row>
    <row r="520" spans="1:22" ht="25.5" x14ac:dyDescent="0.25">
      <c r="A520" s="9">
        <v>516</v>
      </c>
      <c r="B520" s="9" t="s">
        <v>1658</v>
      </c>
      <c r="C520" s="9" t="s">
        <v>1048</v>
      </c>
      <c r="D520" s="10" t="s">
        <v>1659</v>
      </c>
      <c r="E520" s="9" t="s">
        <v>954</v>
      </c>
      <c r="F520" s="9" t="s">
        <v>1067</v>
      </c>
      <c r="G520" s="10" t="s">
        <v>1660</v>
      </c>
      <c r="H520" s="9" t="s">
        <v>621</v>
      </c>
      <c r="I520" s="11">
        <v>13.961335</v>
      </c>
      <c r="J520" s="11">
        <v>107.846486</v>
      </c>
      <c r="K520" s="9" t="s">
        <v>329</v>
      </c>
      <c r="L520" s="10"/>
      <c r="M520" s="12" t="s">
        <v>51</v>
      </c>
      <c r="N520" s="13" t="s">
        <v>52</v>
      </c>
      <c r="O520" s="14"/>
      <c r="P520" s="14"/>
      <c r="Q520" s="13" t="s">
        <v>53</v>
      </c>
      <c r="R520" s="15" t="s">
        <v>54</v>
      </c>
      <c r="S520" s="13" t="s">
        <v>55</v>
      </c>
      <c r="T520" s="13" t="s">
        <v>1661</v>
      </c>
      <c r="U520" s="16" t="str">
        <f t="shared" si="16"/>
        <v/>
      </c>
      <c r="V520" s="17" t="str">
        <f t="shared" si="17"/>
        <v>OK</v>
      </c>
    </row>
    <row r="521" spans="1:22" ht="38.25" x14ac:dyDescent="0.25">
      <c r="A521" s="9">
        <v>517</v>
      </c>
      <c r="B521" s="9" t="s">
        <v>1662</v>
      </c>
      <c r="C521" s="9" t="s">
        <v>1048</v>
      </c>
      <c r="D521" s="10" t="s">
        <v>1663</v>
      </c>
      <c r="E521" s="9" t="s">
        <v>954</v>
      </c>
      <c r="F521" s="9" t="s">
        <v>1067</v>
      </c>
      <c r="G521" s="10" t="s">
        <v>1664</v>
      </c>
      <c r="H521" s="9" t="s">
        <v>342</v>
      </c>
      <c r="I521" s="11">
        <v>14.011639000000001</v>
      </c>
      <c r="J521" s="11">
        <v>109.056417</v>
      </c>
      <c r="K521" s="9" t="s">
        <v>329</v>
      </c>
      <c r="L521" s="10"/>
      <c r="M521" s="12" t="s">
        <v>51</v>
      </c>
      <c r="N521" s="13" t="s">
        <v>69</v>
      </c>
      <c r="O521" s="14"/>
      <c r="P521" s="14"/>
      <c r="Q521" s="13" t="s">
        <v>70</v>
      </c>
      <c r="R521" s="15" t="s">
        <v>54</v>
      </c>
      <c r="S521" s="13" t="s">
        <v>55</v>
      </c>
      <c r="T521" s="13" t="s">
        <v>330</v>
      </c>
      <c r="U521" s="16" t="str">
        <f t="shared" si="16"/>
        <v/>
      </c>
      <c r="V521" s="17" t="str">
        <f t="shared" si="17"/>
        <v>OK</v>
      </c>
    </row>
    <row r="522" spans="1:22" ht="25.5" x14ac:dyDescent="0.25">
      <c r="A522" s="9">
        <v>518</v>
      </c>
      <c r="B522" s="9" t="s">
        <v>1665</v>
      </c>
      <c r="C522" s="9" t="s">
        <v>1048</v>
      </c>
      <c r="D522" s="10" t="s">
        <v>1666</v>
      </c>
      <c r="E522" s="9" t="s">
        <v>954</v>
      </c>
      <c r="F522" s="9" t="s">
        <v>1067</v>
      </c>
      <c r="G522" s="10" t="s">
        <v>1667</v>
      </c>
      <c r="H522" s="9" t="s">
        <v>786</v>
      </c>
      <c r="I522" s="11">
        <v>13.803286</v>
      </c>
      <c r="J522" s="11">
        <v>109.147701</v>
      </c>
      <c r="K522" s="9" t="s">
        <v>329</v>
      </c>
      <c r="L522" s="10"/>
      <c r="M522" s="12" t="s">
        <v>51</v>
      </c>
      <c r="N522" s="13" t="s">
        <v>69</v>
      </c>
      <c r="O522" s="14"/>
      <c r="P522" s="14"/>
      <c r="Q522" s="13" t="s">
        <v>70</v>
      </c>
      <c r="R522" s="15" t="s">
        <v>54</v>
      </c>
      <c r="S522" s="13" t="s">
        <v>55</v>
      </c>
      <c r="T522" s="13" t="s">
        <v>330</v>
      </c>
      <c r="U522" s="16" t="str">
        <f t="shared" si="16"/>
        <v/>
      </c>
      <c r="V522" s="17" t="str">
        <f t="shared" si="17"/>
        <v>OK</v>
      </c>
    </row>
    <row r="523" spans="1:22" ht="38.25" x14ac:dyDescent="0.25">
      <c r="A523" s="9">
        <v>519</v>
      </c>
      <c r="B523" s="9" t="s">
        <v>1668</v>
      </c>
      <c r="C523" s="9" t="s">
        <v>1048</v>
      </c>
      <c r="D523" s="10" t="s">
        <v>1669</v>
      </c>
      <c r="E523" s="9" t="s">
        <v>954</v>
      </c>
      <c r="F523" s="9" t="s">
        <v>1050</v>
      </c>
      <c r="G523" s="10" t="s">
        <v>1670</v>
      </c>
      <c r="H523" s="9" t="s">
        <v>812</v>
      </c>
      <c r="I523" s="11">
        <v>13.910613</v>
      </c>
      <c r="J523" s="11">
        <v>108.913577</v>
      </c>
      <c r="K523" s="9" t="s">
        <v>329</v>
      </c>
      <c r="L523" s="10"/>
      <c r="M523" s="12" t="s">
        <v>51</v>
      </c>
      <c r="N523" s="13" t="s">
        <v>69</v>
      </c>
      <c r="O523" s="14"/>
      <c r="P523" s="14"/>
      <c r="Q523" s="13" t="s">
        <v>70</v>
      </c>
      <c r="R523" s="15" t="s">
        <v>54</v>
      </c>
      <c r="S523" s="13" t="s">
        <v>55</v>
      </c>
      <c r="T523" s="13" t="s">
        <v>378</v>
      </c>
      <c r="U523" s="16" t="str">
        <f t="shared" si="16"/>
        <v/>
      </c>
      <c r="V523" s="17" t="str">
        <f t="shared" si="17"/>
        <v>OK</v>
      </c>
    </row>
    <row r="524" spans="1:22" ht="25.5" x14ac:dyDescent="0.25">
      <c r="A524" s="9">
        <v>520</v>
      </c>
      <c r="B524" s="9" t="s">
        <v>1671</v>
      </c>
      <c r="C524" s="9" t="s">
        <v>1048</v>
      </c>
      <c r="D524" s="10" t="s">
        <v>1672</v>
      </c>
      <c r="E524" s="9" t="s">
        <v>954</v>
      </c>
      <c r="F524" s="9" t="s">
        <v>1067</v>
      </c>
      <c r="G524" s="10" t="s">
        <v>1673</v>
      </c>
      <c r="H524" s="9" t="s">
        <v>812</v>
      </c>
      <c r="I524" s="11">
        <v>13.892818</v>
      </c>
      <c r="J524" s="11">
        <v>108.974205</v>
      </c>
      <c r="K524" s="9" t="s">
        <v>329</v>
      </c>
      <c r="L524" s="10"/>
      <c r="M524" s="12" t="s">
        <v>51</v>
      </c>
      <c r="N524" s="13" t="s">
        <v>69</v>
      </c>
      <c r="O524" s="14"/>
      <c r="P524" s="14"/>
      <c r="Q524" s="13" t="s">
        <v>70</v>
      </c>
      <c r="R524" s="15" t="s">
        <v>54</v>
      </c>
      <c r="S524" s="13" t="s">
        <v>55</v>
      </c>
      <c r="T524" s="13" t="s">
        <v>330</v>
      </c>
      <c r="U524" s="16" t="str">
        <f t="shared" si="16"/>
        <v/>
      </c>
      <c r="V524" s="17" t="str">
        <f t="shared" si="17"/>
        <v>OK</v>
      </c>
    </row>
    <row r="525" spans="1:22" ht="38.25" x14ac:dyDescent="0.25">
      <c r="A525" s="9">
        <v>521</v>
      </c>
      <c r="B525" s="9" t="s">
        <v>1674</v>
      </c>
      <c r="C525" s="9" t="s">
        <v>1048</v>
      </c>
      <c r="D525" s="10" t="s">
        <v>1675</v>
      </c>
      <c r="E525" s="9" t="s">
        <v>954</v>
      </c>
      <c r="F525" s="9" t="s">
        <v>1050</v>
      </c>
      <c r="G525" s="10" t="s">
        <v>1676</v>
      </c>
      <c r="H525" s="9" t="s">
        <v>1677</v>
      </c>
      <c r="I525" s="11">
        <v>13.614801999999999</v>
      </c>
      <c r="J525" s="11">
        <v>108.992216</v>
      </c>
      <c r="K525" s="9" t="s">
        <v>329</v>
      </c>
      <c r="L525" s="10"/>
      <c r="M525" s="12" t="s">
        <v>51</v>
      </c>
      <c r="N525" s="13" t="s">
        <v>69</v>
      </c>
      <c r="O525" s="14"/>
      <c r="P525" s="14"/>
      <c r="Q525" s="13" t="s">
        <v>70</v>
      </c>
      <c r="R525" s="15" t="s">
        <v>54</v>
      </c>
      <c r="S525" s="13" t="s">
        <v>55</v>
      </c>
      <c r="T525" s="13" t="s">
        <v>378</v>
      </c>
      <c r="U525" s="16" t="str">
        <f t="shared" si="16"/>
        <v/>
      </c>
      <c r="V525" s="17" t="str">
        <f t="shared" si="17"/>
        <v>OK</v>
      </c>
    </row>
    <row r="526" spans="1:22" ht="38.25" x14ac:dyDescent="0.25">
      <c r="A526" s="9">
        <v>522</v>
      </c>
      <c r="B526" s="9" t="s">
        <v>1678</v>
      </c>
      <c r="C526" s="9" t="s">
        <v>1048</v>
      </c>
      <c r="D526" s="10" t="s">
        <v>1679</v>
      </c>
      <c r="E526" s="9" t="s">
        <v>954</v>
      </c>
      <c r="F526" s="9" t="s">
        <v>1050</v>
      </c>
      <c r="G526" s="10" t="s">
        <v>1680</v>
      </c>
      <c r="H526" s="9" t="s">
        <v>832</v>
      </c>
      <c r="I526" s="11">
        <v>14.108173000000001</v>
      </c>
      <c r="J526" s="11">
        <v>108.78449000000001</v>
      </c>
      <c r="K526" s="9" t="s">
        <v>329</v>
      </c>
      <c r="L526" s="10"/>
      <c r="M526" s="12" t="s">
        <v>51</v>
      </c>
      <c r="N526" s="13" t="s">
        <v>69</v>
      </c>
      <c r="O526" s="14"/>
      <c r="P526" s="14"/>
      <c r="Q526" s="13" t="s">
        <v>70</v>
      </c>
      <c r="R526" s="15" t="s">
        <v>54</v>
      </c>
      <c r="S526" s="13" t="s">
        <v>55</v>
      </c>
      <c r="T526" s="13" t="s">
        <v>378</v>
      </c>
      <c r="U526" s="16" t="str">
        <f t="shared" si="16"/>
        <v/>
      </c>
      <c r="V526" s="17" t="str">
        <f t="shared" si="17"/>
        <v>OK</v>
      </c>
    </row>
    <row r="527" spans="1:22" ht="25.5" x14ac:dyDescent="0.25">
      <c r="A527" s="9">
        <v>523</v>
      </c>
      <c r="B527" s="9" t="s">
        <v>1681</v>
      </c>
      <c r="C527" s="9" t="s">
        <v>1048</v>
      </c>
      <c r="D527" s="10" t="s">
        <v>1682</v>
      </c>
      <c r="E527" s="9" t="s">
        <v>954</v>
      </c>
      <c r="F527" s="9" t="s">
        <v>1067</v>
      </c>
      <c r="G527" s="10" t="s">
        <v>1683</v>
      </c>
      <c r="H527" s="9" t="s">
        <v>1508</v>
      </c>
      <c r="I527" s="11">
        <v>13.994398</v>
      </c>
      <c r="J527" s="11">
        <v>108.112695</v>
      </c>
      <c r="K527" s="9" t="s">
        <v>329</v>
      </c>
      <c r="L527" s="10"/>
      <c r="M527" s="12" t="s">
        <v>51</v>
      </c>
      <c r="N527" s="13" t="s">
        <v>52</v>
      </c>
      <c r="O527" s="14"/>
      <c r="P527" s="14"/>
      <c r="Q527" s="13" t="s">
        <v>53</v>
      </c>
      <c r="R527" s="15" t="s">
        <v>54</v>
      </c>
      <c r="S527" s="13" t="s">
        <v>55</v>
      </c>
      <c r="T527" s="13" t="s">
        <v>1684</v>
      </c>
      <c r="U527" s="16" t="str">
        <f t="shared" si="16"/>
        <v/>
      </c>
      <c r="V527" s="17" t="str">
        <f t="shared" si="17"/>
        <v>OK</v>
      </c>
    </row>
    <row r="528" spans="1:22" ht="25.5" x14ac:dyDescent="0.25">
      <c r="A528" s="9">
        <v>524</v>
      </c>
      <c r="B528" s="9" t="s">
        <v>1685</v>
      </c>
      <c r="C528" s="9" t="s">
        <v>1048</v>
      </c>
      <c r="D528" s="10" t="s">
        <v>1686</v>
      </c>
      <c r="E528" s="9" t="s">
        <v>954</v>
      </c>
      <c r="F528" s="9" t="s">
        <v>1067</v>
      </c>
      <c r="G528" s="10" t="s">
        <v>1687</v>
      </c>
      <c r="H528" s="9" t="s">
        <v>1508</v>
      </c>
      <c r="I528" s="11">
        <v>13.994398</v>
      </c>
      <c r="J528" s="11">
        <v>108.112695</v>
      </c>
      <c r="K528" s="9" t="s">
        <v>329</v>
      </c>
      <c r="L528" s="10"/>
      <c r="M528" s="12" t="s">
        <v>51</v>
      </c>
      <c r="N528" s="13" t="s">
        <v>52</v>
      </c>
      <c r="O528" s="14"/>
      <c r="P528" s="14"/>
      <c r="Q528" s="13" t="s">
        <v>53</v>
      </c>
      <c r="R528" s="15" t="s">
        <v>54</v>
      </c>
      <c r="S528" s="13" t="s">
        <v>55</v>
      </c>
      <c r="T528" s="13" t="s">
        <v>1688</v>
      </c>
      <c r="U528" s="16" t="str">
        <f t="shared" si="16"/>
        <v/>
      </c>
      <c r="V528" s="17" t="str">
        <f t="shared" si="17"/>
        <v>OK</v>
      </c>
    </row>
    <row r="529" spans="1:22" ht="25.5" x14ac:dyDescent="0.25">
      <c r="A529" s="9">
        <v>525</v>
      </c>
      <c r="B529" s="9" t="s">
        <v>1689</v>
      </c>
      <c r="C529" s="9" t="s">
        <v>1048</v>
      </c>
      <c r="D529" s="10" t="s">
        <v>1690</v>
      </c>
      <c r="E529" s="9" t="s">
        <v>954</v>
      </c>
      <c r="F529" s="9" t="s">
        <v>1067</v>
      </c>
      <c r="G529" s="10" t="s">
        <v>1691</v>
      </c>
      <c r="H529" s="9" t="s">
        <v>217</v>
      </c>
      <c r="I529" s="11">
        <v>13.800252</v>
      </c>
      <c r="J529" s="11">
        <v>107.687026</v>
      </c>
      <c r="K529" s="9" t="s">
        <v>329</v>
      </c>
      <c r="L529" s="10"/>
      <c r="M529" s="12" t="s">
        <v>51</v>
      </c>
      <c r="N529" s="13" t="s">
        <v>52</v>
      </c>
      <c r="O529" s="14"/>
      <c r="P529" s="14"/>
      <c r="Q529" s="13" t="s">
        <v>53</v>
      </c>
      <c r="R529" s="15" t="s">
        <v>54</v>
      </c>
      <c r="S529" s="13" t="s">
        <v>55</v>
      </c>
      <c r="T529" s="13" t="s">
        <v>1692</v>
      </c>
      <c r="U529" s="16" t="str">
        <f t="shared" si="16"/>
        <v/>
      </c>
      <c r="V529" s="17" t="str">
        <f t="shared" si="17"/>
        <v>OK</v>
      </c>
    </row>
    <row r="530" spans="1:22" ht="25.5" x14ac:dyDescent="0.25">
      <c r="A530" s="9">
        <v>526</v>
      </c>
      <c r="B530" s="9" t="s">
        <v>1693</v>
      </c>
      <c r="C530" s="9" t="s">
        <v>1048</v>
      </c>
      <c r="D530" s="10" t="s">
        <v>1694</v>
      </c>
      <c r="E530" s="9" t="s">
        <v>74</v>
      </c>
      <c r="F530" s="9" t="s">
        <v>46</v>
      </c>
      <c r="G530" s="10" t="s">
        <v>1695</v>
      </c>
      <c r="H530" s="9" t="s">
        <v>60</v>
      </c>
      <c r="I530" s="11">
        <v>13.986153</v>
      </c>
      <c r="J530" s="11">
        <v>108.00597</v>
      </c>
      <c r="K530" s="9" t="s">
        <v>329</v>
      </c>
      <c r="L530" s="10"/>
      <c r="M530" s="12" t="s">
        <v>51</v>
      </c>
      <c r="N530" s="13" t="s">
        <v>52</v>
      </c>
      <c r="O530" s="14"/>
      <c r="P530" s="14"/>
      <c r="Q530" s="13" t="s">
        <v>53</v>
      </c>
      <c r="R530" s="15" t="s">
        <v>54</v>
      </c>
      <c r="S530" s="13" t="s">
        <v>55</v>
      </c>
      <c r="T530" s="13" t="s">
        <v>1696</v>
      </c>
      <c r="U530" s="16" t="str">
        <f t="shared" si="16"/>
        <v/>
      </c>
      <c r="V530" s="17" t="str">
        <f t="shared" si="17"/>
        <v>OK</v>
      </c>
    </row>
  </sheetData>
  <autoFilter ref="A4:V530" xr:uid="{00000000-0009-0000-0000-000001000000}"/>
  <conditionalFormatting sqref="V5:V530">
    <cfRule type="expression" dxfId="2" priority="1">
      <formula>V5="OK"</formula>
    </cfRule>
    <cfRule type="expression" dxfId="1" priority="2">
      <formula>AND(V5&lt;&gt;"",V5&lt;&gt;"OK")</formula>
    </cfRule>
  </conditionalFormatting>
  <conditionalFormatting sqref="C5:C530">
    <cfRule type="expression" dxfId="0" priority="3">
      <formula>C5="Cao"</formula>
    </cfRule>
  </conditionalFormatting>
  <dataValidations count="5">
    <dataValidation type="list" allowBlank="1" showErrorMessage="1" error="Chọn kết quả trong danh sách." sqref="N5:N530" xr:uid="{00000000-0002-0000-0100-000000000000}">
      <formula1>"Vị trí đúng,Sửa vị trí,Địa điểm không tồn tại,Đã chuyển đi (chưa rõ nơi mới)"</formula1>
    </dataValidation>
    <dataValidation type="decimal" showErrorMessage="1" error="Vĩ độ Gia Lai: 12,5 – 15,0 (vd 13.981234)." sqref="O5:O530" xr:uid="{00000000-0002-0000-0100-000001000000}">
      <formula1>12.5</formula1>
      <formula2>15</formula2>
    </dataValidation>
    <dataValidation type="decimal" showErrorMessage="1" error="Kinh độ Gia Lai: 107,0 – 109,6 (vd 108.004567)." sqref="P5:P530" xr:uid="{00000000-0002-0000-0100-000002000000}">
      <formula1>107</formula1>
      <formula2>109.6</formula2>
    </dataValidation>
    <dataValidation type="list" allowBlank="1" sqref="Q5:Q530" xr:uid="{00000000-0002-0000-0100-000003000000}">
      <formula1>"Đo GPS tại chỗ,Chọn trên ảnh vệ tinh,Khác"</formula1>
    </dataValidation>
    <dataValidation type="date" showErrorMessage="1" error="Nhập ngày dd/mm/yyyy." sqref="R5:R530" xr:uid="{00000000-0002-0000-0100-000004000000}">
      <formula1>DATE(2025,1,1)</formula1>
      <formula2>DATE(2030,12,31)</formula2>
    </dataValidation>
  </dataValidations>
  <hyperlinks>
    <hyperlink ref="M5" r:id="rId1" location="map=18/14.061869/108.009918" xr:uid="{00000000-0004-0000-0100-000000000000}"/>
    <hyperlink ref="M6" r:id="rId2" location="map=18/14.056879/108.003073" xr:uid="{00000000-0004-0000-0100-000001000000}"/>
    <hyperlink ref="M7" r:id="rId3" location="map=18/13.948200/108.134800" xr:uid="{00000000-0004-0000-0100-000002000000}"/>
    <hyperlink ref="M8" r:id="rId4" location="map=18/13.971800/108.042300" xr:uid="{00000000-0004-0000-0100-000003000000}"/>
    <hyperlink ref="M9" r:id="rId5" location="map=18/13.961200/108.048700" xr:uid="{00000000-0004-0000-0100-000004000000}"/>
    <hyperlink ref="M10" r:id="rId6" location="map=18/13.984145/107.993733" xr:uid="{00000000-0004-0000-0100-000005000000}"/>
    <hyperlink ref="M11" r:id="rId7" location="map=18/13.964108/107.988214" xr:uid="{00000000-0004-0000-0100-000006000000}"/>
    <hyperlink ref="M12" r:id="rId8" location="map=18/13.978780/107.997549" xr:uid="{00000000-0004-0000-0100-000007000000}"/>
    <hyperlink ref="M13" r:id="rId9" location="map=18/13.954041/108.014269" xr:uid="{00000000-0004-0000-0100-000008000000}"/>
    <hyperlink ref="M14" r:id="rId10" location="map=18/13.988266/108.011451" xr:uid="{00000000-0004-0000-0100-000009000000}"/>
    <hyperlink ref="M15" r:id="rId11" location="map=18/13.997023/107.998083" xr:uid="{00000000-0004-0000-0100-00000A000000}"/>
    <hyperlink ref="M16" r:id="rId12" location="map=18/14.036034/108.012214" xr:uid="{00000000-0004-0000-0100-00000B000000}"/>
    <hyperlink ref="M17" r:id="rId13" location="map=18/13.756587/107.889618" xr:uid="{00000000-0004-0000-0100-00000C000000}"/>
    <hyperlink ref="M18" r:id="rId14" location="map=18/14.206870/107.836100" xr:uid="{00000000-0004-0000-0100-00000D000000}"/>
    <hyperlink ref="M19" r:id="rId15" location="map=18/14.137262/107.889667" xr:uid="{00000000-0004-0000-0100-00000E000000}"/>
    <hyperlink ref="M20" r:id="rId16" location="map=18/14.142040/108.597580" xr:uid="{00000000-0004-0000-0100-00000F000000}"/>
    <hyperlink ref="M21" r:id="rId17" location="map=18/13.777405/108.524011" xr:uid="{00000000-0004-0000-0100-000010000000}"/>
    <hyperlink ref="M22" r:id="rId18" location="map=18/13.980900/108.021500" xr:uid="{00000000-0004-0000-0100-000011000000}"/>
    <hyperlink ref="M23" r:id="rId19" location="map=18/13.972151/108.022385" xr:uid="{00000000-0004-0000-0100-000012000000}"/>
    <hyperlink ref="M24" r:id="rId20" location="map=18/14.034813/107.996807" xr:uid="{00000000-0004-0000-0100-000013000000}"/>
    <hyperlink ref="M25" r:id="rId21" location="map=18/13.685200/108.081300" xr:uid="{00000000-0004-0000-0100-000014000000}"/>
    <hyperlink ref="M26" r:id="rId22" location="map=18/14.196200/107.832200" xr:uid="{00000000-0004-0000-0100-000015000000}"/>
    <hyperlink ref="M27" r:id="rId23" location="map=18/14.190800/108.565000" xr:uid="{00000000-0004-0000-0100-000016000000}"/>
    <hyperlink ref="M28" r:id="rId24" location="map=18/13.985172/108.018771" xr:uid="{00000000-0004-0000-0100-000017000000}"/>
    <hyperlink ref="M29" r:id="rId25" location="map=18/13.996012/107.986538" xr:uid="{00000000-0004-0000-0100-000018000000}"/>
    <hyperlink ref="M30" r:id="rId26" location="map=18/13.972776/108.674779" xr:uid="{00000000-0004-0000-0100-000019000000}"/>
    <hyperlink ref="M31" r:id="rId27" location="map=18/13.951893/108.658582" xr:uid="{00000000-0004-0000-0100-00001A000000}"/>
    <hyperlink ref="M32" r:id="rId28" location="map=18/13.952169/108.657763" xr:uid="{00000000-0004-0000-0100-00001B000000}"/>
    <hyperlink ref="M33" r:id="rId29" location="map=18/13.972590/108.031853" xr:uid="{00000000-0004-0000-0100-00001C000000}"/>
    <hyperlink ref="M34" r:id="rId30" location="map=18/13.398173/108.437923" xr:uid="{00000000-0004-0000-0100-00001D000000}"/>
    <hyperlink ref="M35" r:id="rId31" location="map=18/13.690710/108.078650" xr:uid="{00000000-0004-0000-0100-00001E000000}"/>
    <hyperlink ref="M36" r:id="rId32" location="map=18/14.142714/108.603971" xr:uid="{00000000-0004-0000-0100-00001F000000}"/>
    <hyperlink ref="M37" r:id="rId33" location="map=18/13.197214/108.686133" xr:uid="{00000000-0004-0000-0100-000020000000}"/>
    <hyperlink ref="M38" r:id="rId34" location="map=18/13.799482/107.692402" xr:uid="{00000000-0004-0000-0100-000021000000}"/>
    <hyperlink ref="M39" r:id="rId35" location="map=18/13.975385/108.671841" xr:uid="{00000000-0004-0000-0100-000022000000}"/>
    <hyperlink ref="M40" r:id="rId36" location="map=18/13.955466/108.663789" xr:uid="{00000000-0004-0000-0100-000023000000}"/>
    <hyperlink ref="M41" r:id="rId37" location="map=18/13.409506/108.441579" xr:uid="{00000000-0004-0000-0100-000024000000}"/>
    <hyperlink ref="M42" r:id="rId38" location="map=18/13.409596/108.440802" xr:uid="{00000000-0004-0000-0100-000025000000}"/>
    <hyperlink ref="M43" r:id="rId39" location="map=18/13.426310/108.426994" xr:uid="{00000000-0004-0000-0100-000026000000}"/>
    <hyperlink ref="M44" r:id="rId40" location="map=18/13.974527/107.998111" xr:uid="{00000000-0004-0000-0100-000027000000}"/>
    <hyperlink ref="M45" r:id="rId41" location="map=18/13.950515/108.014056" xr:uid="{00000000-0004-0000-0100-000028000000}"/>
    <hyperlink ref="M46" r:id="rId42" location="map=18/13.910494/108.009658" xr:uid="{00000000-0004-0000-0100-000029000000}"/>
    <hyperlink ref="M47" r:id="rId43" location="map=18/13.967844/108.016891" xr:uid="{00000000-0004-0000-0100-00002A000000}"/>
    <hyperlink ref="M48" r:id="rId44" location="map=18/13.984357/108.008750" xr:uid="{00000000-0004-0000-0100-00002B000000}"/>
    <hyperlink ref="M49" r:id="rId45" location="map=18/13.994021/108.001402" xr:uid="{00000000-0004-0000-0100-00002C000000}"/>
    <hyperlink ref="M50" r:id="rId46" location="map=18/13.760638/107.887069" xr:uid="{00000000-0004-0000-0100-00002D000000}"/>
    <hyperlink ref="M51" r:id="rId47" location="map=18/13.722133/108.064167" xr:uid="{00000000-0004-0000-0100-00002E000000}"/>
    <hyperlink ref="M52" r:id="rId48" location="map=18/13.697988/108.071398" xr:uid="{00000000-0004-0000-0100-00002F000000}"/>
    <hyperlink ref="M53" r:id="rId49" location="map=18/13.671696/108.088472" xr:uid="{00000000-0004-0000-0100-000030000000}"/>
    <hyperlink ref="M54" r:id="rId50" location="map=18/13.812252/107.705591" xr:uid="{00000000-0004-0000-0100-000031000000}"/>
    <hyperlink ref="M55" r:id="rId51" location="map=18/13.979300/108.012500" xr:uid="{00000000-0004-0000-0100-000032000000}"/>
    <hyperlink ref="M56" r:id="rId52" location="map=18/13.983700/108.034500" xr:uid="{00000000-0004-0000-0100-000033000000}"/>
    <hyperlink ref="M57" r:id="rId53" location="map=18/13.964964/108.006275" xr:uid="{00000000-0004-0000-0100-000034000000}"/>
    <hyperlink ref="M58" r:id="rId54" location="map=18/13.976400/108.008200" xr:uid="{00000000-0004-0000-0100-000035000000}"/>
    <hyperlink ref="M59" r:id="rId55" location="map=18/13.987300/108.015800" xr:uid="{00000000-0004-0000-0100-000036000000}"/>
    <hyperlink ref="M60" r:id="rId56" location="map=18/13.985800/108.671200" xr:uid="{00000000-0004-0000-0100-000037000000}"/>
    <hyperlink ref="M61" r:id="rId57" location="map=18/13.985600/108.009800" xr:uid="{00000000-0004-0000-0100-000038000000}"/>
    <hyperlink ref="M62" r:id="rId58" location="map=18/13.764900/107.895800" xr:uid="{00000000-0004-0000-0100-000039000000}"/>
    <hyperlink ref="M63" r:id="rId59" location="map=18/14.031500/108.239800" xr:uid="{00000000-0004-0000-0100-00003A000000}"/>
    <hyperlink ref="M64" r:id="rId60" location="map=18/13.779008/109.225337" xr:uid="{00000000-0004-0000-0100-00003B000000}"/>
    <hyperlink ref="M65" r:id="rId61" location="map=18/13.756939/109.218009" xr:uid="{00000000-0004-0000-0100-00003C000000}"/>
    <hyperlink ref="M66" r:id="rId62" location="map=18/13.757955/109.218589" xr:uid="{00000000-0004-0000-0100-00003D000000}"/>
    <hyperlink ref="M67" r:id="rId63" location="map=18/13.756881/109.217981" xr:uid="{00000000-0004-0000-0100-00003E000000}"/>
    <hyperlink ref="M68" r:id="rId64" location="map=18/14.011948/109.055956" xr:uid="{00000000-0004-0000-0100-00003F000000}"/>
    <hyperlink ref="M69" r:id="rId65" location="map=18/14.173829/109.050870" xr:uid="{00000000-0004-0000-0100-000040000000}"/>
    <hyperlink ref="M70" r:id="rId66" location="map=18/13.799877/107.693566" xr:uid="{00000000-0004-0000-0100-000041000000}"/>
    <hyperlink ref="M71" r:id="rId67" location="map=18/13.977115/108.693188" xr:uid="{00000000-0004-0000-0100-000042000000}"/>
    <hyperlink ref="M72" r:id="rId68" location="map=18/13.853014/109.075113" xr:uid="{00000000-0004-0000-0100-000043000000}"/>
    <hyperlink ref="M73" r:id="rId69" location="map=18/13.901594/109.105798" xr:uid="{00000000-0004-0000-0100-000044000000}"/>
    <hyperlink ref="M74" r:id="rId70" location="map=18/13.893230/109.099507" xr:uid="{00000000-0004-0000-0100-000045000000}"/>
    <hyperlink ref="M75" r:id="rId71" location="map=18/13.427739/108.424782" xr:uid="{00000000-0004-0000-0100-000046000000}"/>
    <hyperlink ref="M76" r:id="rId72" location="map=18/13.422649/108.428058" xr:uid="{00000000-0004-0000-0100-000047000000}"/>
    <hyperlink ref="M77" r:id="rId73" location="map=18/13.411438/108.437637" xr:uid="{00000000-0004-0000-0100-000048000000}"/>
    <hyperlink ref="M78" r:id="rId74" location="map=18/13.892616/109.113783" xr:uid="{00000000-0004-0000-0100-000049000000}"/>
    <hyperlink ref="M79" r:id="rId75" location="map=18/14.399132/109.016684" xr:uid="{00000000-0004-0000-0100-00004A000000}"/>
    <hyperlink ref="M80" r:id="rId76" location="map=18/14.427819/109.003996" xr:uid="{00000000-0004-0000-0100-00004B000000}"/>
    <hyperlink ref="M81" r:id="rId77" location="map=18/13.977032/108.000195" xr:uid="{00000000-0004-0000-0100-00004C000000}"/>
    <hyperlink ref="M82" r:id="rId78" location="map=18/13.977277/107.992914" xr:uid="{00000000-0004-0000-0100-00004D000000}"/>
    <hyperlink ref="M83" r:id="rId79" location="map=18/14.515977/109.077656" xr:uid="{00000000-0004-0000-0100-00004E000000}"/>
    <hyperlink ref="M84" r:id="rId80" location="map=18/14.543372/109.071060" xr:uid="{00000000-0004-0000-0100-00004F000000}"/>
    <hyperlink ref="M85" r:id="rId81" location="map=18/14.557905/109.049076" xr:uid="{00000000-0004-0000-0100-000050000000}"/>
    <hyperlink ref="M86" r:id="rId82" location="map=18/14.559445/109.066338" xr:uid="{00000000-0004-0000-0100-000051000000}"/>
    <hyperlink ref="M87" r:id="rId83" location="map=18/14.574763/109.058025" xr:uid="{00000000-0004-0000-0100-000052000000}"/>
    <hyperlink ref="M88" r:id="rId84" location="map=18/14.470206/109.030525" xr:uid="{00000000-0004-0000-0100-000053000000}"/>
    <hyperlink ref="M89" r:id="rId85" location="map=18/14.493691/109.088726" xr:uid="{00000000-0004-0000-0100-000054000000}"/>
    <hyperlink ref="M90" r:id="rId86" location="map=18/14.462668/109.099145" xr:uid="{00000000-0004-0000-0100-000055000000}"/>
    <hyperlink ref="M91" r:id="rId87" location="map=18/13.940143/108.010153" xr:uid="{00000000-0004-0000-0100-000056000000}"/>
    <hyperlink ref="M92" r:id="rId88" location="map=18/13.959062/108.016094" xr:uid="{00000000-0004-0000-0100-000057000000}"/>
    <hyperlink ref="M93" r:id="rId89" location="map=18/13.938404/108.009280" xr:uid="{00000000-0004-0000-0100-000058000000}"/>
    <hyperlink ref="M94" r:id="rId90" location="map=18/13.902620/108.017526" xr:uid="{00000000-0004-0000-0100-000059000000}"/>
    <hyperlink ref="M95" r:id="rId91" location="map=18/13.906643/108.015942" xr:uid="{00000000-0004-0000-0100-00005A000000}"/>
    <hyperlink ref="M96" r:id="rId92" location="map=18/13.924707/108.006163" xr:uid="{00000000-0004-0000-0100-00005B000000}"/>
    <hyperlink ref="M97" r:id="rId93" location="map=18/13.957503/108.015526" xr:uid="{00000000-0004-0000-0100-00005C000000}"/>
    <hyperlink ref="M98" r:id="rId94" location="map=18/13.914047/108.005668" xr:uid="{00000000-0004-0000-0100-00005D000000}"/>
    <hyperlink ref="M99" r:id="rId95" location="map=18/13.929572/108.007448" xr:uid="{00000000-0004-0000-0100-00005E000000}"/>
    <hyperlink ref="M100" r:id="rId96" location="map=18/13.947055/108.011929" xr:uid="{00000000-0004-0000-0100-00005F000000}"/>
    <hyperlink ref="M101" r:id="rId97" location="map=18/13.978069/108.025781" xr:uid="{00000000-0004-0000-0100-000060000000}"/>
    <hyperlink ref="M102" r:id="rId98" location="map=18/13.991702/108.002739" xr:uid="{00000000-0004-0000-0100-000061000000}"/>
    <hyperlink ref="M103" r:id="rId99" location="map=18/13.779355/109.225270" xr:uid="{00000000-0004-0000-0100-000062000000}"/>
    <hyperlink ref="M104" r:id="rId100" location="map=18/13.793768/109.163365" xr:uid="{00000000-0004-0000-0100-000063000000}"/>
    <hyperlink ref="M105" r:id="rId101" location="map=18/13.794262/109.160540" xr:uid="{00000000-0004-0000-0100-000064000000}"/>
    <hyperlink ref="M106" r:id="rId102" location="map=18/13.794198/109.159308" xr:uid="{00000000-0004-0000-0100-000065000000}"/>
    <hyperlink ref="M107" r:id="rId103" location="map=18/13.795608/109.147887" xr:uid="{00000000-0004-0000-0100-000066000000}"/>
    <hyperlink ref="M108" r:id="rId104" location="map=18/13.767440/109.197455" xr:uid="{00000000-0004-0000-0100-000067000000}"/>
    <hyperlink ref="M109" r:id="rId105" location="map=18/13.755269/109.208990" xr:uid="{00000000-0004-0000-0100-000068000000}"/>
    <hyperlink ref="M110" r:id="rId106" location="map=18/13.751449/109.208334" xr:uid="{00000000-0004-0000-0100-000069000000}"/>
    <hyperlink ref="M111" r:id="rId107" location="map=18/13.723991/109.160730" xr:uid="{00000000-0004-0000-0100-00006A000000}"/>
    <hyperlink ref="M112" r:id="rId108" location="map=18/13.791481/109.192372" xr:uid="{00000000-0004-0000-0100-00006B000000}"/>
    <hyperlink ref="M113" r:id="rId109" location="map=18/13.772334/109.290517" xr:uid="{00000000-0004-0000-0100-00006C000000}"/>
    <hyperlink ref="M114" r:id="rId110" location="map=18/13.885583/109.258953" xr:uid="{00000000-0004-0000-0100-00006D000000}"/>
    <hyperlink ref="M115" r:id="rId111" location="map=18/13.816458/109.256592" xr:uid="{00000000-0004-0000-0100-00006E000000}"/>
    <hyperlink ref="M116" r:id="rId112" location="map=18/14.561966/109.045847" xr:uid="{00000000-0004-0000-0100-00006F000000}"/>
    <hyperlink ref="M117" r:id="rId113" location="map=18/14.553922/109.042895" xr:uid="{00000000-0004-0000-0100-000070000000}"/>
    <hyperlink ref="M118" r:id="rId114" location="map=18/13.993392/108.000955" xr:uid="{00000000-0004-0000-0100-000071000000}"/>
    <hyperlink ref="M119" r:id="rId115" location="map=18/14.015716/107.991876" xr:uid="{00000000-0004-0000-0100-000072000000}"/>
    <hyperlink ref="M120" r:id="rId116" location="map=18/14.041971/107.987605" xr:uid="{00000000-0004-0000-0100-000073000000}"/>
    <hyperlink ref="M121" r:id="rId117" location="map=18/14.034438/107.988002" xr:uid="{00000000-0004-0000-0100-000074000000}"/>
    <hyperlink ref="M122" r:id="rId118" location="map=18/14.027680/107.989579" xr:uid="{00000000-0004-0000-0100-000075000000}"/>
    <hyperlink ref="M123" r:id="rId119" location="map=18/14.607595/108.893125" xr:uid="{00000000-0004-0000-0100-000076000000}"/>
    <hyperlink ref="M124" r:id="rId120" location="map=18/14.152006/109.153568" xr:uid="{00000000-0004-0000-0100-000077000000}"/>
    <hyperlink ref="M125" r:id="rId121" location="map=18/14.174694/109.147507" xr:uid="{00000000-0004-0000-0100-000078000000}"/>
    <hyperlink ref="M126" r:id="rId122" location="map=18/14.170282/109.138158" xr:uid="{00000000-0004-0000-0100-000079000000}"/>
    <hyperlink ref="M127" r:id="rId123" location="map=18/13.865310/109.012026" xr:uid="{00000000-0004-0000-0100-00007A000000}"/>
    <hyperlink ref="M128" r:id="rId124" location="map=18/14.089625/107.981072" xr:uid="{00000000-0004-0000-0100-00007B000000}"/>
    <hyperlink ref="M129" r:id="rId125" location="map=18/14.046784/108.025730" xr:uid="{00000000-0004-0000-0100-00007C000000}"/>
    <hyperlink ref="M130" r:id="rId126" location="map=18/14.092750/107.978184" xr:uid="{00000000-0004-0000-0100-00007D000000}"/>
    <hyperlink ref="M131" r:id="rId127" location="map=18/14.080199/107.988099" xr:uid="{00000000-0004-0000-0100-00007E000000}"/>
    <hyperlink ref="M132" r:id="rId128" location="map=18/13.864453/107.966449" xr:uid="{00000000-0004-0000-0100-00007F000000}"/>
    <hyperlink ref="M133" r:id="rId129" location="map=18/13.815743/107.879923" xr:uid="{00000000-0004-0000-0100-000080000000}"/>
    <hyperlink ref="M134" r:id="rId130" location="map=18/13.858921/107.949685" xr:uid="{00000000-0004-0000-0100-000081000000}"/>
    <hyperlink ref="M135" r:id="rId131" location="map=18/13.855373/107.920382" xr:uid="{00000000-0004-0000-0100-000082000000}"/>
    <hyperlink ref="M136" r:id="rId132" location="map=18/13.818932/107.872805" xr:uid="{00000000-0004-0000-0100-000083000000}"/>
    <hyperlink ref="M137" r:id="rId133" location="map=18/13.857898/107.928122" xr:uid="{00000000-0004-0000-0100-000084000000}"/>
    <hyperlink ref="M138" r:id="rId134" location="map=18/13.858101/107.945022" xr:uid="{00000000-0004-0000-0100-000085000000}"/>
    <hyperlink ref="M139" r:id="rId135" location="map=18/14.291527/109.078678" xr:uid="{00000000-0004-0000-0100-000086000000}"/>
    <hyperlink ref="M140" r:id="rId136" location="map=18/13.958247/108.828778" xr:uid="{00000000-0004-0000-0100-000087000000}"/>
    <hyperlink ref="M141" r:id="rId137" location="map=18/13.549202/108.260796" xr:uid="{00000000-0004-0000-0100-000088000000}"/>
    <hyperlink ref="M142" r:id="rId138" location="map=18/13.536567/108.293344" xr:uid="{00000000-0004-0000-0100-000089000000}"/>
    <hyperlink ref="M143" r:id="rId139" location="map=18/13.534416/108.298394" xr:uid="{00000000-0004-0000-0100-00008A000000}"/>
    <hyperlink ref="M144" r:id="rId140" location="map=18/14.118360/107.955435" xr:uid="{00000000-0004-0000-0100-00008B000000}"/>
    <hyperlink ref="M145" r:id="rId141" location="map=18/14.167401/107.957132" xr:uid="{00000000-0004-0000-0100-00008C000000}"/>
    <hyperlink ref="M146" r:id="rId142" location="map=18/14.166397/107.956403" xr:uid="{00000000-0004-0000-0100-00008D000000}"/>
    <hyperlink ref="M147" r:id="rId143" location="map=18/14.180072/107.958452" xr:uid="{00000000-0004-0000-0100-00008E000000}"/>
    <hyperlink ref="M148" r:id="rId144" location="map=18/13.502075/108.102583" xr:uid="{00000000-0004-0000-0100-00008F000000}"/>
    <hyperlink ref="M149" r:id="rId145" location="map=18/13.550857/108.097410" xr:uid="{00000000-0004-0000-0100-000090000000}"/>
    <hyperlink ref="M150" r:id="rId146" location="map=18/13.519976/108.103163" xr:uid="{00000000-0004-0000-0100-000091000000}"/>
    <hyperlink ref="M151" r:id="rId147" location="map=18/13.558993/108.101549" xr:uid="{00000000-0004-0000-0100-000092000000}"/>
    <hyperlink ref="M152" r:id="rId148" location="map=18/13.543796/108.100894" xr:uid="{00000000-0004-0000-0100-000093000000}"/>
    <hyperlink ref="M153" r:id="rId149" location="map=18/13.677898/108.084888" xr:uid="{00000000-0004-0000-0100-000094000000}"/>
    <hyperlink ref="M154" r:id="rId150" location="map=18/13.722631/108.063684" xr:uid="{00000000-0004-0000-0100-000095000000}"/>
    <hyperlink ref="M155" r:id="rId151" location="map=18/13.689239/108.083302" xr:uid="{00000000-0004-0000-0100-000096000000}"/>
    <hyperlink ref="M156" r:id="rId152" location="map=18/13.681539/108.083119" xr:uid="{00000000-0004-0000-0100-000097000000}"/>
    <hyperlink ref="M157" r:id="rId153" location="map=18/13.759939/108.028387" xr:uid="{00000000-0004-0000-0100-000098000000}"/>
    <hyperlink ref="M158" r:id="rId154" location="map=18/13.662796/108.119276" xr:uid="{00000000-0004-0000-0100-000099000000}"/>
    <hyperlink ref="M159" r:id="rId155" location="map=18/13.728538/108.054636" xr:uid="{00000000-0004-0000-0100-00009A000000}"/>
    <hyperlink ref="M160" r:id="rId156" location="map=18/13.724274/108.061524" xr:uid="{00000000-0004-0000-0100-00009B000000}"/>
    <hyperlink ref="M161" r:id="rId157" location="map=18/13.703099/108.070998" xr:uid="{00000000-0004-0000-0100-00009C000000}"/>
    <hyperlink ref="M162" r:id="rId158" location="map=18/13.695136/108.077015" xr:uid="{00000000-0004-0000-0100-00009D000000}"/>
    <hyperlink ref="M163" r:id="rId159" location="map=18/14.079647/109.192584" xr:uid="{00000000-0004-0000-0100-00009E000000}"/>
    <hyperlink ref="M164" r:id="rId160" location="map=18/14.021781/109.237942" xr:uid="{00000000-0004-0000-0100-00009F000000}"/>
    <hyperlink ref="M165" r:id="rId161" location="map=18/14.004822/109.244458" xr:uid="{00000000-0004-0000-0100-0000A0000000}"/>
    <hyperlink ref="M166" r:id="rId162" location="map=18/13.944241/109.232625" xr:uid="{00000000-0004-0000-0100-0000A1000000}"/>
    <hyperlink ref="M167" r:id="rId163" location="map=18/13.978074/108.701436" xr:uid="{00000000-0004-0000-0100-0000A2000000}"/>
    <hyperlink ref="M168" r:id="rId164" location="map=18/13.919783/108.004922" xr:uid="{00000000-0004-0000-0100-0000A3000000}"/>
    <hyperlink ref="M169" r:id="rId165" location="map=18/13.767421/107.513092" xr:uid="{00000000-0004-0000-0100-0000A4000000}"/>
    <hyperlink ref="M170" r:id="rId166" location="map=18/13.798580/107.643836" xr:uid="{00000000-0004-0000-0100-0000A5000000}"/>
    <hyperlink ref="M171" r:id="rId167" location="map=18/13.962504/107.842417" xr:uid="{00000000-0004-0000-0100-0000A6000000}"/>
    <hyperlink ref="M172" r:id="rId168" location="map=18/13.965552/107.868136" xr:uid="{00000000-0004-0000-0100-0000A7000000}"/>
    <hyperlink ref="M173" r:id="rId169" location="map=18/13.960780/107.836828" xr:uid="{00000000-0004-0000-0100-0000A8000000}"/>
    <hyperlink ref="M174" r:id="rId170" location="map=18/14.028995/107.854040" xr:uid="{00000000-0004-0000-0100-0000A9000000}"/>
    <hyperlink ref="M175" r:id="rId171" location="map=18/13.472653/108.381194" xr:uid="{00000000-0004-0000-0100-0000AA000000}"/>
    <hyperlink ref="M176" r:id="rId172" location="map=18/13.436243/108.418569" xr:uid="{00000000-0004-0000-0100-0000AB000000}"/>
    <hyperlink ref="M177" r:id="rId173" location="map=18/13.633248/108.111281" xr:uid="{00000000-0004-0000-0100-0000AC000000}"/>
    <hyperlink ref="M178" r:id="rId174" location="map=18/13.597839/108.102667" xr:uid="{00000000-0004-0000-0100-0000AD000000}"/>
    <hyperlink ref="M179" r:id="rId175" location="map=18/13.643117/108.106219" xr:uid="{00000000-0004-0000-0100-0000AE000000}"/>
    <hyperlink ref="M180" r:id="rId176" location="map=18/13.577022/108.099855" xr:uid="{00000000-0004-0000-0100-0000AF000000}"/>
    <hyperlink ref="M181" r:id="rId177" location="map=18/13.590662/108.101838" xr:uid="{00000000-0004-0000-0100-0000B0000000}"/>
    <hyperlink ref="M182" r:id="rId178" location="map=18/13.589025/108.101581" xr:uid="{00000000-0004-0000-0100-0000B1000000}"/>
    <hyperlink ref="M183" r:id="rId179" location="map=18/14.236632/107.992550" xr:uid="{00000000-0004-0000-0100-0000B2000000}"/>
    <hyperlink ref="M184" r:id="rId180" location="map=18/14.235674/107.992852" xr:uid="{00000000-0004-0000-0100-0000B3000000}"/>
    <hyperlink ref="M185" r:id="rId181" location="map=18/14.222978/107.985709" xr:uid="{00000000-0004-0000-0100-0000B4000000}"/>
    <hyperlink ref="M186" r:id="rId182" location="map=18/13.836425/107.794689" xr:uid="{00000000-0004-0000-0100-0000B5000000}"/>
    <hyperlink ref="M187" r:id="rId183" location="map=18/13.824971/107.767267" xr:uid="{00000000-0004-0000-0100-0000B6000000}"/>
    <hyperlink ref="M188" r:id="rId184" location="map=18/13.839785/107.816265" xr:uid="{00000000-0004-0000-0100-0000B7000000}"/>
    <hyperlink ref="M189" r:id="rId185" location="map=18/13.442829/108.091506" xr:uid="{00000000-0004-0000-0100-0000B8000000}"/>
    <hyperlink ref="M190" r:id="rId186" location="map=18/13.456141/108.092186" xr:uid="{00000000-0004-0000-0100-0000B9000000}"/>
    <hyperlink ref="M191" r:id="rId187" location="map=18/13.418804/108.093311" xr:uid="{00000000-0004-0000-0100-0000BA000000}"/>
    <hyperlink ref="M192" r:id="rId188" location="map=18/13.479516/108.098050" xr:uid="{00000000-0004-0000-0100-0000BB000000}"/>
    <hyperlink ref="M193" r:id="rId189" location="map=18/14.179606/107.851204" xr:uid="{00000000-0004-0000-0100-0000BC000000}"/>
    <hyperlink ref="M194" r:id="rId190" location="map=18/13.383169/107.688715" xr:uid="{00000000-0004-0000-0100-0000BD000000}"/>
    <hyperlink ref="M195" r:id="rId191" location="map=18/13.760246/107.569539" xr:uid="{00000000-0004-0000-0100-0000BE000000}"/>
    <hyperlink ref="M196" r:id="rId192" location="map=18/13.723203/107.600596" xr:uid="{00000000-0004-0000-0100-0000BF000000}"/>
    <hyperlink ref="M197" r:id="rId193" location="map=18/13.782532/107.619933" xr:uid="{00000000-0004-0000-0100-0000C0000000}"/>
    <hyperlink ref="M198" r:id="rId194" location="map=18/13.774729/107.605160" xr:uid="{00000000-0004-0000-0100-0000C1000000}"/>
    <hyperlink ref="M199" r:id="rId195" location="map=18/13.731886/107.600665" xr:uid="{00000000-0004-0000-0100-0000C2000000}"/>
    <hyperlink ref="M200" r:id="rId196" location="map=18/13.766567/107.509127" xr:uid="{00000000-0004-0000-0100-0000C3000000}"/>
    <hyperlink ref="M201" r:id="rId197" location="map=18/13.965612/107.515675" xr:uid="{00000000-0004-0000-0100-0000C4000000}"/>
    <hyperlink ref="M202" r:id="rId198" location="map=18/13.958114/107.537693" xr:uid="{00000000-0004-0000-0100-0000C5000000}"/>
    <hyperlink ref="M203" r:id="rId199" location="map=18/14.145278/107.887055" xr:uid="{00000000-0004-0000-0100-0000C6000000}"/>
    <hyperlink ref="M204" r:id="rId200" location="map=18/14.089803/107.849848" xr:uid="{00000000-0004-0000-0100-0000C7000000}"/>
    <hyperlink ref="M205" r:id="rId201" location="map=18/13.296739/108.623578" xr:uid="{00000000-0004-0000-0100-0000C8000000}"/>
    <hyperlink ref="M206" r:id="rId202" location="map=18/13.250360/108.630814" xr:uid="{00000000-0004-0000-0100-0000C9000000}"/>
    <hyperlink ref="M207" r:id="rId203" location="map=18/13.235321/108.641250" xr:uid="{00000000-0004-0000-0100-0000CA000000}"/>
    <hyperlink ref="M208" r:id="rId204" location="map=18/13.367956/108.465987" xr:uid="{00000000-0004-0000-0100-0000CB000000}"/>
    <hyperlink ref="M209" r:id="rId205" location="map=18/13.799621/108.003466" xr:uid="{00000000-0004-0000-0100-0000CC000000}"/>
    <hyperlink ref="M210" r:id="rId206" location="map=18/13.816293/108.002644" xr:uid="{00000000-0004-0000-0100-0000CD000000}"/>
    <hyperlink ref="M211" r:id="rId207" location="map=18/13.875541/108.008584" xr:uid="{00000000-0004-0000-0100-0000CE000000}"/>
    <hyperlink ref="M212" r:id="rId208" location="map=18/13.844211/107.997963" xr:uid="{00000000-0004-0000-0100-0000CF000000}"/>
    <hyperlink ref="M213" r:id="rId209" location="map=18/13.818303/108.002037" xr:uid="{00000000-0004-0000-0100-0000D0000000}"/>
    <hyperlink ref="M214" r:id="rId210" location="map=18/13.837449/107.998137" xr:uid="{00000000-0004-0000-0100-0000D1000000}"/>
    <hyperlink ref="M215" r:id="rId211" location="map=18/13.796079/108.003366" xr:uid="{00000000-0004-0000-0100-0000D2000000}"/>
    <hyperlink ref="M216" r:id="rId212" location="map=18/13.902359/109.255319" xr:uid="{00000000-0004-0000-0100-0000D3000000}"/>
    <hyperlink ref="M217" r:id="rId213" location="map=18/14.015830/109.054691" xr:uid="{00000000-0004-0000-0100-0000D4000000}"/>
    <hyperlink ref="M218" r:id="rId214" location="map=18/14.013393/109.054099" xr:uid="{00000000-0004-0000-0100-0000D5000000}"/>
    <hyperlink ref="M219" r:id="rId215" location="map=18/14.202374/109.061216" xr:uid="{00000000-0004-0000-0100-0000D6000000}"/>
    <hyperlink ref="M220" r:id="rId216" location="map=18/14.190846/109.042795" xr:uid="{00000000-0004-0000-0100-0000D7000000}"/>
    <hyperlink ref="M221" r:id="rId217" location="map=18/14.374409/109.114247" xr:uid="{00000000-0004-0000-0100-0000D8000000}"/>
    <hyperlink ref="M222" r:id="rId218" location="map=18/14.373808/109.111165" xr:uid="{00000000-0004-0000-0100-0000D9000000}"/>
    <hyperlink ref="M223" r:id="rId219" location="map=18/14.299369/109.077199" xr:uid="{00000000-0004-0000-0100-0000DA000000}"/>
    <hyperlink ref="M224" r:id="rId220" location="map=18/14.318895/109.151658" xr:uid="{00000000-0004-0000-0100-0000DB000000}"/>
    <hyperlink ref="M225" r:id="rId221" location="map=18/14.213815/109.161719" xr:uid="{00000000-0004-0000-0100-0000DC000000}"/>
    <hyperlink ref="M226" r:id="rId222" location="map=18/14.232638/109.189398" xr:uid="{00000000-0004-0000-0100-0000DD000000}"/>
    <hyperlink ref="M227" r:id="rId223" location="map=18/14.271083/109.175833" xr:uid="{00000000-0004-0000-0100-0000DE000000}"/>
    <hyperlink ref="M228" r:id="rId224" location="map=18/14.274659/109.173987" xr:uid="{00000000-0004-0000-0100-0000DF000000}"/>
    <hyperlink ref="M229" r:id="rId225" location="map=18/14.233944/109.190329" xr:uid="{00000000-0004-0000-0100-0000E0000000}"/>
    <hyperlink ref="M230" r:id="rId226" location="map=18/14.279573/109.174842" xr:uid="{00000000-0004-0000-0100-0000E1000000}"/>
    <hyperlink ref="M231" r:id="rId227" location="map=18/14.223540/109.161932" xr:uid="{00000000-0004-0000-0100-0000E2000000}"/>
    <hyperlink ref="M232" r:id="rId228" location="map=18/13.485476/108.373383" xr:uid="{00000000-0004-0000-0100-0000E3000000}"/>
    <hyperlink ref="M233" r:id="rId229" location="map=18/13.528797/108.317647" xr:uid="{00000000-0004-0000-0100-0000E4000000}"/>
    <hyperlink ref="M234" r:id="rId230" location="map=18/13.528321/108.322829" xr:uid="{00000000-0004-0000-0100-0000E5000000}"/>
    <hyperlink ref="M235" r:id="rId231" location="map=18/13.187186/108.697892" xr:uid="{00000000-0004-0000-0100-0000E6000000}"/>
    <hyperlink ref="M236" r:id="rId232" location="map=18/13.210248/108.679111" xr:uid="{00000000-0004-0000-0100-0000E7000000}"/>
    <hyperlink ref="M237" r:id="rId233" location="map=18/13.213804/108.675532" xr:uid="{00000000-0004-0000-0100-0000E8000000}"/>
    <hyperlink ref="M238" r:id="rId234" location="map=18/13.171877/108.719714" xr:uid="{00000000-0004-0000-0100-0000E9000000}"/>
    <hyperlink ref="M239" r:id="rId235" location="map=18/13.800359/109.144275" xr:uid="{00000000-0004-0000-0100-0000EA000000}"/>
    <hyperlink ref="M240" r:id="rId236" location="map=18/13.853625/109.134297" xr:uid="{00000000-0004-0000-0100-0000EB000000}"/>
    <hyperlink ref="M241" r:id="rId237" location="map=18/13.823982/109.145368" xr:uid="{00000000-0004-0000-0100-0000EC000000}"/>
    <hyperlink ref="M242" r:id="rId238" location="map=18/13.825272/109.157592" xr:uid="{00000000-0004-0000-0100-0000ED000000}"/>
    <hyperlink ref="M243" r:id="rId239" location="map=18/13.863847/109.131215" xr:uid="{00000000-0004-0000-0100-0000EE000000}"/>
    <hyperlink ref="M244" r:id="rId240" location="map=18/13.852446/109.134898" xr:uid="{00000000-0004-0000-0100-0000EF000000}"/>
    <hyperlink ref="M245" r:id="rId241" location="map=18/13.860556/109.137292" xr:uid="{00000000-0004-0000-0100-0000F0000000}"/>
    <hyperlink ref="M246" r:id="rId242" location="map=18/13.836962/109.141157" xr:uid="{00000000-0004-0000-0100-0000F1000000}"/>
    <hyperlink ref="M247" r:id="rId243" location="map=18/13.810054/109.147303" xr:uid="{00000000-0004-0000-0100-0000F2000000}"/>
    <hyperlink ref="M248" r:id="rId244" location="map=18/13.896329/109.257087" xr:uid="{00000000-0004-0000-0100-0000F3000000}"/>
    <hyperlink ref="M249" r:id="rId245" location="map=18/13.908124/108.918170" xr:uid="{00000000-0004-0000-0100-0000F4000000}"/>
    <hyperlink ref="M250" r:id="rId246" location="map=18/13.926691/108.923037" xr:uid="{00000000-0004-0000-0100-0000F5000000}"/>
    <hyperlink ref="M251" r:id="rId247" location="map=18/13.907589/108.922672" xr:uid="{00000000-0004-0000-0100-0000F6000000}"/>
    <hyperlink ref="M252" r:id="rId248" location="map=18/13.900693/108.937689" xr:uid="{00000000-0004-0000-0100-0000F7000000}"/>
    <hyperlink ref="M253" r:id="rId249" location="map=18/13.339455/108.538382" xr:uid="{00000000-0004-0000-0100-0000F8000000}"/>
    <hyperlink ref="M254" r:id="rId250" location="map=18/13.311231/108.591230" xr:uid="{00000000-0004-0000-0100-0000F9000000}"/>
    <hyperlink ref="M255" r:id="rId251" location="map=18/13.317988/108.587806" xr:uid="{00000000-0004-0000-0100-0000FA000000}"/>
    <hyperlink ref="M256" r:id="rId252" location="map=18/14.097919/108.786228" xr:uid="{00000000-0004-0000-0100-0000FB000000}"/>
    <hyperlink ref="M257" r:id="rId253" location="map=18/14.089430/108.784657" xr:uid="{00000000-0004-0000-0100-0000FC000000}"/>
    <hyperlink ref="M258" r:id="rId254" location="map=18/14.097060/109.193139" xr:uid="{00000000-0004-0000-0100-0000FD000000}"/>
    <hyperlink ref="M259" r:id="rId255" location="map=18/14.129296/109.169857" xr:uid="{00000000-0004-0000-0100-0000FE000000}"/>
    <hyperlink ref="M260" r:id="rId256" location="map=18/13.817506/107.718482" xr:uid="{00000000-0004-0000-0100-0000FF000000}"/>
    <hyperlink ref="M261" r:id="rId257" location="map=18/13.800779/107.687452" xr:uid="{00000000-0004-0000-0100-000000010000}"/>
    <hyperlink ref="M262" r:id="rId258" location="map=18/13.813859/107.712302" xr:uid="{00000000-0004-0000-0100-000001010000}"/>
    <hyperlink ref="M263" r:id="rId259" location="map=18/13.812426/107.708464" xr:uid="{00000000-0004-0000-0100-000002010000}"/>
    <hyperlink ref="M264" r:id="rId260" location="map=18/14.046859/107.996007" xr:uid="{00000000-0004-0000-0100-000003010000}"/>
    <hyperlink ref="M265" r:id="rId261" location="map=18/13.969184/107.988988" xr:uid="{00000000-0004-0000-0100-000004010000}"/>
    <hyperlink ref="M266" r:id="rId262" location="map=18/13.972615/107.988967" xr:uid="{00000000-0004-0000-0100-000005010000}"/>
    <hyperlink ref="M267" r:id="rId263" location="map=18/13.980120/107.996299" xr:uid="{00000000-0004-0000-0100-000006010000}"/>
    <hyperlink ref="M268" r:id="rId264" location="map=18/13.983239/107.991046" xr:uid="{00000000-0004-0000-0100-000007010000}"/>
    <hyperlink ref="M269" r:id="rId265" location="map=18/13.978302/107.986994" xr:uid="{00000000-0004-0000-0100-000008010000}"/>
    <hyperlink ref="M270" r:id="rId266" location="map=18/13.980267/107.989479" xr:uid="{00000000-0004-0000-0100-000009010000}"/>
    <hyperlink ref="M271" r:id="rId267" location="map=18/13.976554/108.000868" xr:uid="{00000000-0004-0000-0100-00000A010000}"/>
    <hyperlink ref="M272" r:id="rId268" location="map=18/13.970364/107.999584" xr:uid="{00000000-0004-0000-0100-00000B010000}"/>
    <hyperlink ref="M273" r:id="rId269" location="map=18/13.979965/107.998626" xr:uid="{00000000-0004-0000-0100-00000C010000}"/>
    <hyperlink ref="M274" r:id="rId270" location="map=18/13.979960/107.998649" xr:uid="{00000000-0004-0000-0100-00000D010000}"/>
    <hyperlink ref="M275" r:id="rId271" location="map=18/13.964694/108.017303" xr:uid="{00000000-0004-0000-0100-00000E010000}"/>
    <hyperlink ref="M276" r:id="rId272" location="map=18/13.963553/108.020496" xr:uid="{00000000-0004-0000-0100-00000F010000}"/>
    <hyperlink ref="M277" r:id="rId273" location="map=18/13.970603/108.026391" xr:uid="{00000000-0004-0000-0100-000010010000}"/>
    <hyperlink ref="M278" r:id="rId274" location="map=18/13.976794/108.002227" xr:uid="{00000000-0004-0000-0100-000011010000}"/>
    <hyperlink ref="M279" r:id="rId275" location="map=18/13.979496/107.999217" xr:uid="{00000000-0004-0000-0100-000012010000}"/>
    <hyperlink ref="M280" r:id="rId276" location="map=18/13.972410/108.014668" xr:uid="{00000000-0004-0000-0100-000013010000}"/>
    <hyperlink ref="M281" r:id="rId277" location="map=18/13.978379/108.014446" xr:uid="{00000000-0004-0000-0100-000014010000}"/>
    <hyperlink ref="M282" r:id="rId278" location="map=18/13.979419/108.010636" xr:uid="{00000000-0004-0000-0100-000015010000}"/>
    <hyperlink ref="M283" r:id="rId279" location="map=18/13.976822/108.006305" xr:uid="{00000000-0004-0000-0100-000016010000}"/>
    <hyperlink ref="M284" r:id="rId280" location="map=18/13.981437/108.000195" xr:uid="{00000000-0004-0000-0100-000017010000}"/>
    <hyperlink ref="M285" r:id="rId281" location="map=18/13.979938/107.999221" xr:uid="{00000000-0004-0000-0100-000018010000}"/>
    <hyperlink ref="M286" r:id="rId282" location="map=18/13.978644/108.011233" xr:uid="{00000000-0004-0000-0100-000019010000}"/>
    <hyperlink ref="M287" r:id="rId283" location="map=18/13.969831/108.018447" xr:uid="{00000000-0004-0000-0100-00001A010000}"/>
    <hyperlink ref="M288" r:id="rId284" location="map=18/13.970573/108.015729" xr:uid="{00000000-0004-0000-0100-00001B010000}"/>
    <hyperlink ref="M289" r:id="rId285" location="map=18/13.978444/108.012831" xr:uid="{00000000-0004-0000-0100-00001C010000}"/>
    <hyperlink ref="M290" r:id="rId286" location="map=18/13.975266/108.015095" xr:uid="{00000000-0004-0000-0100-00001D010000}"/>
    <hyperlink ref="M291" r:id="rId287" location="map=18/13.981680/108.008389" xr:uid="{00000000-0004-0000-0100-00001E010000}"/>
    <hyperlink ref="M292" r:id="rId288" location="map=18/13.970082/108.014993" xr:uid="{00000000-0004-0000-0100-00001F010000}"/>
    <hyperlink ref="M293" r:id="rId289" location="map=18/14.009646/107.993393" xr:uid="{00000000-0004-0000-0100-000020010000}"/>
    <hyperlink ref="M294" r:id="rId290" location="map=18/14.000926/107.991416" xr:uid="{00000000-0004-0000-0100-000021010000}"/>
    <hyperlink ref="M295" r:id="rId291" location="map=18/14.004752/107.994981" xr:uid="{00000000-0004-0000-0100-000022010000}"/>
    <hyperlink ref="M296" r:id="rId292" location="map=18/13.888449/109.113018" xr:uid="{00000000-0004-0000-0100-000023010000}"/>
    <hyperlink ref="M297" r:id="rId293" location="map=18/13.889095/109.113241" xr:uid="{00000000-0004-0000-0100-000024010000}"/>
    <hyperlink ref="M298" r:id="rId294" location="map=18/13.976870/107.990679" xr:uid="{00000000-0004-0000-0100-000025010000}"/>
    <hyperlink ref="M299" r:id="rId295" location="map=18/13.985977/108.007370" xr:uid="{00000000-0004-0000-0100-000026010000}"/>
    <hyperlink ref="M300" r:id="rId296" location="map=18/13.767364/109.220744" xr:uid="{00000000-0004-0000-0100-000027010000}"/>
    <hyperlink ref="M301" r:id="rId297" location="map=18/13.767369/109.220755" xr:uid="{00000000-0004-0000-0100-000028010000}"/>
    <hyperlink ref="M302" r:id="rId298" location="map=18/13.749947/109.211906" xr:uid="{00000000-0004-0000-0100-000029010000}"/>
    <hyperlink ref="M303" r:id="rId299" location="map=18/13.995564/107.998273" xr:uid="{00000000-0004-0000-0100-00002A010000}"/>
    <hyperlink ref="M304" r:id="rId300" location="map=18/13.696572/108.075336" xr:uid="{00000000-0004-0000-0100-00002B010000}"/>
    <hyperlink ref="M305" r:id="rId301" location="map=18/13.695918/108.075839" xr:uid="{00000000-0004-0000-0100-00002C010000}"/>
    <hyperlink ref="M306" r:id="rId302" location="map=18/13.696231/108.075673" xr:uid="{00000000-0004-0000-0100-00002D010000}"/>
    <hyperlink ref="M307" r:id="rId303" location="map=18/13.696052/108.075655" xr:uid="{00000000-0004-0000-0100-00002E010000}"/>
    <hyperlink ref="M308" r:id="rId304" location="map=18/14.363662/108.968481" xr:uid="{00000000-0004-0000-0100-00002F010000}"/>
    <hyperlink ref="M309" r:id="rId305" location="map=18/13.962127/107.845972" xr:uid="{00000000-0004-0000-0100-000030010000}"/>
    <hyperlink ref="M310" r:id="rId306" location="map=18/13.962366/107.838488" xr:uid="{00000000-0004-0000-0100-000031010000}"/>
    <hyperlink ref="M311" r:id="rId307" location="map=18/14.040833/108.252419" xr:uid="{00000000-0004-0000-0100-000032010000}"/>
    <hyperlink ref="M312" r:id="rId308" location="map=18/14.171974/109.049926" xr:uid="{00000000-0004-0000-0100-000033010000}"/>
    <hyperlink ref="M313" r:id="rId309" location="map=18/14.173918/109.051076" xr:uid="{00000000-0004-0000-0100-000034010000}"/>
    <hyperlink ref="M314" r:id="rId310" location="map=18/14.175770/109.051498" xr:uid="{00000000-0004-0000-0100-000035010000}"/>
    <hyperlink ref="M315" r:id="rId311" location="map=18/13.808651/109.146959" xr:uid="{00000000-0004-0000-0100-000036010000}"/>
    <hyperlink ref="M316" r:id="rId312" location="map=18/13.799908/109.141457" xr:uid="{00000000-0004-0000-0100-000037010000}"/>
    <hyperlink ref="M317" r:id="rId313" location="map=18/14.097778/108.786774" xr:uid="{00000000-0004-0000-0100-000038010000}"/>
    <hyperlink ref="M318" r:id="rId314" location="map=18/13.969860/107.994462" xr:uid="{00000000-0004-0000-0100-000039010000}"/>
    <hyperlink ref="M319" r:id="rId315" location="map=18/13.965428/107.991962" xr:uid="{00000000-0004-0000-0100-00003A010000}"/>
    <hyperlink ref="M320" r:id="rId316" location="map=18/13.968487/107.992127" xr:uid="{00000000-0004-0000-0100-00003B010000}"/>
    <hyperlink ref="M321" r:id="rId317" location="map=18/13.978683/107.984689" xr:uid="{00000000-0004-0000-0100-00003C010000}"/>
    <hyperlink ref="M322" r:id="rId318" location="map=18/13.976186/108.007167" xr:uid="{00000000-0004-0000-0100-00003D010000}"/>
    <hyperlink ref="M323" r:id="rId319" location="map=18/13.970020/108.015597" xr:uid="{00000000-0004-0000-0100-00003E010000}"/>
    <hyperlink ref="M324" r:id="rId320" location="map=18/13.973896/108.015126" xr:uid="{00000000-0004-0000-0100-00003F010000}"/>
    <hyperlink ref="M325" r:id="rId321" location="map=18/14.015489/107.985773" xr:uid="{00000000-0004-0000-0100-000040010000}"/>
    <hyperlink ref="M326" r:id="rId322" location="map=18/13.978438/108.012272" xr:uid="{00000000-0004-0000-0100-000041010000}"/>
    <hyperlink ref="M327" r:id="rId323" location="map=18/14.554941/109.034429" xr:uid="{00000000-0004-0000-0100-000042010000}"/>
    <hyperlink ref="M328" r:id="rId324" location="map=18/13.577281/108.099922" xr:uid="{00000000-0004-0000-0100-000043010000}"/>
    <hyperlink ref="M329" r:id="rId325" location="map=18/13.982935/108.005989" xr:uid="{00000000-0004-0000-0100-000044010000}"/>
    <hyperlink ref="M330" r:id="rId326" location="map=18/13.960747/108.638777" xr:uid="{00000000-0004-0000-0100-000045010000}"/>
    <hyperlink ref="M331" r:id="rId327" location="map=18/13.960747/108.638777" xr:uid="{00000000-0004-0000-0100-000046010000}"/>
    <hyperlink ref="M332" r:id="rId328" location="map=18/13.960747/108.638777" xr:uid="{00000000-0004-0000-0100-000047010000}"/>
    <hyperlink ref="M333" r:id="rId329" location="map=18/13.983453/108.652321" xr:uid="{00000000-0004-0000-0100-000048010000}"/>
    <hyperlink ref="M334" r:id="rId330" location="map=18/13.957298/108.644292" xr:uid="{00000000-0004-0000-0100-000049010000}"/>
    <hyperlink ref="M335" r:id="rId331" location="map=18/13.953411/108.661212" xr:uid="{00000000-0004-0000-0100-00004A010000}"/>
    <hyperlink ref="M336" r:id="rId332" location="map=18/13.852410/109.091431" xr:uid="{00000000-0004-0000-0100-00004B010000}"/>
    <hyperlink ref="M337" r:id="rId333" location="map=18/13.402764/108.439810" xr:uid="{00000000-0004-0000-0100-00004C010000}"/>
    <hyperlink ref="M338" r:id="rId334" location="map=18/13.402764/108.439810" xr:uid="{00000000-0004-0000-0100-00004D010000}"/>
    <hyperlink ref="M339" r:id="rId335" location="map=18/13.402764/108.439810" xr:uid="{00000000-0004-0000-0100-00004E010000}"/>
    <hyperlink ref="M340" r:id="rId336" location="map=18/13.402764/108.439810" xr:uid="{00000000-0004-0000-0100-00004F010000}"/>
    <hyperlink ref="M341" r:id="rId337" location="map=18/13.889007/109.114931" xr:uid="{00000000-0004-0000-0100-000050010000}"/>
    <hyperlink ref="M342" r:id="rId338" location="map=18/13.888510/109.118279" xr:uid="{00000000-0004-0000-0100-000051010000}"/>
    <hyperlink ref="M343" r:id="rId339" location="map=18/14.430172/109.016253" xr:uid="{00000000-0004-0000-0100-000052010000}"/>
    <hyperlink ref="M344" r:id="rId340" location="map=18/14.430120/109.016862" xr:uid="{00000000-0004-0000-0100-000053010000}"/>
    <hyperlink ref="M345" r:id="rId341" location="map=18/14.422518/109.004610" xr:uid="{00000000-0004-0000-0100-000054010000}"/>
    <hyperlink ref="M346" r:id="rId342" location="map=18/14.436797/109.018098" xr:uid="{00000000-0004-0000-0100-000055010000}"/>
    <hyperlink ref="M347" r:id="rId343" location="map=18/14.430120/109.016862" xr:uid="{00000000-0004-0000-0100-000056010000}"/>
    <hyperlink ref="M348" r:id="rId344" location="map=18/13.979667/107.993029" xr:uid="{00000000-0004-0000-0100-000057010000}"/>
    <hyperlink ref="M349" r:id="rId345" location="map=18/13.979667/107.993029" xr:uid="{00000000-0004-0000-0100-000058010000}"/>
    <hyperlink ref="M350" r:id="rId346" location="map=18/13.977149/107.994717" xr:uid="{00000000-0004-0000-0100-000059010000}"/>
    <hyperlink ref="M351" r:id="rId347" location="map=18/13.980355/107.995495" xr:uid="{00000000-0004-0000-0100-00005A010000}"/>
    <hyperlink ref="M352" r:id="rId348" location="map=18/13.980355/107.995495" xr:uid="{00000000-0004-0000-0100-00005B010000}"/>
    <hyperlink ref="M353" r:id="rId349" location="map=18/13.980355/107.995495" xr:uid="{00000000-0004-0000-0100-00005C010000}"/>
    <hyperlink ref="M354" r:id="rId350" location="map=18/13.977775/107.995581" xr:uid="{00000000-0004-0000-0100-00005D010000}"/>
    <hyperlink ref="M355" r:id="rId351" location="map=18/13.979797/107.993359" xr:uid="{00000000-0004-0000-0100-00005E010000}"/>
    <hyperlink ref="M356" r:id="rId352" location="map=18/13.979881/107.992826" xr:uid="{00000000-0004-0000-0100-00005F010000}"/>
    <hyperlink ref="M357" r:id="rId353" location="map=18/13.977775/107.995581" xr:uid="{00000000-0004-0000-0100-000060010000}"/>
    <hyperlink ref="M358" r:id="rId354" location="map=18/14.494012/109.089259" xr:uid="{00000000-0004-0000-0100-000061010000}"/>
    <hyperlink ref="M359" r:id="rId355" location="map=18/13.964466/108.017029" xr:uid="{00000000-0004-0000-0100-000062010000}"/>
    <hyperlink ref="M360" r:id="rId356" location="map=18/13.971235/108.031073" xr:uid="{00000000-0004-0000-0100-000063010000}"/>
    <hyperlink ref="M361" r:id="rId357" location="map=18/13.964068/108.017085" xr:uid="{00000000-0004-0000-0100-000064010000}"/>
    <hyperlink ref="M362" r:id="rId358" location="map=18/13.964068/108.017085" xr:uid="{00000000-0004-0000-0100-000065010000}"/>
    <hyperlink ref="M363" r:id="rId359" location="map=18/13.983157/108.000617" xr:uid="{00000000-0004-0000-0100-000066010000}"/>
    <hyperlink ref="M364" r:id="rId360" location="map=18/13.970614/108.018577" xr:uid="{00000000-0004-0000-0100-000067010000}"/>
    <hyperlink ref="M365" r:id="rId361" location="map=18/13.970614/108.018577" xr:uid="{00000000-0004-0000-0100-000068010000}"/>
    <hyperlink ref="M366" r:id="rId362" location="map=18/13.970614/108.018577" xr:uid="{00000000-0004-0000-0100-000069010000}"/>
    <hyperlink ref="M367" r:id="rId363" location="map=18/13.977581/108.001427" xr:uid="{00000000-0004-0000-0100-00006A010000}"/>
    <hyperlink ref="M368" r:id="rId364" location="map=18/13.971860/108.030581" xr:uid="{00000000-0004-0000-0100-00006B010000}"/>
    <hyperlink ref="M369" r:id="rId365" location="map=18/13.978670/108.012436" xr:uid="{00000000-0004-0000-0100-00006C010000}"/>
    <hyperlink ref="M370" r:id="rId366" location="map=18/13.983910/108.028153" xr:uid="{00000000-0004-0000-0100-00006D010000}"/>
    <hyperlink ref="M371" r:id="rId367" location="map=18/13.977266/108.001279" xr:uid="{00000000-0004-0000-0100-00006E010000}"/>
    <hyperlink ref="M372" r:id="rId368" location="map=18/13.989810/108.041880" xr:uid="{00000000-0004-0000-0100-00006F010000}"/>
    <hyperlink ref="M373" r:id="rId369" location="map=18/13.972270/108.014785" xr:uid="{00000000-0004-0000-0100-000070010000}"/>
    <hyperlink ref="M374" r:id="rId370" location="map=18/13.985277/108.007542" xr:uid="{00000000-0004-0000-0100-000071010000}"/>
    <hyperlink ref="M375" r:id="rId371" location="map=18/13.982082/108.009435" xr:uid="{00000000-0004-0000-0100-000072010000}"/>
    <hyperlink ref="M376" r:id="rId372" location="map=18/13.988047/108.008083" xr:uid="{00000000-0004-0000-0100-000073010000}"/>
    <hyperlink ref="M377" r:id="rId373" location="map=18/13.977120/108.005601" xr:uid="{00000000-0004-0000-0100-000074010000}"/>
    <hyperlink ref="M378" r:id="rId374" location="map=18/13.978451/107.999191" xr:uid="{00000000-0004-0000-0100-000075010000}"/>
    <hyperlink ref="M379" r:id="rId375" location="map=18/13.988047/108.008083" xr:uid="{00000000-0004-0000-0100-000076010000}"/>
    <hyperlink ref="M380" r:id="rId376" location="map=18/13.982082/108.009435" xr:uid="{00000000-0004-0000-0100-000077010000}"/>
    <hyperlink ref="M381" r:id="rId377" location="map=18/13.977120/108.005601" xr:uid="{00000000-0004-0000-0100-000078010000}"/>
    <hyperlink ref="M382" r:id="rId378" location="map=18/13.775968/109.223721" xr:uid="{00000000-0004-0000-0100-000079010000}"/>
    <hyperlink ref="M383" r:id="rId379" location="map=18/13.774880/109.225950" xr:uid="{00000000-0004-0000-0100-00007A010000}"/>
    <hyperlink ref="M384" r:id="rId380" location="map=18/13.776245/109.228166" xr:uid="{00000000-0004-0000-0100-00007B010000}"/>
    <hyperlink ref="M385" r:id="rId381" location="map=18/13.770092/109.227191" xr:uid="{00000000-0004-0000-0100-00007C010000}"/>
    <hyperlink ref="M386" r:id="rId382" location="map=18/13.770762/109.234438" xr:uid="{00000000-0004-0000-0100-00007D010000}"/>
    <hyperlink ref="M387" r:id="rId383" location="map=18/13.772824/109.226808" xr:uid="{00000000-0004-0000-0100-00007E010000}"/>
    <hyperlink ref="M388" r:id="rId384" location="map=18/13.775997/109.232437" xr:uid="{00000000-0004-0000-0100-00007F010000}"/>
    <hyperlink ref="M389" r:id="rId385" location="map=18/13.781344/109.221953" xr:uid="{00000000-0004-0000-0100-000080010000}"/>
    <hyperlink ref="M390" r:id="rId386" location="map=18/13.769960/109.221118" xr:uid="{00000000-0004-0000-0100-000081010000}"/>
    <hyperlink ref="M391" r:id="rId387" location="map=18/13.775769/109.230896" xr:uid="{00000000-0004-0000-0100-000082010000}"/>
    <hyperlink ref="M392" r:id="rId388" location="map=18/13.775997/109.232437" xr:uid="{00000000-0004-0000-0100-000083010000}"/>
    <hyperlink ref="M393" r:id="rId389" location="map=18/13.769960/109.221118" xr:uid="{00000000-0004-0000-0100-000084010000}"/>
    <hyperlink ref="M394" r:id="rId390" location="map=18/13.795531/109.180997" xr:uid="{00000000-0004-0000-0100-000085010000}"/>
    <hyperlink ref="M395" r:id="rId391" location="map=18/13.781590/109.148745" xr:uid="{00000000-0004-0000-0100-000086010000}"/>
    <hyperlink ref="M396" r:id="rId392" location="map=18/13.796238/109.147490" xr:uid="{00000000-0004-0000-0100-000087010000}"/>
    <hyperlink ref="M397" r:id="rId393" location="map=18/13.781590/109.148745" xr:uid="{00000000-0004-0000-0100-000088010000}"/>
    <hyperlink ref="M398" r:id="rId394" location="map=18/13.752230/109.210600" xr:uid="{00000000-0004-0000-0100-000089010000}"/>
    <hyperlink ref="M399" r:id="rId395" location="map=18/13.762101/109.218813" xr:uid="{00000000-0004-0000-0100-00008A010000}"/>
    <hyperlink ref="M400" r:id="rId396" location="map=18/13.757474/109.214031" xr:uid="{00000000-0004-0000-0100-00008B010000}"/>
    <hyperlink ref="M401" r:id="rId397" location="map=18/13.756456/109.218592" xr:uid="{00000000-0004-0000-0100-00008C010000}"/>
    <hyperlink ref="M402" r:id="rId398" location="map=18/13.762705/109.213068" xr:uid="{00000000-0004-0000-0100-00008D010000}"/>
    <hyperlink ref="M403" r:id="rId399" location="map=18/13.751702/109.210878" xr:uid="{00000000-0004-0000-0100-00008E010000}"/>
    <hyperlink ref="M404" r:id="rId400" location="map=18/13.753575/109.207882" xr:uid="{00000000-0004-0000-0100-00008F010000}"/>
    <hyperlink ref="M405" r:id="rId401" location="map=18/13.750730/109.214230" xr:uid="{00000000-0004-0000-0100-000090010000}"/>
    <hyperlink ref="M406" r:id="rId402" location="map=18/13.767150/109.215900" xr:uid="{00000000-0004-0000-0100-000091010000}"/>
    <hyperlink ref="M407" r:id="rId403" location="map=18/13.831210/109.269462" xr:uid="{00000000-0004-0000-0100-000092010000}"/>
    <hyperlink ref="M408" r:id="rId404" location="map=18/13.826157/109.266448" xr:uid="{00000000-0004-0000-0100-000093010000}"/>
    <hyperlink ref="M409" r:id="rId405" location="map=18/14.015366/107.992624" xr:uid="{00000000-0004-0000-0100-000094010000}"/>
    <hyperlink ref="M410" r:id="rId406" location="map=18/14.030170/107.987061" xr:uid="{00000000-0004-0000-0100-000095010000}"/>
    <hyperlink ref="M411" r:id="rId407" location="map=18/14.028108/107.989695" xr:uid="{00000000-0004-0000-0100-000096010000}"/>
    <hyperlink ref="M412" r:id="rId408" location="map=18/14.028108/107.989695" xr:uid="{00000000-0004-0000-0100-000097010000}"/>
    <hyperlink ref="M413" r:id="rId409" location="map=18/14.557861/108.901000" xr:uid="{00000000-0004-0000-0100-000098010000}"/>
    <hyperlink ref="M414" r:id="rId410" location="map=18/14.036740/108.014189" xr:uid="{00000000-0004-0000-0100-000099010000}"/>
    <hyperlink ref="M415" r:id="rId411" location="map=18/14.036728/108.014311" xr:uid="{00000000-0004-0000-0100-00009A010000}"/>
    <hyperlink ref="M416" r:id="rId412" location="map=18/13.858531/107.942108" xr:uid="{00000000-0004-0000-0100-00009B010000}"/>
    <hyperlink ref="M417" r:id="rId413" location="map=18/13.755952/107.890508" xr:uid="{00000000-0004-0000-0100-00009C010000}"/>
    <hyperlink ref="M418" r:id="rId414" location="map=18/13.755952/107.890508" xr:uid="{00000000-0004-0000-0100-00009D010000}"/>
    <hyperlink ref="M419" r:id="rId415" location="map=18/13.746780/107.857498" xr:uid="{00000000-0004-0000-0100-00009E010000}"/>
    <hyperlink ref="M420" r:id="rId416" location="map=18/13.754051/107.877483" xr:uid="{00000000-0004-0000-0100-00009F010000}"/>
    <hyperlink ref="M421" r:id="rId417" location="map=18/13.754051/107.877483" xr:uid="{00000000-0004-0000-0100-0000A0010000}"/>
    <hyperlink ref="M422" r:id="rId418" location="map=18/14.101558/107.969608" xr:uid="{00000000-0004-0000-0100-0000A1010000}"/>
    <hyperlink ref="M423" r:id="rId419" location="map=18/14.101558/107.969608" xr:uid="{00000000-0004-0000-0100-0000A2010000}"/>
    <hyperlink ref="M424" r:id="rId420" location="map=18/13.547330/108.099672" xr:uid="{00000000-0004-0000-0100-0000A3010000}"/>
    <hyperlink ref="M425" r:id="rId421" location="map=18/13.547330/108.099672" xr:uid="{00000000-0004-0000-0100-0000A4010000}"/>
    <hyperlink ref="M426" r:id="rId422" location="map=18/13.696548/108.075525" xr:uid="{00000000-0004-0000-0100-0000A5010000}"/>
    <hyperlink ref="M427" r:id="rId423" location="map=18/13.696548/108.075525" xr:uid="{00000000-0004-0000-0100-0000A6010000}"/>
    <hyperlink ref="M428" r:id="rId424" location="map=18/13.690877/108.078466" xr:uid="{00000000-0004-0000-0100-0000A7010000}"/>
    <hyperlink ref="M429" r:id="rId425" location="map=18/13.695861/108.076064" xr:uid="{00000000-0004-0000-0100-0000A8010000}"/>
    <hyperlink ref="M430" r:id="rId426" location="map=18/13.693591/108.077250" xr:uid="{00000000-0004-0000-0100-0000A9010000}"/>
    <hyperlink ref="M431" r:id="rId427" location="map=18/13.695861/108.076064" xr:uid="{00000000-0004-0000-0100-0000AA010000}"/>
    <hyperlink ref="M432" r:id="rId428" location="map=18/13.944670/109.234864" xr:uid="{00000000-0004-0000-0100-0000AB010000}"/>
    <hyperlink ref="M433" r:id="rId429" location="map=18/14.029875/109.053099" xr:uid="{00000000-0004-0000-0100-0000AC010000}"/>
    <hyperlink ref="M434" r:id="rId430" location="map=18/13.877123/108.031783" xr:uid="{00000000-0004-0000-0100-0000AD010000}"/>
    <hyperlink ref="M435" r:id="rId431" location="map=18/13.962131/107.845850" xr:uid="{00000000-0004-0000-0100-0000AE010000}"/>
    <hyperlink ref="M436" r:id="rId432" location="map=18/13.962131/107.845850" xr:uid="{00000000-0004-0000-0100-0000AF010000}"/>
    <hyperlink ref="M437" r:id="rId433" location="map=18/13.962131/107.845850" xr:uid="{00000000-0004-0000-0100-0000B0010000}"/>
    <hyperlink ref="M438" r:id="rId434" location="map=18/14.046989/107.860608" xr:uid="{00000000-0004-0000-0100-0000B1010000}"/>
    <hyperlink ref="M439" r:id="rId435" location="map=18/13.961330/107.848680" xr:uid="{00000000-0004-0000-0100-0000B2010000}"/>
    <hyperlink ref="M440" r:id="rId436" location="map=18/14.216444/107.846539" xr:uid="{00000000-0004-0000-0100-0000B3010000}"/>
    <hyperlink ref="M441" r:id="rId437" location="map=18/13.500747/107.870235" xr:uid="{00000000-0004-0000-0100-0000B4010000}"/>
    <hyperlink ref="M442" r:id="rId438" location="map=18/13.369193/108.593812" xr:uid="{00000000-0004-0000-0100-0000B5010000}"/>
    <hyperlink ref="M443" r:id="rId439" location="map=18/13.394771/108.462280" xr:uid="{00000000-0004-0000-0100-0000B6010000}"/>
    <hyperlink ref="M444" r:id="rId440" location="map=18/13.394771/108.462280" xr:uid="{00000000-0004-0000-0100-0000B7010000}"/>
    <hyperlink ref="M445" r:id="rId441" location="map=18/14.019429/108.209907" xr:uid="{00000000-0004-0000-0100-0000B8010000}"/>
    <hyperlink ref="M446" r:id="rId442" location="map=18/14.144470/108.603773" xr:uid="{00000000-0004-0000-0100-0000B9010000}"/>
    <hyperlink ref="M447" r:id="rId443" location="map=18/14.144470/108.603773" xr:uid="{00000000-0004-0000-0100-0000BA010000}"/>
    <hyperlink ref="M448" r:id="rId444" location="map=18/14.144470/108.603773" xr:uid="{00000000-0004-0000-0100-0000BB010000}"/>
    <hyperlink ref="M449" r:id="rId445" location="map=18/13.777129/108.527252" xr:uid="{00000000-0004-0000-0100-0000BC010000}"/>
    <hyperlink ref="M450" r:id="rId446" location="map=18/13.777129/108.527252" xr:uid="{00000000-0004-0000-0100-0000BD010000}"/>
    <hyperlink ref="M451" r:id="rId447" location="map=18/13.777129/108.527252" xr:uid="{00000000-0004-0000-0100-0000BE010000}"/>
    <hyperlink ref="M452" r:id="rId448" location="map=18/14.040767/108.252687" xr:uid="{00000000-0004-0000-0100-0000BF010000}"/>
    <hyperlink ref="M453" r:id="rId449" location="map=18/14.040767/108.252687" xr:uid="{00000000-0004-0000-0100-0000C0010000}"/>
    <hyperlink ref="M454" r:id="rId450" location="map=18/14.040767/108.252687" xr:uid="{00000000-0004-0000-0100-0000C1010000}"/>
    <hyperlink ref="M455" r:id="rId451" location="map=18/13.947007/109.060297" xr:uid="{00000000-0004-0000-0100-0000C2010000}"/>
    <hyperlink ref="M456" r:id="rId452" location="map=18/14.012321/109.073505" xr:uid="{00000000-0004-0000-0100-0000C3010000}"/>
    <hyperlink ref="M457" r:id="rId453" location="map=18/13.997684/109.059168" xr:uid="{00000000-0004-0000-0100-0000C4010000}"/>
    <hyperlink ref="M458" r:id="rId454" location="map=18/13.993437/109.058678" xr:uid="{00000000-0004-0000-0100-0000C5010000}"/>
    <hyperlink ref="M459" r:id="rId455" location="map=18/14.161770/109.047292" xr:uid="{00000000-0004-0000-0100-0000C6010000}"/>
    <hyperlink ref="M460" r:id="rId456" location="map=18/13.528129/108.321581" xr:uid="{00000000-0004-0000-0100-0000C7010000}"/>
    <hyperlink ref="M461" r:id="rId457" location="map=18/13.528129/108.321581" xr:uid="{00000000-0004-0000-0100-0000C8010000}"/>
    <hyperlink ref="M462" r:id="rId458" location="map=18/13.528129/108.321581" xr:uid="{00000000-0004-0000-0100-0000C9010000}"/>
    <hyperlink ref="M463" r:id="rId459" location="map=18/13.195795/108.690122" xr:uid="{00000000-0004-0000-0100-0000CA010000}"/>
    <hyperlink ref="M464" r:id="rId460" location="map=18/13.195795/108.690122" xr:uid="{00000000-0004-0000-0100-0000CB010000}"/>
    <hyperlink ref="M465" r:id="rId461" location="map=18/13.195795/108.690122" xr:uid="{00000000-0004-0000-0100-0000CC010000}"/>
    <hyperlink ref="M466" r:id="rId462" location="map=18/13.803278/109.147802" xr:uid="{00000000-0004-0000-0100-0000CD010000}"/>
    <hyperlink ref="M467" r:id="rId463" location="map=18/13.781567/109.112104" xr:uid="{00000000-0004-0000-0100-0000CE010000}"/>
    <hyperlink ref="M468" r:id="rId464" location="map=18/13.892817/108.974242" xr:uid="{00000000-0004-0000-0100-0000CF010000}"/>
    <hyperlink ref="M469" r:id="rId465" location="map=18/13.906251/108.922126" xr:uid="{00000000-0004-0000-0100-0000D0010000}"/>
    <hyperlink ref="M470" r:id="rId466" location="map=18/13.963985/109.159285" xr:uid="{00000000-0004-0000-0100-0000D1010000}"/>
    <hyperlink ref="M471" r:id="rId467" location="map=18/13.964483/109.159235" xr:uid="{00000000-0004-0000-0100-0000D2010000}"/>
    <hyperlink ref="M472" r:id="rId468" location="map=18/13.970550/108.548434" xr:uid="{00000000-0004-0000-0100-0000D3010000}"/>
    <hyperlink ref="M473" r:id="rId469" location="map=18/13.970550/108.548434" xr:uid="{00000000-0004-0000-0100-0000D4010000}"/>
    <hyperlink ref="M474" r:id="rId470" location="map=18/13.999850/108.446407" xr:uid="{00000000-0004-0000-0100-0000D5010000}"/>
    <hyperlink ref="M475" r:id="rId471" location="map=18/13.992905/108.110215" xr:uid="{00000000-0004-0000-0100-0000D6010000}"/>
    <hyperlink ref="M476" r:id="rId472" location="map=18/13.992905/108.110215" xr:uid="{00000000-0004-0000-0100-0000D7010000}"/>
    <hyperlink ref="M477" r:id="rId473" location="map=18/13.992905/108.110215" xr:uid="{00000000-0004-0000-0100-0000D8010000}"/>
    <hyperlink ref="M478" r:id="rId474" location="map=18/13.993910/108.127490" xr:uid="{00000000-0004-0000-0100-0000D9010000}"/>
    <hyperlink ref="M479" r:id="rId475" location="map=18/13.994319/108.112771" xr:uid="{00000000-0004-0000-0100-0000DA010000}"/>
    <hyperlink ref="M480" r:id="rId476" location="map=18/13.995150/108.114456" xr:uid="{00000000-0004-0000-0100-0000DB010000}"/>
    <hyperlink ref="M481" r:id="rId477" location="map=18/14.112173/109.144049" xr:uid="{00000000-0004-0000-0100-0000DC010000}"/>
    <hyperlink ref="M482" r:id="rId478" location="map=18/13.809650/107.702965" xr:uid="{00000000-0004-0000-0100-0000DD010000}"/>
    <hyperlink ref="M483" r:id="rId479" location="map=18/13.809650/107.702965" xr:uid="{00000000-0004-0000-0100-0000DE010000}"/>
    <hyperlink ref="M484" r:id="rId480" location="map=18/13.799806/107.693319" xr:uid="{00000000-0004-0000-0100-0000DF010000}"/>
    <hyperlink ref="M485" r:id="rId481" location="map=18/13.800253/107.689215" xr:uid="{00000000-0004-0000-0100-0000E0010000}"/>
    <hyperlink ref="M486" r:id="rId482" location="map=18/13.978982/107.996099" xr:uid="{00000000-0004-0000-0100-0000E1010000}"/>
    <hyperlink ref="M487" r:id="rId483" location="map=18/13.691336/108.077834" xr:uid="{00000000-0004-0000-0100-0000E2010000}"/>
    <hyperlink ref="M488" r:id="rId484" location="map=18/13.962651/107.840356" xr:uid="{00000000-0004-0000-0100-0000E3010000}"/>
    <hyperlink ref="M489" r:id="rId485" location="map=18/13.968952/107.997661" xr:uid="{00000000-0004-0000-0100-0000E4010000}"/>
    <hyperlink ref="M490" r:id="rId486" location="map=18/13.969587/107.996284" xr:uid="{00000000-0004-0000-0100-0000E5010000}"/>
    <hyperlink ref="M491" r:id="rId487" location="map=18/13.952124/108.657912" xr:uid="{00000000-0004-0000-0100-0000E6010000}"/>
    <hyperlink ref="M492" r:id="rId488" location="map=18/13.953329/108.658874" xr:uid="{00000000-0004-0000-0100-0000E7010000}"/>
    <hyperlink ref="M493" r:id="rId489" location="map=18/13.924588/109.089076" xr:uid="{00000000-0004-0000-0100-0000E8010000}"/>
    <hyperlink ref="M494" r:id="rId490" location="map=18/13.888668/109.117616" xr:uid="{00000000-0004-0000-0100-0000E9010000}"/>
    <hyperlink ref="M495" r:id="rId491" location="map=18/13.888947/109.114903" xr:uid="{00000000-0004-0000-0100-0000EA010000}"/>
    <hyperlink ref="M496" r:id="rId492" location="map=18/14.436690/109.018122" xr:uid="{00000000-0004-0000-0100-0000EB010000}"/>
    <hyperlink ref="M497" r:id="rId493" location="map=18/14.430150/109.014700" xr:uid="{00000000-0004-0000-0100-0000EC010000}"/>
    <hyperlink ref="M498" r:id="rId494" location="map=18/13.979466/107.993135" xr:uid="{00000000-0004-0000-0100-0000ED010000}"/>
    <hyperlink ref="M499" r:id="rId495" location="map=18/13.979940/107.993470" xr:uid="{00000000-0004-0000-0100-0000EE010000}"/>
    <hyperlink ref="M500" r:id="rId496" location="map=18/13.979940/107.993470" xr:uid="{00000000-0004-0000-0100-0000EF010000}"/>
    <hyperlink ref="M501" r:id="rId497" location="map=18/13.977683/107.999500" xr:uid="{00000000-0004-0000-0100-0000F0010000}"/>
    <hyperlink ref="M502" r:id="rId498" location="map=18/13.978745/108.012487" xr:uid="{00000000-0004-0000-0100-0000F1010000}"/>
    <hyperlink ref="M503" r:id="rId499" location="map=18/13.982130/108.009505" xr:uid="{00000000-0004-0000-0100-0000F2010000}"/>
    <hyperlink ref="M504" r:id="rId500" location="map=18/13.977135/108.003431" xr:uid="{00000000-0004-0000-0100-0000F3010000}"/>
    <hyperlink ref="M505" r:id="rId501" location="map=18/13.775999/109.232429" xr:uid="{00000000-0004-0000-0100-0000F4010000}"/>
    <hyperlink ref="M506" r:id="rId502" location="map=18/13.781314/109.219720" xr:uid="{00000000-0004-0000-0100-0000F5010000}"/>
    <hyperlink ref="M507" r:id="rId503" location="map=18/13.770082/109.221047" xr:uid="{00000000-0004-0000-0100-0000F6010000}"/>
    <hyperlink ref="M508" r:id="rId504" location="map=18/13.772857/109.224608" xr:uid="{00000000-0004-0000-0100-0000F7010000}"/>
    <hyperlink ref="M509" r:id="rId505" location="map=18/13.796266/109.147442" xr:uid="{00000000-0004-0000-0100-0000F8010000}"/>
    <hyperlink ref="M510" r:id="rId506" location="map=18/13.781892/109.148669" xr:uid="{00000000-0004-0000-0100-0000F9010000}"/>
    <hyperlink ref="M511" r:id="rId507" location="map=18/13.771539/109.220151" xr:uid="{00000000-0004-0000-0100-0000FA010000}"/>
    <hyperlink ref="M512" r:id="rId508" location="map=18/13.766901/109.215935" xr:uid="{00000000-0004-0000-0100-0000FB010000}"/>
    <hyperlink ref="M513" r:id="rId509" location="map=18/13.762536/109.213135" xr:uid="{00000000-0004-0000-0100-0000FC010000}"/>
    <hyperlink ref="M514" r:id="rId510" location="map=18/13.751969/109.210566" xr:uid="{00000000-0004-0000-0100-0000FD010000}"/>
    <hyperlink ref="M515" r:id="rId511" location="map=18/14.548729/109.043099" xr:uid="{00000000-0004-0000-0100-0000FE010000}"/>
    <hyperlink ref="M516" r:id="rId512" location="map=18/14.028142/107.989501" xr:uid="{00000000-0004-0000-0100-0000FF010000}"/>
    <hyperlink ref="M517" r:id="rId513" location="map=18/14.028142/107.989501" xr:uid="{00000000-0004-0000-0100-000000020000}"/>
    <hyperlink ref="M518" r:id="rId514" location="map=18/14.557775/108.900970" xr:uid="{00000000-0004-0000-0100-000001020000}"/>
    <hyperlink ref="M519" r:id="rId515" location="map=18/13.695850/108.076021" xr:uid="{00000000-0004-0000-0100-000002020000}"/>
    <hyperlink ref="M520" r:id="rId516" location="map=18/13.961335/107.846486" xr:uid="{00000000-0004-0000-0100-000003020000}"/>
    <hyperlink ref="M521" r:id="rId517" location="map=18/14.011639/109.056417" xr:uid="{00000000-0004-0000-0100-000004020000}"/>
    <hyperlink ref="M522" r:id="rId518" location="map=18/13.803286/109.147701" xr:uid="{00000000-0004-0000-0100-000005020000}"/>
    <hyperlink ref="M523" r:id="rId519" location="map=18/13.910613/108.913577" xr:uid="{00000000-0004-0000-0100-000006020000}"/>
    <hyperlink ref="M524" r:id="rId520" location="map=18/13.892818/108.974205" xr:uid="{00000000-0004-0000-0100-000007020000}"/>
    <hyperlink ref="M525" r:id="rId521" location="map=18/13.614802/108.992216" xr:uid="{00000000-0004-0000-0100-000008020000}"/>
    <hyperlink ref="M526" r:id="rId522" location="map=18/14.108173/108.784490" xr:uid="{00000000-0004-0000-0100-000009020000}"/>
    <hyperlink ref="M527" r:id="rId523" location="map=18/13.994398/108.112695" xr:uid="{00000000-0004-0000-0100-00000A020000}"/>
    <hyperlink ref="M528" r:id="rId524" location="map=18/13.994398/108.112695" xr:uid="{00000000-0004-0000-0100-00000B020000}"/>
    <hyperlink ref="M529" r:id="rId525" location="map=18/13.800252/107.687026" xr:uid="{00000000-0004-0000-0100-00000C020000}"/>
    <hyperlink ref="M530" r:id="rId526" location="map=18/13.986153/108.005970" xr:uid="{00000000-0004-0000-0100-00000D020000}"/>
  </hyperlink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workbookViewId="0"/>
  </sheetViews>
  <sheetFormatPr defaultRowHeight="15" x14ac:dyDescent="0.25"/>
  <cols>
    <col min="1" max="1" width="22" customWidth="1"/>
    <col min="2" max="2" width="8" customWidth="1"/>
    <col min="3" max="3" width="10" customWidth="1"/>
    <col min="4" max="5" width="11" customWidth="1"/>
    <col min="6" max="6" width="10" customWidth="1"/>
    <col min="7" max="7" width="16" customWidth="1"/>
    <col min="8" max="8" width="9" customWidth="1"/>
    <col min="9" max="9" width="12" customWidth="1"/>
  </cols>
  <sheetData>
    <row r="1" spans="1:9" ht="16.5" x14ac:dyDescent="0.25">
      <c r="A1" s="18" t="s">
        <v>1697</v>
      </c>
    </row>
    <row r="3" spans="1:9" ht="25.5" x14ac:dyDescent="0.25">
      <c r="A3" s="6" t="s">
        <v>24</v>
      </c>
      <c r="B3" s="6" t="s">
        <v>1698</v>
      </c>
      <c r="C3" s="6" t="s">
        <v>1699</v>
      </c>
      <c r="D3" s="6" t="s">
        <v>1700</v>
      </c>
      <c r="E3" s="6" t="s">
        <v>52</v>
      </c>
      <c r="F3" s="6" t="s">
        <v>62</v>
      </c>
      <c r="G3" s="6" t="s">
        <v>1701</v>
      </c>
      <c r="H3" s="6" t="s">
        <v>1702</v>
      </c>
      <c r="I3" s="6" t="s">
        <v>1703</v>
      </c>
    </row>
    <row r="4" spans="1:9" x14ac:dyDescent="0.25">
      <c r="A4" s="19" t="s">
        <v>354</v>
      </c>
      <c r="B4" s="19">
        <f>COUNTIF('Danh sách kiểm tra'!$E$5:$E$530,A4)</f>
        <v>193</v>
      </c>
      <c r="C4" s="19">
        <f>COUNTIFS('Danh sách kiểm tra'!$E$5:$E$530,A4,'Danh sách kiểm tra'!$C$5:$C$530,"Cao")</f>
        <v>0</v>
      </c>
      <c r="D4" s="19">
        <f>COUNTIFS('Danh sách kiểm tra'!$E$5:$E$530,A4,'Danh sách kiểm tra'!$N$5:$N$530,"&lt;&gt;")</f>
        <v>193</v>
      </c>
      <c r="E4" s="19">
        <f>COUNTIFS('Danh sách kiểm tra'!$E$5:$E$530,A4,'Danh sách kiểm tra'!$N$5:$N$530,"Vị trí đúng")</f>
        <v>8</v>
      </c>
      <c r="F4" s="19">
        <f>COUNTIFS('Danh sách kiểm tra'!$E$5:$E$530,A4,'Danh sách kiểm tra'!$N$5:$N$530,"Sửa vị trí")</f>
        <v>76</v>
      </c>
      <c r="G4" s="19">
        <f>COUNTIFS('Danh sách kiểm tra'!$E$5:$E$530,A4,'Danh sách kiểm tra'!$N$5:$N$530,"Địa điểm không tồn tại")+COUNTIFS('Danh sách kiểm tra'!$E$5:$E$530,A4,'Danh sách kiểm tra'!$N$5:$N$530,"Đã chuyển đi (chưa rõ nơi mới)")</f>
        <v>109</v>
      </c>
      <c r="H4" s="19">
        <f>COUNTIFS('Danh sách kiểm tra'!$E$5:$E$530,A4,'Danh sách kiểm tra'!$V$5:$V$530,"&lt;&gt;OK",'Danh sách kiểm tra'!$N$5:$N$530,"&lt;&gt;")</f>
        <v>0</v>
      </c>
      <c r="I4" s="20">
        <f t="shared" ref="I4:I15" si="0">IF(B4=0,0,D4/B4)</f>
        <v>1</v>
      </c>
    </row>
    <row r="5" spans="1:9" x14ac:dyDescent="0.25">
      <c r="A5" s="19" t="s">
        <v>325</v>
      </c>
      <c r="B5" s="19">
        <f>COUNTIF('Danh sách kiểm tra'!$E$5:$E$530,A5)</f>
        <v>163</v>
      </c>
      <c r="C5" s="19">
        <f>COUNTIFS('Danh sách kiểm tra'!$E$5:$E$530,A5,'Danh sách kiểm tra'!$C$5:$C$530,"Cao")</f>
        <v>0</v>
      </c>
      <c r="D5" s="19">
        <f>COUNTIFS('Danh sách kiểm tra'!$E$5:$E$530,A5,'Danh sách kiểm tra'!$N$5:$N$530,"&lt;&gt;")</f>
        <v>163</v>
      </c>
      <c r="E5" s="19">
        <f>COUNTIFS('Danh sách kiểm tra'!$E$5:$E$530,A5,'Danh sách kiểm tra'!$N$5:$N$530,"Vị trí đúng")</f>
        <v>82</v>
      </c>
      <c r="F5" s="19">
        <f>COUNTIFS('Danh sách kiểm tra'!$E$5:$E$530,A5,'Danh sách kiểm tra'!$N$5:$N$530,"Sửa vị trí")</f>
        <v>13</v>
      </c>
      <c r="G5" s="19">
        <f>COUNTIFS('Danh sách kiểm tra'!$E$5:$E$530,A5,'Danh sách kiểm tra'!$N$5:$N$530,"Địa điểm không tồn tại")+COUNTIFS('Danh sách kiểm tra'!$E$5:$E$530,A5,'Danh sách kiểm tra'!$N$5:$N$530,"Đã chuyển đi (chưa rõ nơi mới)")</f>
        <v>68</v>
      </c>
      <c r="H5" s="19">
        <f>COUNTIFS('Danh sách kiểm tra'!$E$5:$E$530,A5,'Danh sách kiểm tra'!$V$5:$V$530,"&lt;&gt;OK",'Danh sách kiểm tra'!$N$5:$N$530,"&lt;&gt;")</f>
        <v>0</v>
      </c>
      <c r="I5" s="20">
        <f t="shared" si="0"/>
        <v>1</v>
      </c>
    </row>
    <row r="6" spans="1:9" x14ac:dyDescent="0.25">
      <c r="A6" s="19" t="s">
        <v>954</v>
      </c>
      <c r="B6" s="19">
        <f>COUNTIF('Danh sách kiểm tra'!$E$5:$E$530,A6)</f>
        <v>61</v>
      </c>
      <c r="C6" s="19">
        <f>COUNTIFS('Danh sách kiểm tra'!$E$5:$E$530,A6,'Danh sách kiểm tra'!$C$5:$C$530,"Cao")</f>
        <v>0</v>
      </c>
      <c r="D6" s="19">
        <f>COUNTIFS('Danh sách kiểm tra'!$E$5:$E$530,A6,'Danh sách kiểm tra'!$N$5:$N$530,"&lt;&gt;")</f>
        <v>61</v>
      </c>
      <c r="E6" s="19">
        <f>COUNTIFS('Danh sách kiểm tra'!$E$5:$E$530,A6,'Danh sách kiểm tra'!$N$5:$N$530,"Vị trí đúng")</f>
        <v>19</v>
      </c>
      <c r="F6" s="19">
        <f>COUNTIFS('Danh sách kiểm tra'!$E$5:$E$530,A6,'Danh sách kiểm tra'!$N$5:$N$530,"Sửa vị trí")</f>
        <v>2</v>
      </c>
      <c r="G6" s="19">
        <f>COUNTIFS('Danh sách kiểm tra'!$E$5:$E$530,A6,'Danh sách kiểm tra'!$N$5:$N$530,"Địa điểm không tồn tại")+COUNTIFS('Danh sách kiểm tra'!$E$5:$E$530,A6,'Danh sách kiểm tra'!$N$5:$N$530,"Đã chuyển đi (chưa rõ nơi mới)")</f>
        <v>40</v>
      </c>
      <c r="H6" s="19">
        <f>COUNTIFS('Danh sách kiểm tra'!$E$5:$E$530,A6,'Danh sách kiểm tra'!$V$5:$V$530,"&lt;&gt;OK",'Danh sách kiểm tra'!$N$5:$N$530,"&lt;&gt;")</f>
        <v>0</v>
      </c>
      <c r="I6" s="20">
        <f t="shared" si="0"/>
        <v>1</v>
      </c>
    </row>
    <row r="7" spans="1:9" x14ac:dyDescent="0.25">
      <c r="A7" s="19" t="s">
        <v>179</v>
      </c>
      <c r="B7" s="19">
        <f>COUNTIF('Danh sách kiểm tra'!$E$5:$E$530,A7)</f>
        <v>40</v>
      </c>
      <c r="C7" s="19">
        <f>COUNTIFS('Danh sách kiểm tra'!$E$5:$E$530,A7,'Danh sách kiểm tra'!$C$5:$C$530,"Cao")</f>
        <v>9</v>
      </c>
      <c r="D7" s="19">
        <f>COUNTIFS('Danh sách kiểm tra'!$E$5:$E$530,A7,'Danh sách kiểm tra'!$N$5:$N$530,"&lt;&gt;")</f>
        <v>40</v>
      </c>
      <c r="E7" s="19">
        <f>COUNTIFS('Danh sách kiểm tra'!$E$5:$E$530,A7,'Danh sách kiểm tra'!$N$5:$N$530,"Vị trí đúng")</f>
        <v>29</v>
      </c>
      <c r="F7" s="19">
        <f>COUNTIFS('Danh sách kiểm tra'!$E$5:$E$530,A7,'Danh sách kiểm tra'!$N$5:$N$530,"Sửa vị trí")</f>
        <v>11</v>
      </c>
      <c r="G7" s="19">
        <f>COUNTIFS('Danh sách kiểm tra'!$E$5:$E$530,A7,'Danh sách kiểm tra'!$N$5:$N$530,"Địa điểm không tồn tại")+COUNTIFS('Danh sách kiểm tra'!$E$5:$E$530,A7,'Danh sách kiểm tra'!$N$5:$N$530,"Đã chuyển đi (chưa rõ nơi mới)")</f>
        <v>0</v>
      </c>
      <c r="H7" s="19">
        <f>COUNTIFS('Danh sách kiểm tra'!$E$5:$E$530,A7,'Danh sách kiểm tra'!$V$5:$V$530,"&lt;&gt;OK",'Danh sách kiểm tra'!$N$5:$N$530,"&lt;&gt;")</f>
        <v>0</v>
      </c>
      <c r="I7" s="20">
        <f t="shared" si="0"/>
        <v>1</v>
      </c>
    </row>
    <row r="8" spans="1:9" x14ac:dyDescent="0.25">
      <c r="A8" s="19" t="s">
        <v>221</v>
      </c>
      <c r="B8" s="19">
        <f>COUNTIF('Danh sách kiểm tra'!$E$5:$E$530,A8)</f>
        <v>24</v>
      </c>
      <c r="C8" s="19">
        <f>COUNTIFS('Danh sách kiểm tra'!$E$5:$E$530,A8,'Danh sách kiểm tra'!$C$5:$C$530,"Cao")</f>
        <v>16</v>
      </c>
      <c r="D8" s="19">
        <f>COUNTIFS('Danh sách kiểm tra'!$E$5:$E$530,A8,'Danh sách kiểm tra'!$N$5:$N$530,"&lt;&gt;")</f>
        <v>24</v>
      </c>
      <c r="E8" s="19">
        <f>COUNTIFS('Danh sách kiểm tra'!$E$5:$E$530,A8,'Danh sách kiểm tra'!$N$5:$N$530,"Vị trí đúng")</f>
        <v>22</v>
      </c>
      <c r="F8" s="19">
        <f>COUNTIFS('Danh sách kiểm tra'!$E$5:$E$530,A8,'Danh sách kiểm tra'!$N$5:$N$530,"Sửa vị trí")</f>
        <v>2</v>
      </c>
      <c r="G8" s="19">
        <f>COUNTIFS('Danh sách kiểm tra'!$E$5:$E$530,A8,'Danh sách kiểm tra'!$N$5:$N$530,"Địa điểm không tồn tại")+COUNTIFS('Danh sách kiểm tra'!$E$5:$E$530,A8,'Danh sách kiểm tra'!$N$5:$N$530,"Đã chuyển đi (chưa rõ nơi mới)")</f>
        <v>0</v>
      </c>
      <c r="H8" s="19">
        <f>COUNTIFS('Danh sách kiểm tra'!$E$5:$E$530,A8,'Danh sách kiểm tra'!$V$5:$V$530,"&lt;&gt;OK",'Danh sách kiểm tra'!$N$5:$N$530,"&lt;&gt;")</f>
        <v>0</v>
      </c>
      <c r="I8" s="20">
        <f t="shared" si="0"/>
        <v>1</v>
      </c>
    </row>
    <row r="9" spans="1:9" x14ac:dyDescent="0.25">
      <c r="A9" s="19" t="s">
        <v>86</v>
      </c>
      <c r="B9" s="19">
        <f>COUNTIF('Danh sách kiểm tra'!$E$5:$E$530,A9)</f>
        <v>15</v>
      </c>
      <c r="C9" s="19">
        <f>COUNTIFS('Danh sách kiểm tra'!$E$5:$E$530,A9,'Danh sách kiểm tra'!$C$5:$C$530,"Cao")</f>
        <v>12</v>
      </c>
      <c r="D9" s="19">
        <f>COUNTIFS('Danh sách kiểm tra'!$E$5:$E$530,A9,'Danh sách kiểm tra'!$N$5:$N$530,"&lt;&gt;")</f>
        <v>15</v>
      </c>
      <c r="E9" s="19">
        <f>COUNTIFS('Danh sách kiểm tra'!$E$5:$E$530,A9,'Danh sách kiểm tra'!$N$5:$N$530,"Vị trí đúng")</f>
        <v>12</v>
      </c>
      <c r="F9" s="19">
        <f>COUNTIFS('Danh sách kiểm tra'!$E$5:$E$530,A9,'Danh sách kiểm tra'!$N$5:$N$530,"Sửa vị trí")</f>
        <v>3</v>
      </c>
      <c r="G9" s="19">
        <f>COUNTIFS('Danh sách kiểm tra'!$E$5:$E$530,A9,'Danh sách kiểm tra'!$N$5:$N$530,"Địa điểm không tồn tại")+COUNTIFS('Danh sách kiểm tra'!$E$5:$E$530,A9,'Danh sách kiểm tra'!$N$5:$N$530,"Đã chuyển đi (chưa rõ nơi mới)")</f>
        <v>0</v>
      </c>
      <c r="H9" s="19">
        <f>COUNTIFS('Danh sách kiểm tra'!$E$5:$E$530,A9,'Danh sách kiểm tra'!$V$5:$V$530,"&lt;&gt;OK",'Danh sách kiểm tra'!$N$5:$N$530,"&lt;&gt;")</f>
        <v>0</v>
      </c>
      <c r="I9" s="20">
        <f t="shared" si="0"/>
        <v>1</v>
      </c>
    </row>
    <row r="10" spans="1:9" x14ac:dyDescent="0.25">
      <c r="A10" s="19" t="s">
        <v>45</v>
      </c>
      <c r="B10" s="19">
        <f>COUNTIF('Danh sách kiểm tra'!$E$5:$E$530,A10)</f>
        <v>11</v>
      </c>
      <c r="C10" s="19">
        <f>COUNTIFS('Danh sách kiểm tra'!$E$5:$E$530,A10,'Danh sách kiểm tra'!$C$5:$C$530,"Cao")</f>
        <v>9</v>
      </c>
      <c r="D10" s="19">
        <f>COUNTIFS('Danh sách kiểm tra'!$E$5:$E$530,A10,'Danh sách kiểm tra'!$N$5:$N$530,"&lt;&gt;")</f>
        <v>11</v>
      </c>
      <c r="E10" s="19">
        <f>COUNTIFS('Danh sách kiểm tra'!$E$5:$E$530,A10,'Danh sách kiểm tra'!$N$5:$N$530,"Vị trí đúng")</f>
        <v>2</v>
      </c>
      <c r="F10" s="19">
        <f>COUNTIFS('Danh sách kiểm tra'!$E$5:$E$530,A10,'Danh sách kiểm tra'!$N$5:$N$530,"Sửa vị trí")</f>
        <v>5</v>
      </c>
      <c r="G10" s="19">
        <f>COUNTIFS('Danh sách kiểm tra'!$E$5:$E$530,A10,'Danh sách kiểm tra'!$N$5:$N$530,"Địa điểm không tồn tại")+COUNTIFS('Danh sách kiểm tra'!$E$5:$E$530,A10,'Danh sách kiểm tra'!$N$5:$N$530,"Đã chuyển đi (chưa rõ nơi mới)")</f>
        <v>4</v>
      </c>
      <c r="H10" s="19">
        <f>COUNTIFS('Danh sách kiểm tra'!$E$5:$E$530,A10,'Danh sách kiểm tra'!$V$5:$V$530,"&lt;&gt;OK",'Danh sách kiểm tra'!$N$5:$N$530,"&lt;&gt;")</f>
        <v>0</v>
      </c>
      <c r="I10" s="20">
        <f t="shared" si="0"/>
        <v>1</v>
      </c>
    </row>
    <row r="11" spans="1:9" x14ac:dyDescent="0.25">
      <c r="A11" s="19" t="s">
        <v>74</v>
      </c>
      <c r="B11" s="19">
        <f>COUNTIF('Danh sách kiểm tra'!$E$5:$E$530,A11)</f>
        <v>9</v>
      </c>
      <c r="C11" s="19">
        <f>COUNTIFS('Danh sách kiểm tra'!$E$5:$E$530,A11,'Danh sách kiểm tra'!$C$5:$C$530,"Cao")</f>
        <v>7</v>
      </c>
      <c r="D11" s="19">
        <f>COUNTIFS('Danh sách kiểm tra'!$E$5:$E$530,A11,'Danh sách kiểm tra'!$N$5:$N$530,"&lt;&gt;")</f>
        <v>9</v>
      </c>
      <c r="E11" s="19">
        <f>COUNTIFS('Danh sách kiểm tra'!$E$5:$E$530,A11,'Danh sách kiểm tra'!$N$5:$N$530,"Vị trí đúng")</f>
        <v>2</v>
      </c>
      <c r="F11" s="19">
        <f>COUNTIFS('Danh sách kiểm tra'!$E$5:$E$530,A11,'Danh sách kiểm tra'!$N$5:$N$530,"Sửa vị trí")</f>
        <v>3</v>
      </c>
      <c r="G11" s="19">
        <f>COUNTIFS('Danh sách kiểm tra'!$E$5:$E$530,A11,'Danh sách kiểm tra'!$N$5:$N$530,"Địa điểm không tồn tại")+COUNTIFS('Danh sách kiểm tra'!$E$5:$E$530,A11,'Danh sách kiểm tra'!$N$5:$N$530,"Đã chuyển đi (chưa rõ nơi mới)")</f>
        <v>4</v>
      </c>
      <c r="H11" s="19">
        <f>COUNTIFS('Danh sách kiểm tra'!$E$5:$E$530,A11,'Danh sách kiểm tra'!$V$5:$V$530,"&lt;&gt;OK",'Danh sách kiểm tra'!$N$5:$N$530,"&lt;&gt;")</f>
        <v>0</v>
      </c>
      <c r="I11" s="20">
        <f t="shared" si="0"/>
        <v>1</v>
      </c>
    </row>
    <row r="12" spans="1:9" x14ac:dyDescent="0.25">
      <c r="A12" s="19" t="s">
        <v>306</v>
      </c>
      <c r="B12" s="19">
        <f>COUNTIF('Danh sách kiểm tra'!$E$5:$E$530,A12)</f>
        <v>4</v>
      </c>
      <c r="C12" s="19">
        <f>COUNTIFS('Danh sách kiểm tra'!$E$5:$E$530,A12,'Danh sách kiểm tra'!$C$5:$C$530,"Cao")</f>
        <v>4</v>
      </c>
      <c r="D12" s="19">
        <f>COUNTIFS('Danh sách kiểm tra'!$E$5:$E$530,A12,'Danh sách kiểm tra'!$N$5:$N$530,"&lt;&gt;")</f>
        <v>4</v>
      </c>
      <c r="E12" s="19">
        <f>COUNTIFS('Danh sách kiểm tra'!$E$5:$E$530,A12,'Danh sách kiểm tra'!$N$5:$N$530,"Vị trí đúng")</f>
        <v>0</v>
      </c>
      <c r="F12" s="19">
        <f>COUNTIFS('Danh sách kiểm tra'!$E$5:$E$530,A12,'Danh sách kiểm tra'!$N$5:$N$530,"Sửa vị trí")</f>
        <v>1</v>
      </c>
      <c r="G12" s="19">
        <f>COUNTIFS('Danh sách kiểm tra'!$E$5:$E$530,A12,'Danh sách kiểm tra'!$N$5:$N$530,"Địa điểm không tồn tại")+COUNTIFS('Danh sách kiểm tra'!$E$5:$E$530,A12,'Danh sách kiểm tra'!$N$5:$N$530,"Đã chuyển đi (chưa rõ nơi mới)")</f>
        <v>3</v>
      </c>
      <c r="H12" s="19">
        <f>COUNTIFS('Danh sách kiểm tra'!$E$5:$E$530,A12,'Danh sách kiểm tra'!$V$5:$V$530,"&lt;&gt;OK",'Danh sách kiểm tra'!$N$5:$N$530,"&lt;&gt;")</f>
        <v>0</v>
      </c>
      <c r="I12" s="20">
        <f t="shared" si="0"/>
        <v>1</v>
      </c>
    </row>
    <row r="13" spans="1:9" x14ac:dyDescent="0.25">
      <c r="A13" s="19" t="s">
        <v>169</v>
      </c>
      <c r="B13" s="19">
        <f>COUNTIF('Danh sách kiểm tra'!$E$5:$E$530,A13)</f>
        <v>3</v>
      </c>
      <c r="C13" s="19">
        <f>COUNTIFS('Danh sách kiểm tra'!$E$5:$E$530,A13,'Danh sách kiểm tra'!$C$5:$C$530,"Cao")</f>
        <v>2</v>
      </c>
      <c r="D13" s="19">
        <f>COUNTIFS('Danh sách kiểm tra'!$E$5:$E$530,A13,'Danh sách kiểm tra'!$N$5:$N$530,"&lt;&gt;")</f>
        <v>3</v>
      </c>
      <c r="E13" s="19">
        <f>COUNTIFS('Danh sách kiểm tra'!$E$5:$E$530,A13,'Danh sách kiểm tra'!$N$5:$N$530,"Vị trí đúng")</f>
        <v>3</v>
      </c>
      <c r="F13" s="19">
        <f>COUNTIFS('Danh sách kiểm tra'!$E$5:$E$530,A13,'Danh sách kiểm tra'!$N$5:$N$530,"Sửa vị trí")</f>
        <v>0</v>
      </c>
      <c r="G13" s="19">
        <f>COUNTIFS('Danh sách kiểm tra'!$E$5:$E$530,A13,'Danh sách kiểm tra'!$N$5:$N$530,"Địa điểm không tồn tại")+COUNTIFS('Danh sách kiểm tra'!$E$5:$E$530,A13,'Danh sách kiểm tra'!$N$5:$N$530,"Đã chuyển đi (chưa rõ nơi mới)")</f>
        <v>0</v>
      </c>
      <c r="H13" s="19">
        <f>COUNTIFS('Danh sách kiểm tra'!$E$5:$E$530,A13,'Danh sách kiểm tra'!$V$5:$V$530,"&lt;&gt;OK",'Danh sách kiểm tra'!$N$5:$N$530,"&lt;&gt;")</f>
        <v>0</v>
      </c>
      <c r="I13" s="20">
        <f t="shared" si="0"/>
        <v>1</v>
      </c>
    </row>
    <row r="14" spans="1:9" x14ac:dyDescent="0.25">
      <c r="A14" s="19" t="s">
        <v>1036</v>
      </c>
      <c r="B14" s="19">
        <f>COUNTIF('Danh sách kiểm tra'!$E$5:$E$530,A14)</f>
        <v>3</v>
      </c>
      <c r="C14" s="19">
        <f>COUNTIFS('Danh sách kiểm tra'!$E$5:$E$530,A14,'Danh sách kiểm tra'!$C$5:$C$530,"Cao")</f>
        <v>0</v>
      </c>
      <c r="D14" s="19">
        <f>COUNTIFS('Danh sách kiểm tra'!$E$5:$E$530,A14,'Danh sách kiểm tra'!$N$5:$N$530,"&lt;&gt;")</f>
        <v>3</v>
      </c>
      <c r="E14" s="19">
        <f>COUNTIFS('Danh sách kiểm tra'!$E$5:$E$530,A14,'Danh sách kiểm tra'!$N$5:$N$530,"Vị trí đúng")</f>
        <v>0</v>
      </c>
      <c r="F14" s="19">
        <f>COUNTIFS('Danh sách kiểm tra'!$E$5:$E$530,A14,'Danh sách kiểm tra'!$N$5:$N$530,"Sửa vị trí")</f>
        <v>2</v>
      </c>
      <c r="G14" s="19">
        <f>COUNTIFS('Danh sách kiểm tra'!$E$5:$E$530,A14,'Danh sách kiểm tra'!$N$5:$N$530,"Địa điểm không tồn tại")+COUNTIFS('Danh sách kiểm tra'!$E$5:$E$530,A14,'Danh sách kiểm tra'!$N$5:$N$530,"Đã chuyển đi (chưa rõ nơi mới)")</f>
        <v>1</v>
      </c>
      <c r="H14" s="19">
        <f>COUNTIFS('Danh sách kiểm tra'!$E$5:$E$530,A14,'Danh sách kiểm tra'!$V$5:$V$530,"&lt;&gt;OK",'Danh sách kiểm tra'!$N$5:$N$530,"&lt;&gt;")</f>
        <v>0</v>
      </c>
      <c r="I14" s="20">
        <f t="shared" si="0"/>
        <v>1</v>
      </c>
    </row>
    <row r="15" spans="1:9" x14ac:dyDescent="0.25">
      <c r="A15" s="17" t="s">
        <v>1698</v>
      </c>
      <c r="B15" s="17">
        <f t="shared" ref="B15:H15" si="1">SUM(B4:B14)</f>
        <v>526</v>
      </c>
      <c r="C15" s="17">
        <f t="shared" si="1"/>
        <v>59</v>
      </c>
      <c r="D15" s="17">
        <f t="shared" si="1"/>
        <v>526</v>
      </c>
      <c r="E15" s="17">
        <f t="shared" si="1"/>
        <v>179</v>
      </c>
      <c r="F15" s="17">
        <f t="shared" si="1"/>
        <v>118</v>
      </c>
      <c r="G15" s="17">
        <f t="shared" si="1"/>
        <v>229</v>
      </c>
      <c r="H15" s="17">
        <f t="shared" si="1"/>
        <v>0</v>
      </c>
      <c r="I15" s="21">
        <f t="shared" si="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Hướng dẫn</vt:lpstr>
      <vt:lpstr>Danh sách kiểm tra</vt:lpstr>
      <vt:lpstr>Tổng hợp</vt:lpstr>
      <vt:lpstr>'Danh sách kiểm tra'!Print_Titles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HoangHieu</cp:lastModifiedBy>
  <dcterms:created xsi:type="dcterms:W3CDTF">2026-10-17T03:50:33Z</dcterms:created>
  <dcterms:modified xsi:type="dcterms:W3CDTF">2026-10-17T05:39:08Z</dcterms:modified>
</cp:coreProperties>
</file>