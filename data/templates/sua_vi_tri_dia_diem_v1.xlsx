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Danh sách kiểm tra" sheetId="2" state="visible" r:id="rId2"/>
    <sheet xmlns:r="http://schemas.openxmlformats.org/officeDocument/2006/relationships" name="Tổng hợp" sheetId="3" state="visible" r:id="rId3"/>
  </sheets>
  <definedNames>
    <definedName name="_xlnm._FilterDatabase" localSheetId="1" hidden="1">'Danh sách kiểm tra'!$A$4:$V$530</definedName>
    <definedName name="_xlnm.Print_Titles" localSheetId="1">'Danh sách kiểm tra'!$4:$4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0F766E"/>
      <sz val="14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1D4ED8"/>
      <sz val="10"/>
      <u val="single"/>
    </font>
    <font>
      <name val="Arial"/>
      <b val="1"/>
      <sz val="10"/>
    </font>
    <font>
      <name val="Arial"/>
      <b val="1"/>
      <color rgb="000F766E"/>
      <sz val="13"/>
    </font>
    <font>
      <name val="Arial"/>
      <color rgb="00000000"/>
      <sz val="10"/>
    </font>
    <font>
      <name val="Arial"/>
      <b val="1"/>
      <color rgb="000F766E"/>
      <sz val="11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B45309"/>
      </patternFill>
    </fill>
    <fill>
      <patternFill patternType="solid">
        <fgColor rgb="00334155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4" fillId="5" borderId="1" pivotButton="0" quotePrefix="0" xfId="0"/>
    <xf numFmtId="164" fontId="4" fillId="5" borderId="1" pivotButton="0" quotePrefix="0" xfId="0"/>
    <xf numFmtId="165" fontId="4" fillId="5" borderId="1" pivotButton="0" quotePrefix="0" xfId="0"/>
    <xf numFmtId="3" fontId="4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4" fillId="0" borderId="1" pivotButton="0" quotePrefix="0" xfId="0"/>
    <xf numFmtId="9" fontId="4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15803D"/>
      </font>
      <fill>
        <patternFill patternType="solid">
          <fgColor rgb="00DCFCE7"/>
        </patternFill>
      </fill>
    </dxf>
    <dxf>
      <font>
        <name val="Arial"/>
        <b val="1"/>
        <color rgb="00B91C1C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openstreetmap.org/?mlat=14.061869&amp;mlon=108.009918#map=18/14.061869/108.009918" TargetMode="External" Id="rId1"/><Relationship Type="http://schemas.openxmlformats.org/officeDocument/2006/relationships/hyperlink" Target="https://www.openstreetmap.org/?mlat=14.056879&amp;mlon=108.003073#map=18/14.056879/108.003073" TargetMode="External" Id="rId2"/><Relationship Type="http://schemas.openxmlformats.org/officeDocument/2006/relationships/hyperlink" Target="https://www.openstreetmap.org/?mlat=13.948200&amp;mlon=108.134800#map=18/13.948200/108.134800" TargetMode="External" Id="rId3"/><Relationship Type="http://schemas.openxmlformats.org/officeDocument/2006/relationships/hyperlink" Target="https://www.openstreetmap.org/?mlat=13.971800&amp;mlon=108.042300#map=18/13.971800/108.042300" TargetMode="External" Id="rId4"/><Relationship Type="http://schemas.openxmlformats.org/officeDocument/2006/relationships/hyperlink" Target="https://www.openstreetmap.org/?mlat=13.961200&amp;mlon=108.048700#map=18/13.961200/108.048700" TargetMode="External" Id="rId5"/><Relationship Type="http://schemas.openxmlformats.org/officeDocument/2006/relationships/hyperlink" Target="https://www.openstreetmap.org/?mlat=13.984145&amp;mlon=107.993733#map=18/13.984145/107.993733" TargetMode="External" Id="rId6"/><Relationship Type="http://schemas.openxmlformats.org/officeDocument/2006/relationships/hyperlink" Target="https://www.openstreetmap.org/?mlat=13.964108&amp;mlon=107.988214#map=18/13.964108/107.988214" TargetMode="External" Id="rId7"/><Relationship Type="http://schemas.openxmlformats.org/officeDocument/2006/relationships/hyperlink" Target="https://www.openstreetmap.org/?mlat=13.978780&amp;mlon=107.997549#map=18/13.978780/107.997549" TargetMode="External" Id="rId8"/><Relationship Type="http://schemas.openxmlformats.org/officeDocument/2006/relationships/hyperlink" Target="https://www.openstreetmap.org/?mlat=13.954041&amp;mlon=108.014269#map=18/13.954041/108.014269" TargetMode="External" Id="rId9"/><Relationship Type="http://schemas.openxmlformats.org/officeDocument/2006/relationships/hyperlink" Target="https://www.openstreetmap.org/?mlat=13.988266&amp;mlon=108.011451#map=18/13.988266/108.011451" TargetMode="External" Id="rId10"/><Relationship Type="http://schemas.openxmlformats.org/officeDocument/2006/relationships/hyperlink" Target="https://www.openstreetmap.org/?mlat=13.997023&amp;mlon=107.998083#map=18/13.997023/107.998083" TargetMode="External" Id="rId11"/><Relationship Type="http://schemas.openxmlformats.org/officeDocument/2006/relationships/hyperlink" Target="https://www.openstreetmap.org/?mlat=14.036034&amp;mlon=108.012214#map=18/14.036034/108.012214" TargetMode="External" Id="rId12"/><Relationship Type="http://schemas.openxmlformats.org/officeDocument/2006/relationships/hyperlink" Target="https://www.openstreetmap.org/?mlat=13.756587&amp;mlon=107.889618#map=18/13.756587/107.889618" TargetMode="External" Id="rId13"/><Relationship Type="http://schemas.openxmlformats.org/officeDocument/2006/relationships/hyperlink" Target="https://www.openstreetmap.org/?mlat=14.206870&amp;mlon=107.836100#map=18/14.206870/107.836100" TargetMode="External" Id="rId14"/><Relationship Type="http://schemas.openxmlformats.org/officeDocument/2006/relationships/hyperlink" Target="https://www.openstreetmap.org/?mlat=14.137262&amp;mlon=107.889667#map=18/14.137262/107.889667" TargetMode="External" Id="rId15"/><Relationship Type="http://schemas.openxmlformats.org/officeDocument/2006/relationships/hyperlink" Target="https://www.openstreetmap.org/?mlat=14.142040&amp;mlon=108.597580#map=18/14.142040/108.597580" TargetMode="External" Id="rId16"/><Relationship Type="http://schemas.openxmlformats.org/officeDocument/2006/relationships/hyperlink" Target="https://www.openstreetmap.org/?mlat=13.777405&amp;mlon=108.524011#map=18/13.777405/108.524011" TargetMode="External" Id="rId17"/><Relationship Type="http://schemas.openxmlformats.org/officeDocument/2006/relationships/hyperlink" Target="https://www.openstreetmap.org/?mlat=13.980900&amp;mlon=108.021500#map=18/13.980900/108.021500" TargetMode="External" Id="rId18"/><Relationship Type="http://schemas.openxmlformats.org/officeDocument/2006/relationships/hyperlink" Target="https://www.openstreetmap.org/?mlat=13.972151&amp;mlon=108.022385#map=18/13.972151/108.022385" TargetMode="External" Id="rId19"/><Relationship Type="http://schemas.openxmlformats.org/officeDocument/2006/relationships/hyperlink" Target="https://www.openstreetmap.org/?mlat=14.034813&amp;mlon=107.996807#map=18/14.034813/107.996807" TargetMode="External" Id="rId20"/><Relationship Type="http://schemas.openxmlformats.org/officeDocument/2006/relationships/hyperlink" Target="https://www.openstreetmap.org/?mlat=13.685200&amp;mlon=108.081300#map=18/13.685200/108.081300" TargetMode="External" Id="rId21"/><Relationship Type="http://schemas.openxmlformats.org/officeDocument/2006/relationships/hyperlink" Target="https://www.openstreetmap.org/?mlat=14.196200&amp;mlon=107.832200#map=18/14.196200/107.832200" TargetMode="External" Id="rId22"/><Relationship Type="http://schemas.openxmlformats.org/officeDocument/2006/relationships/hyperlink" Target="https://www.openstreetmap.org/?mlat=14.190800&amp;mlon=108.565000#map=18/14.190800/108.565000" TargetMode="External" Id="rId23"/><Relationship Type="http://schemas.openxmlformats.org/officeDocument/2006/relationships/hyperlink" Target="https://www.openstreetmap.org/?mlat=13.985172&amp;mlon=108.018771#map=18/13.985172/108.018771" TargetMode="External" Id="rId24"/><Relationship Type="http://schemas.openxmlformats.org/officeDocument/2006/relationships/hyperlink" Target="https://www.openstreetmap.org/?mlat=13.996012&amp;mlon=107.986538#map=18/13.996012/107.986538" TargetMode="External" Id="rId25"/><Relationship Type="http://schemas.openxmlformats.org/officeDocument/2006/relationships/hyperlink" Target="https://www.openstreetmap.org/?mlat=13.972776&amp;mlon=108.674779#map=18/13.972776/108.674779" TargetMode="External" Id="rId26"/><Relationship Type="http://schemas.openxmlformats.org/officeDocument/2006/relationships/hyperlink" Target="https://www.openstreetmap.org/?mlat=13.951893&amp;mlon=108.658582#map=18/13.951893/108.658582" TargetMode="External" Id="rId27"/><Relationship Type="http://schemas.openxmlformats.org/officeDocument/2006/relationships/hyperlink" Target="https://www.openstreetmap.org/?mlat=13.952169&amp;mlon=108.657763#map=18/13.952169/108.657763" TargetMode="External" Id="rId28"/><Relationship Type="http://schemas.openxmlformats.org/officeDocument/2006/relationships/hyperlink" Target="https://www.openstreetmap.org/?mlat=13.972590&amp;mlon=108.031853#map=18/13.972590/108.031853" TargetMode="External" Id="rId29"/><Relationship Type="http://schemas.openxmlformats.org/officeDocument/2006/relationships/hyperlink" Target="https://www.openstreetmap.org/?mlat=13.398173&amp;mlon=108.437923#map=18/13.398173/108.437923" TargetMode="External" Id="rId30"/><Relationship Type="http://schemas.openxmlformats.org/officeDocument/2006/relationships/hyperlink" Target="https://www.openstreetmap.org/?mlat=13.690710&amp;mlon=108.078650#map=18/13.690710/108.078650" TargetMode="External" Id="rId31"/><Relationship Type="http://schemas.openxmlformats.org/officeDocument/2006/relationships/hyperlink" Target="https://www.openstreetmap.org/?mlat=14.142714&amp;mlon=108.603971#map=18/14.142714/108.603971" TargetMode="External" Id="rId32"/><Relationship Type="http://schemas.openxmlformats.org/officeDocument/2006/relationships/hyperlink" Target="https://www.openstreetmap.org/?mlat=13.197214&amp;mlon=108.686133#map=18/13.197214/108.686133" TargetMode="External" Id="rId33"/><Relationship Type="http://schemas.openxmlformats.org/officeDocument/2006/relationships/hyperlink" Target="https://www.openstreetmap.org/?mlat=13.799482&amp;mlon=107.692402#map=18/13.799482/107.692402" TargetMode="External" Id="rId34"/><Relationship Type="http://schemas.openxmlformats.org/officeDocument/2006/relationships/hyperlink" Target="https://www.openstreetmap.org/?mlat=13.975385&amp;mlon=108.671841#map=18/13.975385/108.671841" TargetMode="External" Id="rId35"/><Relationship Type="http://schemas.openxmlformats.org/officeDocument/2006/relationships/hyperlink" Target="https://www.openstreetmap.org/?mlat=13.955466&amp;mlon=108.663789#map=18/13.955466/108.663789" TargetMode="External" Id="rId36"/><Relationship Type="http://schemas.openxmlformats.org/officeDocument/2006/relationships/hyperlink" Target="https://www.openstreetmap.org/?mlat=13.409506&amp;mlon=108.441579#map=18/13.409506/108.441579" TargetMode="External" Id="rId37"/><Relationship Type="http://schemas.openxmlformats.org/officeDocument/2006/relationships/hyperlink" Target="https://www.openstreetmap.org/?mlat=13.409596&amp;mlon=108.440802#map=18/13.409596/108.440802" TargetMode="External" Id="rId38"/><Relationship Type="http://schemas.openxmlformats.org/officeDocument/2006/relationships/hyperlink" Target="https://www.openstreetmap.org/?mlat=13.426310&amp;mlon=108.426994#map=18/13.426310/108.426994" TargetMode="External" Id="rId39"/><Relationship Type="http://schemas.openxmlformats.org/officeDocument/2006/relationships/hyperlink" Target="https://www.openstreetmap.org/?mlat=13.974527&amp;mlon=107.998111#map=18/13.974527/107.998111" TargetMode="External" Id="rId40"/><Relationship Type="http://schemas.openxmlformats.org/officeDocument/2006/relationships/hyperlink" Target="https://www.openstreetmap.org/?mlat=13.950515&amp;mlon=108.014056#map=18/13.950515/108.014056" TargetMode="External" Id="rId41"/><Relationship Type="http://schemas.openxmlformats.org/officeDocument/2006/relationships/hyperlink" Target="https://www.openstreetmap.org/?mlat=13.910494&amp;mlon=108.009658#map=18/13.910494/108.009658" TargetMode="External" Id="rId42"/><Relationship Type="http://schemas.openxmlformats.org/officeDocument/2006/relationships/hyperlink" Target="https://www.openstreetmap.org/?mlat=13.967844&amp;mlon=108.016891#map=18/13.967844/108.016891" TargetMode="External" Id="rId43"/><Relationship Type="http://schemas.openxmlformats.org/officeDocument/2006/relationships/hyperlink" Target="https://www.openstreetmap.org/?mlat=13.984357&amp;mlon=108.008750#map=18/13.984357/108.008750" TargetMode="External" Id="rId44"/><Relationship Type="http://schemas.openxmlformats.org/officeDocument/2006/relationships/hyperlink" Target="https://www.openstreetmap.org/?mlat=13.994021&amp;mlon=108.001402#map=18/13.994021/108.001402" TargetMode="External" Id="rId45"/><Relationship Type="http://schemas.openxmlformats.org/officeDocument/2006/relationships/hyperlink" Target="https://www.openstreetmap.org/?mlat=13.760638&amp;mlon=107.887069#map=18/13.760638/107.887069" TargetMode="External" Id="rId46"/><Relationship Type="http://schemas.openxmlformats.org/officeDocument/2006/relationships/hyperlink" Target="https://www.openstreetmap.org/?mlat=13.722133&amp;mlon=108.064167#map=18/13.722133/108.064167" TargetMode="External" Id="rId47"/><Relationship Type="http://schemas.openxmlformats.org/officeDocument/2006/relationships/hyperlink" Target="https://www.openstreetmap.org/?mlat=13.697988&amp;mlon=108.071398#map=18/13.697988/108.071398" TargetMode="External" Id="rId48"/><Relationship Type="http://schemas.openxmlformats.org/officeDocument/2006/relationships/hyperlink" Target="https://www.openstreetmap.org/?mlat=13.671696&amp;mlon=108.088472#map=18/13.671696/108.088472" TargetMode="External" Id="rId49"/><Relationship Type="http://schemas.openxmlformats.org/officeDocument/2006/relationships/hyperlink" Target="https://www.openstreetmap.org/?mlat=13.812252&amp;mlon=107.705591#map=18/13.812252/107.705591" TargetMode="External" Id="rId50"/><Relationship Type="http://schemas.openxmlformats.org/officeDocument/2006/relationships/hyperlink" Target="https://www.openstreetmap.org/?mlat=13.979300&amp;mlon=108.012500#map=18/13.979300/108.012500" TargetMode="External" Id="rId51"/><Relationship Type="http://schemas.openxmlformats.org/officeDocument/2006/relationships/hyperlink" Target="https://www.openstreetmap.org/?mlat=13.983700&amp;mlon=108.034500#map=18/13.983700/108.034500" TargetMode="External" Id="rId52"/><Relationship Type="http://schemas.openxmlformats.org/officeDocument/2006/relationships/hyperlink" Target="https://www.openstreetmap.org/?mlat=13.964964&amp;mlon=108.006275#map=18/13.964964/108.006275" TargetMode="External" Id="rId53"/><Relationship Type="http://schemas.openxmlformats.org/officeDocument/2006/relationships/hyperlink" Target="https://www.openstreetmap.org/?mlat=13.976400&amp;mlon=108.008200#map=18/13.976400/108.008200" TargetMode="External" Id="rId54"/><Relationship Type="http://schemas.openxmlformats.org/officeDocument/2006/relationships/hyperlink" Target="https://www.openstreetmap.org/?mlat=13.987300&amp;mlon=108.015800#map=18/13.987300/108.015800" TargetMode="External" Id="rId55"/><Relationship Type="http://schemas.openxmlformats.org/officeDocument/2006/relationships/hyperlink" Target="https://www.openstreetmap.org/?mlat=13.985800&amp;mlon=108.671200#map=18/13.985800/108.671200" TargetMode="External" Id="rId56"/><Relationship Type="http://schemas.openxmlformats.org/officeDocument/2006/relationships/hyperlink" Target="https://www.openstreetmap.org/?mlat=13.985600&amp;mlon=108.009800#map=18/13.985600/108.009800" TargetMode="External" Id="rId57"/><Relationship Type="http://schemas.openxmlformats.org/officeDocument/2006/relationships/hyperlink" Target="https://www.openstreetmap.org/?mlat=13.764900&amp;mlon=107.895800#map=18/13.764900/107.895800" TargetMode="External" Id="rId58"/><Relationship Type="http://schemas.openxmlformats.org/officeDocument/2006/relationships/hyperlink" Target="https://www.openstreetmap.org/?mlat=14.031500&amp;mlon=108.239800#map=18/14.031500/108.239800" TargetMode="External" Id="rId59"/><Relationship Type="http://schemas.openxmlformats.org/officeDocument/2006/relationships/hyperlink" Target="https://www.openstreetmap.org/?mlat=13.779008&amp;mlon=109.225337#map=18/13.779008/109.225337" TargetMode="External" Id="rId60"/><Relationship Type="http://schemas.openxmlformats.org/officeDocument/2006/relationships/hyperlink" Target="https://www.openstreetmap.org/?mlat=13.756939&amp;mlon=109.218009#map=18/13.756939/109.218009" TargetMode="External" Id="rId61"/><Relationship Type="http://schemas.openxmlformats.org/officeDocument/2006/relationships/hyperlink" Target="https://www.openstreetmap.org/?mlat=13.757955&amp;mlon=109.218589#map=18/13.757955/109.218589" TargetMode="External" Id="rId62"/><Relationship Type="http://schemas.openxmlformats.org/officeDocument/2006/relationships/hyperlink" Target="https://www.openstreetmap.org/?mlat=13.756881&amp;mlon=109.217981#map=18/13.756881/109.217981" TargetMode="External" Id="rId63"/><Relationship Type="http://schemas.openxmlformats.org/officeDocument/2006/relationships/hyperlink" Target="https://www.openstreetmap.org/?mlat=14.011948&amp;mlon=109.055956#map=18/14.011948/109.055956" TargetMode="External" Id="rId64"/><Relationship Type="http://schemas.openxmlformats.org/officeDocument/2006/relationships/hyperlink" Target="https://www.openstreetmap.org/?mlat=14.173829&amp;mlon=109.050870#map=18/14.173829/109.050870" TargetMode="External" Id="rId65"/><Relationship Type="http://schemas.openxmlformats.org/officeDocument/2006/relationships/hyperlink" Target="https://www.openstreetmap.org/?mlat=13.799877&amp;mlon=107.693566#map=18/13.799877/107.693566" TargetMode="External" Id="rId66"/><Relationship Type="http://schemas.openxmlformats.org/officeDocument/2006/relationships/hyperlink" Target="https://www.openstreetmap.org/?mlat=13.977115&amp;mlon=108.693188#map=18/13.977115/108.693188" TargetMode="External" Id="rId67"/><Relationship Type="http://schemas.openxmlformats.org/officeDocument/2006/relationships/hyperlink" Target="https://www.openstreetmap.org/?mlat=13.853014&amp;mlon=109.075113#map=18/13.853014/109.075113" TargetMode="External" Id="rId68"/><Relationship Type="http://schemas.openxmlformats.org/officeDocument/2006/relationships/hyperlink" Target="https://www.openstreetmap.org/?mlat=13.901594&amp;mlon=109.105798#map=18/13.901594/109.105798" TargetMode="External" Id="rId69"/><Relationship Type="http://schemas.openxmlformats.org/officeDocument/2006/relationships/hyperlink" Target="https://www.openstreetmap.org/?mlat=13.893230&amp;mlon=109.099507#map=18/13.893230/109.099507" TargetMode="External" Id="rId70"/><Relationship Type="http://schemas.openxmlformats.org/officeDocument/2006/relationships/hyperlink" Target="https://www.openstreetmap.org/?mlat=13.427739&amp;mlon=108.424782#map=18/13.427739/108.424782" TargetMode="External" Id="rId71"/><Relationship Type="http://schemas.openxmlformats.org/officeDocument/2006/relationships/hyperlink" Target="https://www.openstreetmap.org/?mlat=13.422649&amp;mlon=108.428058#map=18/13.422649/108.428058" TargetMode="External" Id="rId72"/><Relationship Type="http://schemas.openxmlformats.org/officeDocument/2006/relationships/hyperlink" Target="https://www.openstreetmap.org/?mlat=13.411438&amp;mlon=108.437637#map=18/13.411438/108.437637" TargetMode="External" Id="rId73"/><Relationship Type="http://schemas.openxmlformats.org/officeDocument/2006/relationships/hyperlink" Target="https://www.openstreetmap.org/?mlat=13.892616&amp;mlon=109.113783#map=18/13.892616/109.113783" TargetMode="External" Id="rId74"/><Relationship Type="http://schemas.openxmlformats.org/officeDocument/2006/relationships/hyperlink" Target="https://www.openstreetmap.org/?mlat=14.399132&amp;mlon=109.016684#map=18/14.399132/109.016684" TargetMode="External" Id="rId75"/><Relationship Type="http://schemas.openxmlformats.org/officeDocument/2006/relationships/hyperlink" Target="https://www.openstreetmap.org/?mlat=14.427819&amp;mlon=109.003996#map=18/14.427819/109.003996" TargetMode="External" Id="rId76"/><Relationship Type="http://schemas.openxmlformats.org/officeDocument/2006/relationships/hyperlink" Target="https://www.openstreetmap.org/?mlat=13.977032&amp;mlon=108.000195#map=18/13.977032/108.000195" TargetMode="External" Id="rId77"/><Relationship Type="http://schemas.openxmlformats.org/officeDocument/2006/relationships/hyperlink" Target="https://www.openstreetmap.org/?mlat=13.977277&amp;mlon=107.992914#map=18/13.977277/107.992914" TargetMode="External" Id="rId78"/><Relationship Type="http://schemas.openxmlformats.org/officeDocument/2006/relationships/hyperlink" Target="https://www.openstreetmap.org/?mlat=14.515977&amp;mlon=109.077656#map=18/14.515977/109.077656" TargetMode="External" Id="rId79"/><Relationship Type="http://schemas.openxmlformats.org/officeDocument/2006/relationships/hyperlink" Target="https://www.openstreetmap.org/?mlat=14.543372&amp;mlon=109.071060#map=18/14.543372/109.071060" TargetMode="External" Id="rId80"/><Relationship Type="http://schemas.openxmlformats.org/officeDocument/2006/relationships/hyperlink" Target="https://www.openstreetmap.org/?mlat=14.557905&amp;mlon=109.049076#map=18/14.557905/109.049076" TargetMode="External" Id="rId81"/><Relationship Type="http://schemas.openxmlformats.org/officeDocument/2006/relationships/hyperlink" Target="https://www.openstreetmap.org/?mlat=14.559445&amp;mlon=109.066338#map=18/14.559445/109.066338" TargetMode="External" Id="rId82"/><Relationship Type="http://schemas.openxmlformats.org/officeDocument/2006/relationships/hyperlink" Target="https://www.openstreetmap.org/?mlat=14.574763&amp;mlon=109.058025#map=18/14.574763/109.058025" TargetMode="External" Id="rId83"/><Relationship Type="http://schemas.openxmlformats.org/officeDocument/2006/relationships/hyperlink" Target="https://www.openstreetmap.org/?mlat=14.470206&amp;mlon=109.030525#map=18/14.470206/109.030525" TargetMode="External" Id="rId84"/><Relationship Type="http://schemas.openxmlformats.org/officeDocument/2006/relationships/hyperlink" Target="https://www.openstreetmap.org/?mlat=14.493691&amp;mlon=109.088726#map=18/14.493691/109.088726" TargetMode="External" Id="rId85"/><Relationship Type="http://schemas.openxmlformats.org/officeDocument/2006/relationships/hyperlink" Target="https://www.openstreetmap.org/?mlat=14.462668&amp;mlon=109.099145#map=18/14.462668/109.099145" TargetMode="External" Id="rId86"/><Relationship Type="http://schemas.openxmlformats.org/officeDocument/2006/relationships/hyperlink" Target="https://www.openstreetmap.org/?mlat=13.940143&amp;mlon=108.010153#map=18/13.940143/108.010153" TargetMode="External" Id="rId87"/><Relationship Type="http://schemas.openxmlformats.org/officeDocument/2006/relationships/hyperlink" Target="https://www.openstreetmap.org/?mlat=13.959062&amp;mlon=108.016094#map=18/13.959062/108.016094" TargetMode="External" Id="rId88"/><Relationship Type="http://schemas.openxmlformats.org/officeDocument/2006/relationships/hyperlink" Target="https://www.openstreetmap.org/?mlat=13.938404&amp;mlon=108.009280#map=18/13.938404/108.009280" TargetMode="External" Id="rId89"/><Relationship Type="http://schemas.openxmlformats.org/officeDocument/2006/relationships/hyperlink" Target="https://www.openstreetmap.org/?mlat=13.902620&amp;mlon=108.017526#map=18/13.902620/108.017526" TargetMode="External" Id="rId90"/><Relationship Type="http://schemas.openxmlformats.org/officeDocument/2006/relationships/hyperlink" Target="https://www.openstreetmap.org/?mlat=13.906643&amp;mlon=108.015942#map=18/13.906643/108.015942" TargetMode="External" Id="rId91"/><Relationship Type="http://schemas.openxmlformats.org/officeDocument/2006/relationships/hyperlink" Target="https://www.openstreetmap.org/?mlat=13.924707&amp;mlon=108.006163#map=18/13.924707/108.006163" TargetMode="External" Id="rId92"/><Relationship Type="http://schemas.openxmlformats.org/officeDocument/2006/relationships/hyperlink" Target="https://www.openstreetmap.org/?mlat=13.957503&amp;mlon=108.015526#map=18/13.957503/108.015526" TargetMode="External" Id="rId93"/><Relationship Type="http://schemas.openxmlformats.org/officeDocument/2006/relationships/hyperlink" Target="https://www.openstreetmap.org/?mlat=13.914047&amp;mlon=108.005668#map=18/13.914047/108.005668" TargetMode="External" Id="rId94"/><Relationship Type="http://schemas.openxmlformats.org/officeDocument/2006/relationships/hyperlink" Target="https://www.openstreetmap.org/?mlat=13.929572&amp;mlon=108.007448#map=18/13.929572/108.007448" TargetMode="External" Id="rId95"/><Relationship Type="http://schemas.openxmlformats.org/officeDocument/2006/relationships/hyperlink" Target="https://www.openstreetmap.org/?mlat=13.947055&amp;mlon=108.011929#map=18/13.947055/108.011929" TargetMode="External" Id="rId96"/><Relationship Type="http://schemas.openxmlformats.org/officeDocument/2006/relationships/hyperlink" Target="https://www.openstreetmap.org/?mlat=13.978069&amp;mlon=108.025781#map=18/13.978069/108.025781" TargetMode="External" Id="rId97"/><Relationship Type="http://schemas.openxmlformats.org/officeDocument/2006/relationships/hyperlink" Target="https://www.openstreetmap.org/?mlat=13.991702&amp;mlon=108.002739#map=18/13.991702/108.002739" TargetMode="External" Id="rId98"/><Relationship Type="http://schemas.openxmlformats.org/officeDocument/2006/relationships/hyperlink" Target="https://www.openstreetmap.org/?mlat=13.779355&amp;mlon=109.225270#map=18/13.779355/109.225270" TargetMode="External" Id="rId99"/><Relationship Type="http://schemas.openxmlformats.org/officeDocument/2006/relationships/hyperlink" Target="https://www.openstreetmap.org/?mlat=13.793768&amp;mlon=109.163365#map=18/13.793768/109.163365" TargetMode="External" Id="rId100"/><Relationship Type="http://schemas.openxmlformats.org/officeDocument/2006/relationships/hyperlink" Target="https://www.openstreetmap.org/?mlat=13.794262&amp;mlon=109.160540#map=18/13.794262/109.160540" TargetMode="External" Id="rId101"/><Relationship Type="http://schemas.openxmlformats.org/officeDocument/2006/relationships/hyperlink" Target="https://www.openstreetmap.org/?mlat=13.794198&amp;mlon=109.159308#map=18/13.794198/109.159308" TargetMode="External" Id="rId102"/><Relationship Type="http://schemas.openxmlformats.org/officeDocument/2006/relationships/hyperlink" Target="https://www.openstreetmap.org/?mlat=13.795608&amp;mlon=109.147887#map=18/13.795608/109.147887" TargetMode="External" Id="rId103"/><Relationship Type="http://schemas.openxmlformats.org/officeDocument/2006/relationships/hyperlink" Target="https://www.openstreetmap.org/?mlat=13.767440&amp;mlon=109.197455#map=18/13.767440/109.197455" TargetMode="External" Id="rId104"/><Relationship Type="http://schemas.openxmlformats.org/officeDocument/2006/relationships/hyperlink" Target="https://www.openstreetmap.org/?mlat=13.755269&amp;mlon=109.208990#map=18/13.755269/109.208990" TargetMode="External" Id="rId105"/><Relationship Type="http://schemas.openxmlformats.org/officeDocument/2006/relationships/hyperlink" Target="https://www.openstreetmap.org/?mlat=13.751449&amp;mlon=109.208334#map=18/13.751449/109.208334" TargetMode="External" Id="rId106"/><Relationship Type="http://schemas.openxmlformats.org/officeDocument/2006/relationships/hyperlink" Target="https://www.openstreetmap.org/?mlat=13.723991&amp;mlon=109.160730#map=18/13.723991/109.160730" TargetMode="External" Id="rId107"/><Relationship Type="http://schemas.openxmlformats.org/officeDocument/2006/relationships/hyperlink" Target="https://www.openstreetmap.org/?mlat=13.791481&amp;mlon=109.192372#map=18/13.791481/109.192372" TargetMode="External" Id="rId108"/><Relationship Type="http://schemas.openxmlformats.org/officeDocument/2006/relationships/hyperlink" Target="https://www.openstreetmap.org/?mlat=13.772334&amp;mlon=109.290517#map=18/13.772334/109.290517" TargetMode="External" Id="rId109"/><Relationship Type="http://schemas.openxmlformats.org/officeDocument/2006/relationships/hyperlink" Target="https://www.openstreetmap.org/?mlat=13.885583&amp;mlon=109.258953#map=18/13.885583/109.258953" TargetMode="External" Id="rId110"/><Relationship Type="http://schemas.openxmlformats.org/officeDocument/2006/relationships/hyperlink" Target="https://www.openstreetmap.org/?mlat=13.816458&amp;mlon=109.256592#map=18/13.816458/109.256592" TargetMode="External" Id="rId111"/><Relationship Type="http://schemas.openxmlformats.org/officeDocument/2006/relationships/hyperlink" Target="https://www.openstreetmap.org/?mlat=14.561966&amp;mlon=109.045847#map=18/14.561966/109.045847" TargetMode="External" Id="rId112"/><Relationship Type="http://schemas.openxmlformats.org/officeDocument/2006/relationships/hyperlink" Target="https://www.openstreetmap.org/?mlat=14.553922&amp;mlon=109.042895#map=18/14.553922/109.042895" TargetMode="External" Id="rId113"/><Relationship Type="http://schemas.openxmlformats.org/officeDocument/2006/relationships/hyperlink" Target="https://www.openstreetmap.org/?mlat=13.993392&amp;mlon=108.000955#map=18/13.993392/108.000955" TargetMode="External" Id="rId114"/><Relationship Type="http://schemas.openxmlformats.org/officeDocument/2006/relationships/hyperlink" Target="https://www.openstreetmap.org/?mlat=14.015716&amp;mlon=107.991876#map=18/14.015716/107.991876" TargetMode="External" Id="rId115"/><Relationship Type="http://schemas.openxmlformats.org/officeDocument/2006/relationships/hyperlink" Target="https://www.openstreetmap.org/?mlat=14.041971&amp;mlon=107.987605#map=18/14.041971/107.987605" TargetMode="External" Id="rId116"/><Relationship Type="http://schemas.openxmlformats.org/officeDocument/2006/relationships/hyperlink" Target="https://www.openstreetmap.org/?mlat=14.034438&amp;mlon=107.988002#map=18/14.034438/107.988002" TargetMode="External" Id="rId117"/><Relationship Type="http://schemas.openxmlformats.org/officeDocument/2006/relationships/hyperlink" Target="https://www.openstreetmap.org/?mlat=14.027680&amp;mlon=107.989579#map=18/14.027680/107.989579" TargetMode="External" Id="rId118"/><Relationship Type="http://schemas.openxmlformats.org/officeDocument/2006/relationships/hyperlink" Target="https://www.openstreetmap.org/?mlat=14.607595&amp;mlon=108.893125#map=18/14.607595/108.893125" TargetMode="External" Id="rId119"/><Relationship Type="http://schemas.openxmlformats.org/officeDocument/2006/relationships/hyperlink" Target="https://www.openstreetmap.org/?mlat=14.152006&amp;mlon=109.153568#map=18/14.152006/109.153568" TargetMode="External" Id="rId120"/><Relationship Type="http://schemas.openxmlformats.org/officeDocument/2006/relationships/hyperlink" Target="https://www.openstreetmap.org/?mlat=14.174694&amp;mlon=109.147507#map=18/14.174694/109.147507" TargetMode="External" Id="rId121"/><Relationship Type="http://schemas.openxmlformats.org/officeDocument/2006/relationships/hyperlink" Target="https://www.openstreetmap.org/?mlat=14.170282&amp;mlon=109.138158#map=18/14.170282/109.138158" TargetMode="External" Id="rId122"/><Relationship Type="http://schemas.openxmlformats.org/officeDocument/2006/relationships/hyperlink" Target="https://www.openstreetmap.org/?mlat=13.865310&amp;mlon=109.012026#map=18/13.865310/109.012026" TargetMode="External" Id="rId123"/><Relationship Type="http://schemas.openxmlformats.org/officeDocument/2006/relationships/hyperlink" Target="https://www.openstreetmap.org/?mlat=14.089625&amp;mlon=107.981072#map=18/14.089625/107.981072" TargetMode="External" Id="rId124"/><Relationship Type="http://schemas.openxmlformats.org/officeDocument/2006/relationships/hyperlink" Target="https://www.openstreetmap.org/?mlat=14.046784&amp;mlon=108.025730#map=18/14.046784/108.025730" TargetMode="External" Id="rId125"/><Relationship Type="http://schemas.openxmlformats.org/officeDocument/2006/relationships/hyperlink" Target="https://www.openstreetmap.org/?mlat=14.092750&amp;mlon=107.978184#map=18/14.092750/107.978184" TargetMode="External" Id="rId126"/><Relationship Type="http://schemas.openxmlformats.org/officeDocument/2006/relationships/hyperlink" Target="https://www.openstreetmap.org/?mlat=14.080199&amp;mlon=107.988099#map=18/14.080199/107.988099" TargetMode="External" Id="rId127"/><Relationship Type="http://schemas.openxmlformats.org/officeDocument/2006/relationships/hyperlink" Target="https://www.openstreetmap.org/?mlat=13.864453&amp;mlon=107.966449#map=18/13.864453/107.966449" TargetMode="External" Id="rId128"/><Relationship Type="http://schemas.openxmlformats.org/officeDocument/2006/relationships/hyperlink" Target="https://www.openstreetmap.org/?mlat=13.815743&amp;mlon=107.879923#map=18/13.815743/107.879923" TargetMode="External" Id="rId129"/><Relationship Type="http://schemas.openxmlformats.org/officeDocument/2006/relationships/hyperlink" Target="https://www.openstreetmap.org/?mlat=13.858921&amp;mlon=107.949685#map=18/13.858921/107.949685" TargetMode="External" Id="rId130"/><Relationship Type="http://schemas.openxmlformats.org/officeDocument/2006/relationships/hyperlink" Target="https://www.openstreetmap.org/?mlat=13.855373&amp;mlon=107.920382#map=18/13.855373/107.920382" TargetMode="External" Id="rId131"/><Relationship Type="http://schemas.openxmlformats.org/officeDocument/2006/relationships/hyperlink" Target="https://www.openstreetmap.org/?mlat=13.818932&amp;mlon=107.872805#map=18/13.818932/107.872805" TargetMode="External" Id="rId132"/><Relationship Type="http://schemas.openxmlformats.org/officeDocument/2006/relationships/hyperlink" Target="https://www.openstreetmap.org/?mlat=13.857898&amp;mlon=107.928122#map=18/13.857898/107.928122" TargetMode="External" Id="rId133"/><Relationship Type="http://schemas.openxmlformats.org/officeDocument/2006/relationships/hyperlink" Target="https://www.openstreetmap.org/?mlat=13.858101&amp;mlon=107.945022#map=18/13.858101/107.945022" TargetMode="External" Id="rId134"/><Relationship Type="http://schemas.openxmlformats.org/officeDocument/2006/relationships/hyperlink" Target="https://www.openstreetmap.org/?mlat=14.291527&amp;mlon=109.078678#map=18/14.291527/109.078678" TargetMode="External" Id="rId135"/><Relationship Type="http://schemas.openxmlformats.org/officeDocument/2006/relationships/hyperlink" Target="https://www.openstreetmap.org/?mlat=13.958247&amp;mlon=108.828778#map=18/13.958247/108.828778" TargetMode="External" Id="rId136"/><Relationship Type="http://schemas.openxmlformats.org/officeDocument/2006/relationships/hyperlink" Target="https://www.openstreetmap.org/?mlat=13.549202&amp;mlon=108.260796#map=18/13.549202/108.260796" TargetMode="External" Id="rId137"/><Relationship Type="http://schemas.openxmlformats.org/officeDocument/2006/relationships/hyperlink" Target="https://www.openstreetmap.org/?mlat=13.536567&amp;mlon=108.293344#map=18/13.536567/108.293344" TargetMode="External" Id="rId138"/><Relationship Type="http://schemas.openxmlformats.org/officeDocument/2006/relationships/hyperlink" Target="https://www.openstreetmap.org/?mlat=13.534416&amp;mlon=108.298394#map=18/13.534416/108.298394" TargetMode="External" Id="rId139"/><Relationship Type="http://schemas.openxmlformats.org/officeDocument/2006/relationships/hyperlink" Target="https://www.openstreetmap.org/?mlat=14.118360&amp;mlon=107.955435#map=18/14.118360/107.955435" TargetMode="External" Id="rId140"/><Relationship Type="http://schemas.openxmlformats.org/officeDocument/2006/relationships/hyperlink" Target="https://www.openstreetmap.org/?mlat=14.167401&amp;mlon=107.957132#map=18/14.167401/107.957132" TargetMode="External" Id="rId141"/><Relationship Type="http://schemas.openxmlformats.org/officeDocument/2006/relationships/hyperlink" Target="https://www.openstreetmap.org/?mlat=14.166397&amp;mlon=107.956403#map=18/14.166397/107.956403" TargetMode="External" Id="rId142"/><Relationship Type="http://schemas.openxmlformats.org/officeDocument/2006/relationships/hyperlink" Target="https://www.openstreetmap.org/?mlat=14.180072&amp;mlon=107.958452#map=18/14.180072/107.958452" TargetMode="External" Id="rId143"/><Relationship Type="http://schemas.openxmlformats.org/officeDocument/2006/relationships/hyperlink" Target="https://www.openstreetmap.org/?mlat=13.502075&amp;mlon=108.102583#map=18/13.502075/108.102583" TargetMode="External" Id="rId144"/><Relationship Type="http://schemas.openxmlformats.org/officeDocument/2006/relationships/hyperlink" Target="https://www.openstreetmap.org/?mlat=13.550857&amp;mlon=108.097410#map=18/13.550857/108.097410" TargetMode="External" Id="rId145"/><Relationship Type="http://schemas.openxmlformats.org/officeDocument/2006/relationships/hyperlink" Target="https://www.openstreetmap.org/?mlat=13.519976&amp;mlon=108.103163#map=18/13.519976/108.103163" TargetMode="External" Id="rId146"/><Relationship Type="http://schemas.openxmlformats.org/officeDocument/2006/relationships/hyperlink" Target="https://www.openstreetmap.org/?mlat=13.558993&amp;mlon=108.101549#map=18/13.558993/108.101549" TargetMode="External" Id="rId147"/><Relationship Type="http://schemas.openxmlformats.org/officeDocument/2006/relationships/hyperlink" Target="https://www.openstreetmap.org/?mlat=13.543796&amp;mlon=108.100894#map=18/13.543796/108.100894" TargetMode="External" Id="rId148"/><Relationship Type="http://schemas.openxmlformats.org/officeDocument/2006/relationships/hyperlink" Target="https://www.openstreetmap.org/?mlat=13.677898&amp;mlon=108.084888#map=18/13.677898/108.084888" TargetMode="External" Id="rId149"/><Relationship Type="http://schemas.openxmlformats.org/officeDocument/2006/relationships/hyperlink" Target="https://www.openstreetmap.org/?mlat=13.722631&amp;mlon=108.063684#map=18/13.722631/108.063684" TargetMode="External" Id="rId150"/><Relationship Type="http://schemas.openxmlformats.org/officeDocument/2006/relationships/hyperlink" Target="https://www.openstreetmap.org/?mlat=13.689239&amp;mlon=108.083302#map=18/13.689239/108.083302" TargetMode="External" Id="rId151"/><Relationship Type="http://schemas.openxmlformats.org/officeDocument/2006/relationships/hyperlink" Target="https://www.openstreetmap.org/?mlat=13.681539&amp;mlon=108.083119#map=18/13.681539/108.083119" TargetMode="External" Id="rId152"/><Relationship Type="http://schemas.openxmlformats.org/officeDocument/2006/relationships/hyperlink" Target="https://www.openstreetmap.org/?mlat=13.759939&amp;mlon=108.028387#map=18/13.759939/108.028387" TargetMode="External" Id="rId153"/><Relationship Type="http://schemas.openxmlformats.org/officeDocument/2006/relationships/hyperlink" Target="https://www.openstreetmap.org/?mlat=13.662796&amp;mlon=108.119276#map=18/13.662796/108.119276" TargetMode="External" Id="rId154"/><Relationship Type="http://schemas.openxmlformats.org/officeDocument/2006/relationships/hyperlink" Target="https://www.openstreetmap.org/?mlat=13.728538&amp;mlon=108.054636#map=18/13.728538/108.054636" TargetMode="External" Id="rId155"/><Relationship Type="http://schemas.openxmlformats.org/officeDocument/2006/relationships/hyperlink" Target="https://www.openstreetmap.org/?mlat=13.724274&amp;mlon=108.061524#map=18/13.724274/108.061524" TargetMode="External" Id="rId156"/><Relationship Type="http://schemas.openxmlformats.org/officeDocument/2006/relationships/hyperlink" Target="https://www.openstreetmap.org/?mlat=13.703099&amp;mlon=108.070998#map=18/13.703099/108.070998" TargetMode="External" Id="rId157"/><Relationship Type="http://schemas.openxmlformats.org/officeDocument/2006/relationships/hyperlink" Target="https://www.openstreetmap.org/?mlat=13.695136&amp;mlon=108.077015#map=18/13.695136/108.077015" TargetMode="External" Id="rId158"/><Relationship Type="http://schemas.openxmlformats.org/officeDocument/2006/relationships/hyperlink" Target="https://www.openstreetmap.org/?mlat=14.079647&amp;mlon=109.192584#map=18/14.079647/109.192584" TargetMode="External" Id="rId159"/><Relationship Type="http://schemas.openxmlformats.org/officeDocument/2006/relationships/hyperlink" Target="https://www.openstreetmap.org/?mlat=14.021781&amp;mlon=109.237942#map=18/14.021781/109.237942" TargetMode="External" Id="rId160"/><Relationship Type="http://schemas.openxmlformats.org/officeDocument/2006/relationships/hyperlink" Target="https://www.openstreetmap.org/?mlat=14.004822&amp;mlon=109.244458#map=18/14.004822/109.244458" TargetMode="External" Id="rId161"/><Relationship Type="http://schemas.openxmlformats.org/officeDocument/2006/relationships/hyperlink" Target="https://www.openstreetmap.org/?mlat=13.944241&amp;mlon=109.232625#map=18/13.944241/109.232625" TargetMode="External" Id="rId162"/><Relationship Type="http://schemas.openxmlformats.org/officeDocument/2006/relationships/hyperlink" Target="https://www.openstreetmap.org/?mlat=13.978074&amp;mlon=108.701436#map=18/13.978074/108.701436" TargetMode="External" Id="rId163"/><Relationship Type="http://schemas.openxmlformats.org/officeDocument/2006/relationships/hyperlink" Target="https://www.openstreetmap.org/?mlat=13.919783&amp;mlon=108.004922#map=18/13.919783/108.004922" TargetMode="External" Id="rId164"/><Relationship Type="http://schemas.openxmlformats.org/officeDocument/2006/relationships/hyperlink" Target="https://www.openstreetmap.org/?mlat=13.767421&amp;mlon=107.513092#map=18/13.767421/107.513092" TargetMode="External" Id="rId165"/><Relationship Type="http://schemas.openxmlformats.org/officeDocument/2006/relationships/hyperlink" Target="https://www.openstreetmap.org/?mlat=13.798580&amp;mlon=107.643836#map=18/13.798580/107.643836" TargetMode="External" Id="rId166"/><Relationship Type="http://schemas.openxmlformats.org/officeDocument/2006/relationships/hyperlink" Target="https://www.openstreetmap.org/?mlat=13.962504&amp;mlon=107.842417#map=18/13.962504/107.842417" TargetMode="External" Id="rId167"/><Relationship Type="http://schemas.openxmlformats.org/officeDocument/2006/relationships/hyperlink" Target="https://www.openstreetmap.org/?mlat=13.965552&amp;mlon=107.868136#map=18/13.965552/107.868136" TargetMode="External" Id="rId168"/><Relationship Type="http://schemas.openxmlformats.org/officeDocument/2006/relationships/hyperlink" Target="https://www.openstreetmap.org/?mlat=13.960780&amp;mlon=107.836828#map=18/13.960780/107.836828" TargetMode="External" Id="rId169"/><Relationship Type="http://schemas.openxmlformats.org/officeDocument/2006/relationships/hyperlink" Target="https://www.openstreetmap.org/?mlat=14.028995&amp;mlon=107.854040#map=18/14.028995/107.854040" TargetMode="External" Id="rId170"/><Relationship Type="http://schemas.openxmlformats.org/officeDocument/2006/relationships/hyperlink" Target="https://www.openstreetmap.org/?mlat=13.472653&amp;mlon=108.381194#map=18/13.472653/108.381194" TargetMode="External" Id="rId171"/><Relationship Type="http://schemas.openxmlformats.org/officeDocument/2006/relationships/hyperlink" Target="https://www.openstreetmap.org/?mlat=13.436243&amp;mlon=108.418569#map=18/13.436243/108.418569" TargetMode="External" Id="rId172"/><Relationship Type="http://schemas.openxmlformats.org/officeDocument/2006/relationships/hyperlink" Target="https://www.openstreetmap.org/?mlat=13.633248&amp;mlon=108.111281#map=18/13.633248/108.111281" TargetMode="External" Id="rId173"/><Relationship Type="http://schemas.openxmlformats.org/officeDocument/2006/relationships/hyperlink" Target="https://www.openstreetmap.org/?mlat=13.597839&amp;mlon=108.102667#map=18/13.597839/108.102667" TargetMode="External" Id="rId174"/><Relationship Type="http://schemas.openxmlformats.org/officeDocument/2006/relationships/hyperlink" Target="https://www.openstreetmap.org/?mlat=13.643117&amp;mlon=108.106219#map=18/13.643117/108.106219" TargetMode="External" Id="rId175"/><Relationship Type="http://schemas.openxmlformats.org/officeDocument/2006/relationships/hyperlink" Target="https://www.openstreetmap.org/?mlat=13.577022&amp;mlon=108.099855#map=18/13.577022/108.099855" TargetMode="External" Id="rId176"/><Relationship Type="http://schemas.openxmlformats.org/officeDocument/2006/relationships/hyperlink" Target="https://www.openstreetmap.org/?mlat=13.590662&amp;mlon=108.101838#map=18/13.590662/108.101838" TargetMode="External" Id="rId177"/><Relationship Type="http://schemas.openxmlformats.org/officeDocument/2006/relationships/hyperlink" Target="https://www.openstreetmap.org/?mlat=13.589025&amp;mlon=108.101581#map=18/13.589025/108.101581" TargetMode="External" Id="rId178"/><Relationship Type="http://schemas.openxmlformats.org/officeDocument/2006/relationships/hyperlink" Target="https://www.openstreetmap.org/?mlat=14.236632&amp;mlon=107.992550#map=18/14.236632/107.992550" TargetMode="External" Id="rId179"/><Relationship Type="http://schemas.openxmlformats.org/officeDocument/2006/relationships/hyperlink" Target="https://www.openstreetmap.org/?mlat=14.235674&amp;mlon=107.992852#map=18/14.235674/107.992852" TargetMode="External" Id="rId180"/><Relationship Type="http://schemas.openxmlformats.org/officeDocument/2006/relationships/hyperlink" Target="https://www.openstreetmap.org/?mlat=14.222978&amp;mlon=107.985709#map=18/14.222978/107.985709" TargetMode="External" Id="rId181"/><Relationship Type="http://schemas.openxmlformats.org/officeDocument/2006/relationships/hyperlink" Target="https://www.openstreetmap.org/?mlat=13.836425&amp;mlon=107.794689#map=18/13.836425/107.794689" TargetMode="External" Id="rId182"/><Relationship Type="http://schemas.openxmlformats.org/officeDocument/2006/relationships/hyperlink" Target="https://www.openstreetmap.org/?mlat=13.824971&amp;mlon=107.767267#map=18/13.824971/107.767267" TargetMode="External" Id="rId183"/><Relationship Type="http://schemas.openxmlformats.org/officeDocument/2006/relationships/hyperlink" Target="https://www.openstreetmap.org/?mlat=13.839785&amp;mlon=107.816265#map=18/13.839785/107.816265" TargetMode="External" Id="rId184"/><Relationship Type="http://schemas.openxmlformats.org/officeDocument/2006/relationships/hyperlink" Target="https://www.openstreetmap.org/?mlat=13.442829&amp;mlon=108.091506#map=18/13.442829/108.091506" TargetMode="External" Id="rId185"/><Relationship Type="http://schemas.openxmlformats.org/officeDocument/2006/relationships/hyperlink" Target="https://www.openstreetmap.org/?mlat=13.456141&amp;mlon=108.092186#map=18/13.456141/108.092186" TargetMode="External" Id="rId186"/><Relationship Type="http://schemas.openxmlformats.org/officeDocument/2006/relationships/hyperlink" Target="https://www.openstreetmap.org/?mlat=13.418804&amp;mlon=108.093311#map=18/13.418804/108.093311" TargetMode="External" Id="rId187"/><Relationship Type="http://schemas.openxmlformats.org/officeDocument/2006/relationships/hyperlink" Target="https://www.openstreetmap.org/?mlat=13.479516&amp;mlon=108.098050#map=18/13.479516/108.098050" TargetMode="External" Id="rId188"/><Relationship Type="http://schemas.openxmlformats.org/officeDocument/2006/relationships/hyperlink" Target="https://www.openstreetmap.org/?mlat=14.179606&amp;mlon=107.851204#map=18/14.179606/107.851204" TargetMode="External" Id="rId189"/><Relationship Type="http://schemas.openxmlformats.org/officeDocument/2006/relationships/hyperlink" Target="https://www.openstreetmap.org/?mlat=13.383169&amp;mlon=107.688715#map=18/13.383169/107.688715" TargetMode="External" Id="rId190"/><Relationship Type="http://schemas.openxmlformats.org/officeDocument/2006/relationships/hyperlink" Target="https://www.openstreetmap.org/?mlat=13.760246&amp;mlon=107.569539#map=18/13.760246/107.569539" TargetMode="External" Id="rId191"/><Relationship Type="http://schemas.openxmlformats.org/officeDocument/2006/relationships/hyperlink" Target="https://www.openstreetmap.org/?mlat=13.723203&amp;mlon=107.600596#map=18/13.723203/107.600596" TargetMode="External" Id="rId192"/><Relationship Type="http://schemas.openxmlformats.org/officeDocument/2006/relationships/hyperlink" Target="https://www.openstreetmap.org/?mlat=13.782532&amp;mlon=107.619933#map=18/13.782532/107.619933" TargetMode="External" Id="rId193"/><Relationship Type="http://schemas.openxmlformats.org/officeDocument/2006/relationships/hyperlink" Target="https://www.openstreetmap.org/?mlat=13.774729&amp;mlon=107.605160#map=18/13.774729/107.605160" TargetMode="External" Id="rId194"/><Relationship Type="http://schemas.openxmlformats.org/officeDocument/2006/relationships/hyperlink" Target="https://www.openstreetmap.org/?mlat=13.731886&amp;mlon=107.600665#map=18/13.731886/107.600665" TargetMode="External" Id="rId195"/><Relationship Type="http://schemas.openxmlformats.org/officeDocument/2006/relationships/hyperlink" Target="https://www.openstreetmap.org/?mlat=13.766567&amp;mlon=107.509127#map=18/13.766567/107.509127" TargetMode="External" Id="rId196"/><Relationship Type="http://schemas.openxmlformats.org/officeDocument/2006/relationships/hyperlink" Target="https://www.openstreetmap.org/?mlat=13.965612&amp;mlon=107.515675#map=18/13.965612/107.515675" TargetMode="External" Id="rId197"/><Relationship Type="http://schemas.openxmlformats.org/officeDocument/2006/relationships/hyperlink" Target="https://www.openstreetmap.org/?mlat=13.958114&amp;mlon=107.537693#map=18/13.958114/107.537693" TargetMode="External" Id="rId198"/><Relationship Type="http://schemas.openxmlformats.org/officeDocument/2006/relationships/hyperlink" Target="https://www.openstreetmap.org/?mlat=14.145278&amp;mlon=107.887055#map=18/14.145278/107.887055" TargetMode="External" Id="rId199"/><Relationship Type="http://schemas.openxmlformats.org/officeDocument/2006/relationships/hyperlink" Target="https://www.openstreetmap.org/?mlat=14.089803&amp;mlon=107.849848#map=18/14.089803/107.849848" TargetMode="External" Id="rId200"/><Relationship Type="http://schemas.openxmlformats.org/officeDocument/2006/relationships/hyperlink" Target="https://www.openstreetmap.org/?mlat=13.296739&amp;mlon=108.623578#map=18/13.296739/108.623578" TargetMode="External" Id="rId201"/><Relationship Type="http://schemas.openxmlformats.org/officeDocument/2006/relationships/hyperlink" Target="https://www.openstreetmap.org/?mlat=13.250360&amp;mlon=108.630814#map=18/13.250360/108.630814" TargetMode="External" Id="rId202"/><Relationship Type="http://schemas.openxmlformats.org/officeDocument/2006/relationships/hyperlink" Target="https://www.openstreetmap.org/?mlat=13.235321&amp;mlon=108.641250#map=18/13.235321/108.641250" TargetMode="External" Id="rId203"/><Relationship Type="http://schemas.openxmlformats.org/officeDocument/2006/relationships/hyperlink" Target="https://www.openstreetmap.org/?mlat=13.367956&amp;mlon=108.465987#map=18/13.367956/108.465987" TargetMode="External" Id="rId204"/><Relationship Type="http://schemas.openxmlformats.org/officeDocument/2006/relationships/hyperlink" Target="https://www.openstreetmap.org/?mlat=13.799621&amp;mlon=108.003466#map=18/13.799621/108.003466" TargetMode="External" Id="rId205"/><Relationship Type="http://schemas.openxmlformats.org/officeDocument/2006/relationships/hyperlink" Target="https://www.openstreetmap.org/?mlat=13.816293&amp;mlon=108.002644#map=18/13.816293/108.002644" TargetMode="External" Id="rId206"/><Relationship Type="http://schemas.openxmlformats.org/officeDocument/2006/relationships/hyperlink" Target="https://www.openstreetmap.org/?mlat=13.875541&amp;mlon=108.008584#map=18/13.875541/108.008584" TargetMode="External" Id="rId207"/><Relationship Type="http://schemas.openxmlformats.org/officeDocument/2006/relationships/hyperlink" Target="https://www.openstreetmap.org/?mlat=13.844211&amp;mlon=107.997963#map=18/13.844211/107.997963" TargetMode="External" Id="rId208"/><Relationship Type="http://schemas.openxmlformats.org/officeDocument/2006/relationships/hyperlink" Target="https://www.openstreetmap.org/?mlat=13.818303&amp;mlon=108.002037#map=18/13.818303/108.002037" TargetMode="External" Id="rId209"/><Relationship Type="http://schemas.openxmlformats.org/officeDocument/2006/relationships/hyperlink" Target="https://www.openstreetmap.org/?mlat=13.837449&amp;mlon=107.998137#map=18/13.837449/107.998137" TargetMode="External" Id="rId210"/><Relationship Type="http://schemas.openxmlformats.org/officeDocument/2006/relationships/hyperlink" Target="https://www.openstreetmap.org/?mlat=13.796079&amp;mlon=108.003366#map=18/13.796079/108.003366" TargetMode="External" Id="rId211"/><Relationship Type="http://schemas.openxmlformats.org/officeDocument/2006/relationships/hyperlink" Target="https://www.openstreetmap.org/?mlat=13.902359&amp;mlon=109.255319#map=18/13.902359/109.255319" TargetMode="External" Id="rId212"/><Relationship Type="http://schemas.openxmlformats.org/officeDocument/2006/relationships/hyperlink" Target="https://www.openstreetmap.org/?mlat=14.015830&amp;mlon=109.054691#map=18/14.015830/109.054691" TargetMode="External" Id="rId213"/><Relationship Type="http://schemas.openxmlformats.org/officeDocument/2006/relationships/hyperlink" Target="https://www.openstreetmap.org/?mlat=14.013393&amp;mlon=109.054099#map=18/14.013393/109.054099" TargetMode="External" Id="rId214"/><Relationship Type="http://schemas.openxmlformats.org/officeDocument/2006/relationships/hyperlink" Target="https://www.openstreetmap.org/?mlat=14.202374&amp;mlon=109.061216#map=18/14.202374/109.061216" TargetMode="External" Id="rId215"/><Relationship Type="http://schemas.openxmlformats.org/officeDocument/2006/relationships/hyperlink" Target="https://www.openstreetmap.org/?mlat=14.190846&amp;mlon=109.042795#map=18/14.190846/109.042795" TargetMode="External" Id="rId216"/><Relationship Type="http://schemas.openxmlformats.org/officeDocument/2006/relationships/hyperlink" Target="https://www.openstreetmap.org/?mlat=14.374409&amp;mlon=109.114247#map=18/14.374409/109.114247" TargetMode="External" Id="rId217"/><Relationship Type="http://schemas.openxmlformats.org/officeDocument/2006/relationships/hyperlink" Target="https://www.openstreetmap.org/?mlat=14.373808&amp;mlon=109.111165#map=18/14.373808/109.111165" TargetMode="External" Id="rId218"/><Relationship Type="http://schemas.openxmlformats.org/officeDocument/2006/relationships/hyperlink" Target="https://www.openstreetmap.org/?mlat=14.299369&amp;mlon=109.077199#map=18/14.299369/109.077199" TargetMode="External" Id="rId219"/><Relationship Type="http://schemas.openxmlformats.org/officeDocument/2006/relationships/hyperlink" Target="https://www.openstreetmap.org/?mlat=14.318895&amp;mlon=109.151658#map=18/14.318895/109.151658" TargetMode="External" Id="rId220"/><Relationship Type="http://schemas.openxmlformats.org/officeDocument/2006/relationships/hyperlink" Target="https://www.openstreetmap.org/?mlat=14.213815&amp;mlon=109.161719#map=18/14.213815/109.161719" TargetMode="External" Id="rId221"/><Relationship Type="http://schemas.openxmlformats.org/officeDocument/2006/relationships/hyperlink" Target="https://www.openstreetmap.org/?mlat=14.232638&amp;mlon=109.189398#map=18/14.232638/109.189398" TargetMode="External" Id="rId222"/><Relationship Type="http://schemas.openxmlformats.org/officeDocument/2006/relationships/hyperlink" Target="https://www.openstreetmap.org/?mlat=14.271083&amp;mlon=109.175833#map=18/14.271083/109.175833" TargetMode="External" Id="rId223"/><Relationship Type="http://schemas.openxmlformats.org/officeDocument/2006/relationships/hyperlink" Target="https://www.openstreetmap.org/?mlat=14.274659&amp;mlon=109.173987#map=18/14.274659/109.173987" TargetMode="External" Id="rId224"/><Relationship Type="http://schemas.openxmlformats.org/officeDocument/2006/relationships/hyperlink" Target="https://www.openstreetmap.org/?mlat=14.233944&amp;mlon=109.190329#map=18/14.233944/109.190329" TargetMode="External" Id="rId225"/><Relationship Type="http://schemas.openxmlformats.org/officeDocument/2006/relationships/hyperlink" Target="https://www.openstreetmap.org/?mlat=14.279573&amp;mlon=109.174842#map=18/14.279573/109.174842" TargetMode="External" Id="rId226"/><Relationship Type="http://schemas.openxmlformats.org/officeDocument/2006/relationships/hyperlink" Target="https://www.openstreetmap.org/?mlat=14.223540&amp;mlon=109.161932#map=18/14.223540/109.161932" TargetMode="External" Id="rId227"/><Relationship Type="http://schemas.openxmlformats.org/officeDocument/2006/relationships/hyperlink" Target="https://www.openstreetmap.org/?mlat=13.485476&amp;mlon=108.373383#map=18/13.485476/108.373383" TargetMode="External" Id="rId228"/><Relationship Type="http://schemas.openxmlformats.org/officeDocument/2006/relationships/hyperlink" Target="https://www.openstreetmap.org/?mlat=13.528797&amp;mlon=108.317647#map=18/13.528797/108.317647" TargetMode="External" Id="rId229"/><Relationship Type="http://schemas.openxmlformats.org/officeDocument/2006/relationships/hyperlink" Target="https://www.openstreetmap.org/?mlat=13.528321&amp;mlon=108.322829#map=18/13.528321/108.322829" TargetMode="External" Id="rId230"/><Relationship Type="http://schemas.openxmlformats.org/officeDocument/2006/relationships/hyperlink" Target="https://www.openstreetmap.org/?mlat=13.187186&amp;mlon=108.697892#map=18/13.187186/108.697892" TargetMode="External" Id="rId231"/><Relationship Type="http://schemas.openxmlformats.org/officeDocument/2006/relationships/hyperlink" Target="https://www.openstreetmap.org/?mlat=13.210248&amp;mlon=108.679111#map=18/13.210248/108.679111" TargetMode="External" Id="rId232"/><Relationship Type="http://schemas.openxmlformats.org/officeDocument/2006/relationships/hyperlink" Target="https://www.openstreetmap.org/?mlat=13.213804&amp;mlon=108.675532#map=18/13.213804/108.675532" TargetMode="External" Id="rId233"/><Relationship Type="http://schemas.openxmlformats.org/officeDocument/2006/relationships/hyperlink" Target="https://www.openstreetmap.org/?mlat=13.171877&amp;mlon=108.719714#map=18/13.171877/108.719714" TargetMode="External" Id="rId234"/><Relationship Type="http://schemas.openxmlformats.org/officeDocument/2006/relationships/hyperlink" Target="https://www.openstreetmap.org/?mlat=13.800359&amp;mlon=109.144275#map=18/13.800359/109.144275" TargetMode="External" Id="rId235"/><Relationship Type="http://schemas.openxmlformats.org/officeDocument/2006/relationships/hyperlink" Target="https://www.openstreetmap.org/?mlat=13.853625&amp;mlon=109.134297#map=18/13.853625/109.134297" TargetMode="External" Id="rId236"/><Relationship Type="http://schemas.openxmlformats.org/officeDocument/2006/relationships/hyperlink" Target="https://www.openstreetmap.org/?mlat=13.823982&amp;mlon=109.145368#map=18/13.823982/109.145368" TargetMode="External" Id="rId237"/><Relationship Type="http://schemas.openxmlformats.org/officeDocument/2006/relationships/hyperlink" Target="https://www.openstreetmap.org/?mlat=13.825272&amp;mlon=109.157592#map=18/13.825272/109.157592" TargetMode="External" Id="rId238"/><Relationship Type="http://schemas.openxmlformats.org/officeDocument/2006/relationships/hyperlink" Target="https://www.openstreetmap.org/?mlat=13.863847&amp;mlon=109.131215#map=18/13.863847/109.131215" TargetMode="External" Id="rId239"/><Relationship Type="http://schemas.openxmlformats.org/officeDocument/2006/relationships/hyperlink" Target="https://www.openstreetmap.org/?mlat=13.852446&amp;mlon=109.134898#map=18/13.852446/109.134898" TargetMode="External" Id="rId240"/><Relationship Type="http://schemas.openxmlformats.org/officeDocument/2006/relationships/hyperlink" Target="https://www.openstreetmap.org/?mlat=13.860556&amp;mlon=109.137292#map=18/13.860556/109.137292" TargetMode="External" Id="rId241"/><Relationship Type="http://schemas.openxmlformats.org/officeDocument/2006/relationships/hyperlink" Target="https://www.openstreetmap.org/?mlat=13.836962&amp;mlon=109.141157#map=18/13.836962/109.141157" TargetMode="External" Id="rId242"/><Relationship Type="http://schemas.openxmlformats.org/officeDocument/2006/relationships/hyperlink" Target="https://www.openstreetmap.org/?mlat=13.810054&amp;mlon=109.147303#map=18/13.810054/109.147303" TargetMode="External" Id="rId243"/><Relationship Type="http://schemas.openxmlformats.org/officeDocument/2006/relationships/hyperlink" Target="https://www.openstreetmap.org/?mlat=13.896329&amp;mlon=109.257087#map=18/13.896329/109.257087" TargetMode="External" Id="rId244"/><Relationship Type="http://schemas.openxmlformats.org/officeDocument/2006/relationships/hyperlink" Target="https://www.openstreetmap.org/?mlat=13.908124&amp;mlon=108.918170#map=18/13.908124/108.918170" TargetMode="External" Id="rId245"/><Relationship Type="http://schemas.openxmlformats.org/officeDocument/2006/relationships/hyperlink" Target="https://www.openstreetmap.org/?mlat=13.926691&amp;mlon=108.923037#map=18/13.926691/108.923037" TargetMode="External" Id="rId246"/><Relationship Type="http://schemas.openxmlformats.org/officeDocument/2006/relationships/hyperlink" Target="https://www.openstreetmap.org/?mlat=13.907589&amp;mlon=108.922672#map=18/13.907589/108.922672" TargetMode="External" Id="rId247"/><Relationship Type="http://schemas.openxmlformats.org/officeDocument/2006/relationships/hyperlink" Target="https://www.openstreetmap.org/?mlat=13.900693&amp;mlon=108.937689#map=18/13.900693/108.937689" TargetMode="External" Id="rId248"/><Relationship Type="http://schemas.openxmlformats.org/officeDocument/2006/relationships/hyperlink" Target="https://www.openstreetmap.org/?mlat=13.339455&amp;mlon=108.538382#map=18/13.339455/108.538382" TargetMode="External" Id="rId249"/><Relationship Type="http://schemas.openxmlformats.org/officeDocument/2006/relationships/hyperlink" Target="https://www.openstreetmap.org/?mlat=13.311231&amp;mlon=108.591230#map=18/13.311231/108.591230" TargetMode="External" Id="rId250"/><Relationship Type="http://schemas.openxmlformats.org/officeDocument/2006/relationships/hyperlink" Target="https://www.openstreetmap.org/?mlat=13.317988&amp;mlon=108.587806#map=18/13.317988/108.587806" TargetMode="External" Id="rId251"/><Relationship Type="http://schemas.openxmlformats.org/officeDocument/2006/relationships/hyperlink" Target="https://www.openstreetmap.org/?mlat=14.097919&amp;mlon=108.786228#map=18/14.097919/108.786228" TargetMode="External" Id="rId252"/><Relationship Type="http://schemas.openxmlformats.org/officeDocument/2006/relationships/hyperlink" Target="https://www.openstreetmap.org/?mlat=14.089430&amp;mlon=108.784657#map=18/14.089430/108.784657" TargetMode="External" Id="rId253"/><Relationship Type="http://schemas.openxmlformats.org/officeDocument/2006/relationships/hyperlink" Target="https://www.openstreetmap.org/?mlat=14.097060&amp;mlon=109.193139#map=18/14.097060/109.193139" TargetMode="External" Id="rId254"/><Relationship Type="http://schemas.openxmlformats.org/officeDocument/2006/relationships/hyperlink" Target="https://www.openstreetmap.org/?mlat=14.129296&amp;mlon=109.169857#map=18/14.129296/109.169857" TargetMode="External" Id="rId255"/><Relationship Type="http://schemas.openxmlformats.org/officeDocument/2006/relationships/hyperlink" Target="https://www.openstreetmap.org/?mlat=13.817506&amp;mlon=107.718482#map=18/13.817506/107.718482" TargetMode="External" Id="rId256"/><Relationship Type="http://schemas.openxmlformats.org/officeDocument/2006/relationships/hyperlink" Target="https://www.openstreetmap.org/?mlat=13.800779&amp;mlon=107.687452#map=18/13.800779/107.687452" TargetMode="External" Id="rId257"/><Relationship Type="http://schemas.openxmlformats.org/officeDocument/2006/relationships/hyperlink" Target="https://www.openstreetmap.org/?mlat=13.813859&amp;mlon=107.712302#map=18/13.813859/107.712302" TargetMode="External" Id="rId258"/><Relationship Type="http://schemas.openxmlformats.org/officeDocument/2006/relationships/hyperlink" Target="https://www.openstreetmap.org/?mlat=13.812426&amp;mlon=107.708464#map=18/13.812426/107.708464" TargetMode="External" Id="rId259"/><Relationship Type="http://schemas.openxmlformats.org/officeDocument/2006/relationships/hyperlink" Target="https://www.openstreetmap.org/?mlat=14.046859&amp;mlon=107.996007#map=18/14.046859/107.996007" TargetMode="External" Id="rId260"/><Relationship Type="http://schemas.openxmlformats.org/officeDocument/2006/relationships/hyperlink" Target="https://www.openstreetmap.org/?mlat=13.969184&amp;mlon=107.988988#map=18/13.969184/107.988988" TargetMode="External" Id="rId261"/><Relationship Type="http://schemas.openxmlformats.org/officeDocument/2006/relationships/hyperlink" Target="https://www.openstreetmap.org/?mlat=13.972615&amp;mlon=107.988967#map=18/13.972615/107.988967" TargetMode="External" Id="rId262"/><Relationship Type="http://schemas.openxmlformats.org/officeDocument/2006/relationships/hyperlink" Target="https://www.openstreetmap.org/?mlat=13.980120&amp;mlon=107.996299#map=18/13.980120/107.996299" TargetMode="External" Id="rId263"/><Relationship Type="http://schemas.openxmlformats.org/officeDocument/2006/relationships/hyperlink" Target="https://www.openstreetmap.org/?mlat=13.983239&amp;mlon=107.991046#map=18/13.983239/107.991046" TargetMode="External" Id="rId264"/><Relationship Type="http://schemas.openxmlformats.org/officeDocument/2006/relationships/hyperlink" Target="https://www.openstreetmap.org/?mlat=13.978302&amp;mlon=107.986994#map=18/13.978302/107.986994" TargetMode="External" Id="rId265"/><Relationship Type="http://schemas.openxmlformats.org/officeDocument/2006/relationships/hyperlink" Target="https://www.openstreetmap.org/?mlat=13.980267&amp;mlon=107.989479#map=18/13.980267/107.989479" TargetMode="External" Id="rId266"/><Relationship Type="http://schemas.openxmlformats.org/officeDocument/2006/relationships/hyperlink" Target="https://www.openstreetmap.org/?mlat=13.976554&amp;mlon=108.000868#map=18/13.976554/108.000868" TargetMode="External" Id="rId267"/><Relationship Type="http://schemas.openxmlformats.org/officeDocument/2006/relationships/hyperlink" Target="https://www.openstreetmap.org/?mlat=13.970364&amp;mlon=107.999584#map=18/13.970364/107.999584" TargetMode="External" Id="rId268"/><Relationship Type="http://schemas.openxmlformats.org/officeDocument/2006/relationships/hyperlink" Target="https://www.openstreetmap.org/?mlat=13.979965&amp;mlon=107.998626#map=18/13.979965/107.998626" TargetMode="External" Id="rId269"/><Relationship Type="http://schemas.openxmlformats.org/officeDocument/2006/relationships/hyperlink" Target="https://www.openstreetmap.org/?mlat=13.979960&amp;mlon=107.998649#map=18/13.979960/107.998649" TargetMode="External" Id="rId270"/><Relationship Type="http://schemas.openxmlformats.org/officeDocument/2006/relationships/hyperlink" Target="https://www.openstreetmap.org/?mlat=13.964694&amp;mlon=108.017303#map=18/13.964694/108.017303" TargetMode="External" Id="rId271"/><Relationship Type="http://schemas.openxmlformats.org/officeDocument/2006/relationships/hyperlink" Target="https://www.openstreetmap.org/?mlat=13.963553&amp;mlon=108.020496#map=18/13.963553/108.020496" TargetMode="External" Id="rId272"/><Relationship Type="http://schemas.openxmlformats.org/officeDocument/2006/relationships/hyperlink" Target="https://www.openstreetmap.org/?mlat=13.970603&amp;mlon=108.026391#map=18/13.970603/108.026391" TargetMode="External" Id="rId273"/><Relationship Type="http://schemas.openxmlformats.org/officeDocument/2006/relationships/hyperlink" Target="https://www.openstreetmap.org/?mlat=13.976794&amp;mlon=108.002227#map=18/13.976794/108.002227" TargetMode="External" Id="rId274"/><Relationship Type="http://schemas.openxmlformats.org/officeDocument/2006/relationships/hyperlink" Target="https://www.openstreetmap.org/?mlat=13.979496&amp;mlon=107.999217#map=18/13.979496/107.999217" TargetMode="External" Id="rId275"/><Relationship Type="http://schemas.openxmlformats.org/officeDocument/2006/relationships/hyperlink" Target="https://www.openstreetmap.org/?mlat=13.972410&amp;mlon=108.014668#map=18/13.972410/108.014668" TargetMode="External" Id="rId276"/><Relationship Type="http://schemas.openxmlformats.org/officeDocument/2006/relationships/hyperlink" Target="https://www.openstreetmap.org/?mlat=13.978379&amp;mlon=108.014446#map=18/13.978379/108.014446" TargetMode="External" Id="rId277"/><Relationship Type="http://schemas.openxmlformats.org/officeDocument/2006/relationships/hyperlink" Target="https://www.openstreetmap.org/?mlat=13.979419&amp;mlon=108.010636#map=18/13.979419/108.010636" TargetMode="External" Id="rId278"/><Relationship Type="http://schemas.openxmlformats.org/officeDocument/2006/relationships/hyperlink" Target="https://www.openstreetmap.org/?mlat=13.976822&amp;mlon=108.006305#map=18/13.976822/108.006305" TargetMode="External" Id="rId279"/><Relationship Type="http://schemas.openxmlformats.org/officeDocument/2006/relationships/hyperlink" Target="https://www.openstreetmap.org/?mlat=13.981437&amp;mlon=108.000195#map=18/13.981437/108.000195" TargetMode="External" Id="rId280"/><Relationship Type="http://schemas.openxmlformats.org/officeDocument/2006/relationships/hyperlink" Target="https://www.openstreetmap.org/?mlat=13.979938&amp;mlon=107.999221#map=18/13.979938/107.999221" TargetMode="External" Id="rId281"/><Relationship Type="http://schemas.openxmlformats.org/officeDocument/2006/relationships/hyperlink" Target="https://www.openstreetmap.org/?mlat=13.978644&amp;mlon=108.011233#map=18/13.978644/108.011233" TargetMode="External" Id="rId282"/><Relationship Type="http://schemas.openxmlformats.org/officeDocument/2006/relationships/hyperlink" Target="https://www.openstreetmap.org/?mlat=13.969831&amp;mlon=108.018447#map=18/13.969831/108.018447" TargetMode="External" Id="rId283"/><Relationship Type="http://schemas.openxmlformats.org/officeDocument/2006/relationships/hyperlink" Target="https://www.openstreetmap.org/?mlat=13.970573&amp;mlon=108.015729#map=18/13.970573/108.015729" TargetMode="External" Id="rId284"/><Relationship Type="http://schemas.openxmlformats.org/officeDocument/2006/relationships/hyperlink" Target="https://www.openstreetmap.org/?mlat=13.978444&amp;mlon=108.012831#map=18/13.978444/108.012831" TargetMode="External" Id="rId285"/><Relationship Type="http://schemas.openxmlformats.org/officeDocument/2006/relationships/hyperlink" Target="https://www.openstreetmap.org/?mlat=13.975266&amp;mlon=108.015095#map=18/13.975266/108.015095" TargetMode="External" Id="rId286"/><Relationship Type="http://schemas.openxmlformats.org/officeDocument/2006/relationships/hyperlink" Target="https://www.openstreetmap.org/?mlat=13.981680&amp;mlon=108.008389#map=18/13.981680/108.008389" TargetMode="External" Id="rId287"/><Relationship Type="http://schemas.openxmlformats.org/officeDocument/2006/relationships/hyperlink" Target="https://www.openstreetmap.org/?mlat=13.970082&amp;mlon=108.014993#map=18/13.970082/108.014993" TargetMode="External" Id="rId288"/><Relationship Type="http://schemas.openxmlformats.org/officeDocument/2006/relationships/hyperlink" Target="https://www.openstreetmap.org/?mlat=14.009646&amp;mlon=107.993393#map=18/14.009646/107.993393" TargetMode="External" Id="rId289"/><Relationship Type="http://schemas.openxmlformats.org/officeDocument/2006/relationships/hyperlink" Target="https://www.openstreetmap.org/?mlat=14.000926&amp;mlon=107.991416#map=18/14.000926/107.991416" TargetMode="External" Id="rId290"/><Relationship Type="http://schemas.openxmlformats.org/officeDocument/2006/relationships/hyperlink" Target="https://www.openstreetmap.org/?mlat=14.004752&amp;mlon=107.994981#map=18/14.004752/107.994981" TargetMode="External" Id="rId291"/><Relationship Type="http://schemas.openxmlformats.org/officeDocument/2006/relationships/hyperlink" Target="https://www.openstreetmap.org/?mlat=13.888449&amp;mlon=109.113018#map=18/13.888449/109.113018" TargetMode="External" Id="rId292"/><Relationship Type="http://schemas.openxmlformats.org/officeDocument/2006/relationships/hyperlink" Target="https://www.openstreetmap.org/?mlat=13.889095&amp;mlon=109.113241#map=18/13.889095/109.113241" TargetMode="External" Id="rId293"/><Relationship Type="http://schemas.openxmlformats.org/officeDocument/2006/relationships/hyperlink" Target="https://www.openstreetmap.org/?mlat=13.976870&amp;mlon=107.990679#map=18/13.976870/107.990679" TargetMode="External" Id="rId294"/><Relationship Type="http://schemas.openxmlformats.org/officeDocument/2006/relationships/hyperlink" Target="https://www.openstreetmap.org/?mlat=13.985977&amp;mlon=108.007370#map=18/13.985977/108.007370" TargetMode="External" Id="rId295"/><Relationship Type="http://schemas.openxmlformats.org/officeDocument/2006/relationships/hyperlink" Target="https://www.openstreetmap.org/?mlat=13.767364&amp;mlon=109.220744#map=18/13.767364/109.220744" TargetMode="External" Id="rId296"/><Relationship Type="http://schemas.openxmlformats.org/officeDocument/2006/relationships/hyperlink" Target="https://www.openstreetmap.org/?mlat=13.767369&amp;mlon=109.220755#map=18/13.767369/109.220755" TargetMode="External" Id="rId297"/><Relationship Type="http://schemas.openxmlformats.org/officeDocument/2006/relationships/hyperlink" Target="https://www.openstreetmap.org/?mlat=13.749947&amp;mlon=109.211906#map=18/13.749947/109.211906" TargetMode="External" Id="rId298"/><Relationship Type="http://schemas.openxmlformats.org/officeDocument/2006/relationships/hyperlink" Target="https://www.openstreetmap.org/?mlat=13.995564&amp;mlon=107.998273#map=18/13.995564/107.998273" TargetMode="External" Id="rId299"/><Relationship Type="http://schemas.openxmlformats.org/officeDocument/2006/relationships/hyperlink" Target="https://www.openstreetmap.org/?mlat=13.696572&amp;mlon=108.075336#map=18/13.696572/108.075336" TargetMode="External" Id="rId300"/><Relationship Type="http://schemas.openxmlformats.org/officeDocument/2006/relationships/hyperlink" Target="https://www.openstreetmap.org/?mlat=13.695918&amp;mlon=108.075839#map=18/13.695918/108.075839" TargetMode="External" Id="rId301"/><Relationship Type="http://schemas.openxmlformats.org/officeDocument/2006/relationships/hyperlink" Target="https://www.openstreetmap.org/?mlat=13.696231&amp;mlon=108.075673#map=18/13.696231/108.075673" TargetMode="External" Id="rId302"/><Relationship Type="http://schemas.openxmlformats.org/officeDocument/2006/relationships/hyperlink" Target="https://www.openstreetmap.org/?mlat=13.696052&amp;mlon=108.075655#map=18/13.696052/108.075655" TargetMode="External" Id="rId303"/><Relationship Type="http://schemas.openxmlformats.org/officeDocument/2006/relationships/hyperlink" Target="https://www.openstreetmap.org/?mlat=14.363662&amp;mlon=108.968481#map=18/14.363662/108.968481" TargetMode="External" Id="rId304"/><Relationship Type="http://schemas.openxmlformats.org/officeDocument/2006/relationships/hyperlink" Target="https://www.openstreetmap.org/?mlat=13.962127&amp;mlon=107.845972#map=18/13.962127/107.845972" TargetMode="External" Id="rId305"/><Relationship Type="http://schemas.openxmlformats.org/officeDocument/2006/relationships/hyperlink" Target="https://www.openstreetmap.org/?mlat=13.962366&amp;mlon=107.838488#map=18/13.962366/107.838488" TargetMode="External" Id="rId306"/><Relationship Type="http://schemas.openxmlformats.org/officeDocument/2006/relationships/hyperlink" Target="https://www.openstreetmap.org/?mlat=14.040833&amp;mlon=108.252419#map=18/14.040833/108.252419" TargetMode="External" Id="rId307"/><Relationship Type="http://schemas.openxmlformats.org/officeDocument/2006/relationships/hyperlink" Target="https://www.openstreetmap.org/?mlat=14.171974&amp;mlon=109.049926#map=18/14.171974/109.049926" TargetMode="External" Id="rId308"/><Relationship Type="http://schemas.openxmlformats.org/officeDocument/2006/relationships/hyperlink" Target="https://www.openstreetmap.org/?mlat=14.173918&amp;mlon=109.051076#map=18/14.173918/109.051076" TargetMode="External" Id="rId309"/><Relationship Type="http://schemas.openxmlformats.org/officeDocument/2006/relationships/hyperlink" Target="https://www.openstreetmap.org/?mlat=14.175770&amp;mlon=109.051498#map=18/14.175770/109.051498" TargetMode="External" Id="rId310"/><Relationship Type="http://schemas.openxmlformats.org/officeDocument/2006/relationships/hyperlink" Target="https://www.openstreetmap.org/?mlat=13.808651&amp;mlon=109.146959#map=18/13.808651/109.146959" TargetMode="External" Id="rId311"/><Relationship Type="http://schemas.openxmlformats.org/officeDocument/2006/relationships/hyperlink" Target="https://www.openstreetmap.org/?mlat=13.799908&amp;mlon=109.141457#map=18/13.799908/109.141457" TargetMode="External" Id="rId312"/><Relationship Type="http://schemas.openxmlformats.org/officeDocument/2006/relationships/hyperlink" Target="https://www.openstreetmap.org/?mlat=14.097778&amp;mlon=108.786774#map=18/14.097778/108.786774" TargetMode="External" Id="rId313"/><Relationship Type="http://schemas.openxmlformats.org/officeDocument/2006/relationships/hyperlink" Target="https://www.openstreetmap.org/?mlat=13.969860&amp;mlon=107.994462#map=18/13.969860/107.994462" TargetMode="External" Id="rId314"/><Relationship Type="http://schemas.openxmlformats.org/officeDocument/2006/relationships/hyperlink" Target="https://www.openstreetmap.org/?mlat=13.965428&amp;mlon=107.991962#map=18/13.965428/107.991962" TargetMode="External" Id="rId315"/><Relationship Type="http://schemas.openxmlformats.org/officeDocument/2006/relationships/hyperlink" Target="https://www.openstreetmap.org/?mlat=13.968487&amp;mlon=107.992127#map=18/13.968487/107.992127" TargetMode="External" Id="rId316"/><Relationship Type="http://schemas.openxmlformats.org/officeDocument/2006/relationships/hyperlink" Target="https://www.openstreetmap.org/?mlat=13.978683&amp;mlon=107.984689#map=18/13.978683/107.984689" TargetMode="External" Id="rId317"/><Relationship Type="http://schemas.openxmlformats.org/officeDocument/2006/relationships/hyperlink" Target="https://www.openstreetmap.org/?mlat=13.976186&amp;mlon=108.007167#map=18/13.976186/108.007167" TargetMode="External" Id="rId318"/><Relationship Type="http://schemas.openxmlformats.org/officeDocument/2006/relationships/hyperlink" Target="https://www.openstreetmap.org/?mlat=13.970020&amp;mlon=108.015597#map=18/13.970020/108.015597" TargetMode="External" Id="rId319"/><Relationship Type="http://schemas.openxmlformats.org/officeDocument/2006/relationships/hyperlink" Target="https://www.openstreetmap.org/?mlat=13.973896&amp;mlon=108.015126#map=18/13.973896/108.015126" TargetMode="External" Id="rId320"/><Relationship Type="http://schemas.openxmlformats.org/officeDocument/2006/relationships/hyperlink" Target="https://www.openstreetmap.org/?mlat=14.015489&amp;mlon=107.985773#map=18/14.015489/107.985773" TargetMode="External" Id="rId321"/><Relationship Type="http://schemas.openxmlformats.org/officeDocument/2006/relationships/hyperlink" Target="https://www.openstreetmap.org/?mlat=13.978438&amp;mlon=108.012272#map=18/13.978438/108.012272" TargetMode="External" Id="rId322"/><Relationship Type="http://schemas.openxmlformats.org/officeDocument/2006/relationships/hyperlink" Target="https://www.openstreetmap.org/?mlat=14.554941&amp;mlon=109.034429#map=18/14.554941/109.034429" TargetMode="External" Id="rId323"/><Relationship Type="http://schemas.openxmlformats.org/officeDocument/2006/relationships/hyperlink" Target="https://www.openstreetmap.org/?mlat=13.577281&amp;mlon=108.099922#map=18/13.577281/108.099922" TargetMode="External" Id="rId324"/><Relationship Type="http://schemas.openxmlformats.org/officeDocument/2006/relationships/hyperlink" Target="https://www.openstreetmap.org/?mlat=13.982935&amp;mlon=108.005989#map=18/13.982935/108.005989" TargetMode="External" Id="rId325"/><Relationship Type="http://schemas.openxmlformats.org/officeDocument/2006/relationships/hyperlink" Target="https://www.openstreetmap.org/?mlat=13.960747&amp;mlon=108.638777#map=18/13.960747/108.638777" TargetMode="External" Id="rId326"/><Relationship Type="http://schemas.openxmlformats.org/officeDocument/2006/relationships/hyperlink" Target="https://www.openstreetmap.org/?mlat=13.960747&amp;mlon=108.638777#map=18/13.960747/108.638777" TargetMode="External" Id="rId327"/><Relationship Type="http://schemas.openxmlformats.org/officeDocument/2006/relationships/hyperlink" Target="https://www.openstreetmap.org/?mlat=13.960747&amp;mlon=108.638777#map=18/13.960747/108.638777" TargetMode="External" Id="rId328"/><Relationship Type="http://schemas.openxmlformats.org/officeDocument/2006/relationships/hyperlink" Target="https://www.openstreetmap.org/?mlat=13.983453&amp;mlon=108.652321#map=18/13.983453/108.652321" TargetMode="External" Id="rId329"/><Relationship Type="http://schemas.openxmlformats.org/officeDocument/2006/relationships/hyperlink" Target="https://www.openstreetmap.org/?mlat=13.957298&amp;mlon=108.644292#map=18/13.957298/108.644292" TargetMode="External" Id="rId330"/><Relationship Type="http://schemas.openxmlformats.org/officeDocument/2006/relationships/hyperlink" Target="https://www.openstreetmap.org/?mlat=13.953411&amp;mlon=108.661212#map=18/13.953411/108.661212" TargetMode="External" Id="rId331"/><Relationship Type="http://schemas.openxmlformats.org/officeDocument/2006/relationships/hyperlink" Target="https://www.openstreetmap.org/?mlat=13.852410&amp;mlon=109.091431#map=18/13.852410/109.091431" TargetMode="External" Id="rId332"/><Relationship Type="http://schemas.openxmlformats.org/officeDocument/2006/relationships/hyperlink" Target="https://www.openstreetmap.org/?mlat=13.402764&amp;mlon=108.439810#map=18/13.402764/108.439810" TargetMode="External" Id="rId333"/><Relationship Type="http://schemas.openxmlformats.org/officeDocument/2006/relationships/hyperlink" Target="https://www.openstreetmap.org/?mlat=13.402764&amp;mlon=108.439810#map=18/13.402764/108.439810" TargetMode="External" Id="rId334"/><Relationship Type="http://schemas.openxmlformats.org/officeDocument/2006/relationships/hyperlink" Target="https://www.openstreetmap.org/?mlat=13.402764&amp;mlon=108.439810#map=18/13.402764/108.439810" TargetMode="External" Id="rId335"/><Relationship Type="http://schemas.openxmlformats.org/officeDocument/2006/relationships/hyperlink" Target="https://www.openstreetmap.org/?mlat=13.402764&amp;mlon=108.439810#map=18/13.402764/108.439810" TargetMode="External" Id="rId336"/><Relationship Type="http://schemas.openxmlformats.org/officeDocument/2006/relationships/hyperlink" Target="https://www.openstreetmap.org/?mlat=13.889007&amp;mlon=109.114931#map=18/13.889007/109.114931" TargetMode="External" Id="rId337"/><Relationship Type="http://schemas.openxmlformats.org/officeDocument/2006/relationships/hyperlink" Target="https://www.openstreetmap.org/?mlat=13.888510&amp;mlon=109.118279#map=18/13.888510/109.118279" TargetMode="External" Id="rId338"/><Relationship Type="http://schemas.openxmlformats.org/officeDocument/2006/relationships/hyperlink" Target="https://www.openstreetmap.org/?mlat=14.430172&amp;mlon=109.016253#map=18/14.430172/109.016253" TargetMode="External" Id="rId339"/><Relationship Type="http://schemas.openxmlformats.org/officeDocument/2006/relationships/hyperlink" Target="https://www.openstreetmap.org/?mlat=14.430120&amp;mlon=109.016862#map=18/14.430120/109.016862" TargetMode="External" Id="rId340"/><Relationship Type="http://schemas.openxmlformats.org/officeDocument/2006/relationships/hyperlink" Target="https://www.openstreetmap.org/?mlat=14.422518&amp;mlon=109.004610#map=18/14.422518/109.004610" TargetMode="External" Id="rId341"/><Relationship Type="http://schemas.openxmlformats.org/officeDocument/2006/relationships/hyperlink" Target="https://www.openstreetmap.org/?mlat=14.436797&amp;mlon=109.018098#map=18/14.436797/109.018098" TargetMode="External" Id="rId342"/><Relationship Type="http://schemas.openxmlformats.org/officeDocument/2006/relationships/hyperlink" Target="https://www.openstreetmap.org/?mlat=14.430120&amp;mlon=109.016862#map=18/14.430120/109.016862" TargetMode="External" Id="rId343"/><Relationship Type="http://schemas.openxmlformats.org/officeDocument/2006/relationships/hyperlink" Target="https://www.openstreetmap.org/?mlat=13.979667&amp;mlon=107.993029#map=18/13.979667/107.993029" TargetMode="External" Id="rId344"/><Relationship Type="http://schemas.openxmlformats.org/officeDocument/2006/relationships/hyperlink" Target="https://www.openstreetmap.org/?mlat=13.979667&amp;mlon=107.993029#map=18/13.979667/107.993029" TargetMode="External" Id="rId345"/><Relationship Type="http://schemas.openxmlformats.org/officeDocument/2006/relationships/hyperlink" Target="https://www.openstreetmap.org/?mlat=13.977149&amp;mlon=107.994717#map=18/13.977149/107.994717" TargetMode="External" Id="rId346"/><Relationship Type="http://schemas.openxmlformats.org/officeDocument/2006/relationships/hyperlink" Target="https://www.openstreetmap.org/?mlat=13.980355&amp;mlon=107.995495#map=18/13.980355/107.995495" TargetMode="External" Id="rId347"/><Relationship Type="http://schemas.openxmlformats.org/officeDocument/2006/relationships/hyperlink" Target="https://www.openstreetmap.org/?mlat=13.980355&amp;mlon=107.995495#map=18/13.980355/107.995495" TargetMode="External" Id="rId348"/><Relationship Type="http://schemas.openxmlformats.org/officeDocument/2006/relationships/hyperlink" Target="https://www.openstreetmap.org/?mlat=13.980355&amp;mlon=107.995495#map=18/13.980355/107.995495" TargetMode="External" Id="rId349"/><Relationship Type="http://schemas.openxmlformats.org/officeDocument/2006/relationships/hyperlink" Target="https://www.openstreetmap.org/?mlat=13.977775&amp;mlon=107.995581#map=18/13.977775/107.995581" TargetMode="External" Id="rId350"/><Relationship Type="http://schemas.openxmlformats.org/officeDocument/2006/relationships/hyperlink" Target="https://www.openstreetmap.org/?mlat=13.979797&amp;mlon=107.993359#map=18/13.979797/107.993359" TargetMode="External" Id="rId351"/><Relationship Type="http://schemas.openxmlformats.org/officeDocument/2006/relationships/hyperlink" Target="https://www.openstreetmap.org/?mlat=13.979881&amp;mlon=107.992826#map=18/13.979881/107.992826" TargetMode="External" Id="rId352"/><Relationship Type="http://schemas.openxmlformats.org/officeDocument/2006/relationships/hyperlink" Target="https://www.openstreetmap.org/?mlat=13.977775&amp;mlon=107.995581#map=18/13.977775/107.995581" TargetMode="External" Id="rId353"/><Relationship Type="http://schemas.openxmlformats.org/officeDocument/2006/relationships/hyperlink" Target="https://www.openstreetmap.org/?mlat=14.494012&amp;mlon=109.089259#map=18/14.494012/109.089259" TargetMode="External" Id="rId354"/><Relationship Type="http://schemas.openxmlformats.org/officeDocument/2006/relationships/hyperlink" Target="https://www.openstreetmap.org/?mlat=13.964466&amp;mlon=108.017029#map=18/13.964466/108.017029" TargetMode="External" Id="rId355"/><Relationship Type="http://schemas.openxmlformats.org/officeDocument/2006/relationships/hyperlink" Target="https://www.openstreetmap.org/?mlat=13.971235&amp;mlon=108.031073#map=18/13.971235/108.031073" TargetMode="External" Id="rId356"/><Relationship Type="http://schemas.openxmlformats.org/officeDocument/2006/relationships/hyperlink" Target="https://www.openstreetmap.org/?mlat=13.964068&amp;mlon=108.017085#map=18/13.964068/108.017085" TargetMode="External" Id="rId357"/><Relationship Type="http://schemas.openxmlformats.org/officeDocument/2006/relationships/hyperlink" Target="https://www.openstreetmap.org/?mlat=13.964068&amp;mlon=108.017085#map=18/13.964068/108.017085" TargetMode="External" Id="rId358"/><Relationship Type="http://schemas.openxmlformats.org/officeDocument/2006/relationships/hyperlink" Target="https://www.openstreetmap.org/?mlat=13.983157&amp;mlon=108.000617#map=18/13.983157/108.000617" TargetMode="External" Id="rId359"/><Relationship Type="http://schemas.openxmlformats.org/officeDocument/2006/relationships/hyperlink" Target="https://www.openstreetmap.org/?mlat=13.970614&amp;mlon=108.018577#map=18/13.970614/108.018577" TargetMode="External" Id="rId360"/><Relationship Type="http://schemas.openxmlformats.org/officeDocument/2006/relationships/hyperlink" Target="https://www.openstreetmap.org/?mlat=13.970614&amp;mlon=108.018577#map=18/13.970614/108.018577" TargetMode="External" Id="rId361"/><Relationship Type="http://schemas.openxmlformats.org/officeDocument/2006/relationships/hyperlink" Target="https://www.openstreetmap.org/?mlat=13.970614&amp;mlon=108.018577#map=18/13.970614/108.018577" TargetMode="External" Id="rId362"/><Relationship Type="http://schemas.openxmlformats.org/officeDocument/2006/relationships/hyperlink" Target="https://www.openstreetmap.org/?mlat=13.977581&amp;mlon=108.001427#map=18/13.977581/108.001427" TargetMode="External" Id="rId363"/><Relationship Type="http://schemas.openxmlformats.org/officeDocument/2006/relationships/hyperlink" Target="https://www.openstreetmap.org/?mlat=13.971860&amp;mlon=108.030581#map=18/13.971860/108.030581" TargetMode="External" Id="rId364"/><Relationship Type="http://schemas.openxmlformats.org/officeDocument/2006/relationships/hyperlink" Target="https://www.openstreetmap.org/?mlat=13.978670&amp;mlon=108.012436#map=18/13.978670/108.012436" TargetMode="External" Id="rId365"/><Relationship Type="http://schemas.openxmlformats.org/officeDocument/2006/relationships/hyperlink" Target="https://www.openstreetmap.org/?mlat=13.983910&amp;mlon=108.028153#map=18/13.983910/108.028153" TargetMode="External" Id="rId366"/><Relationship Type="http://schemas.openxmlformats.org/officeDocument/2006/relationships/hyperlink" Target="https://www.openstreetmap.org/?mlat=13.977266&amp;mlon=108.001279#map=18/13.977266/108.001279" TargetMode="External" Id="rId367"/><Relationship Type="http://schemas.openxmlformats.org/officeDocument/2006/relationships/hyperlink" Target="https://www.openstreetmap.org/?mlat=13.989810&amp;mlon=108.041880#map=18/13.989810/108.041880" TargetMode="External" Id="rId368"/><Relationship Type="http://schemas.openxmlformats.org/officeDocument/2006/relationships/hyperlink" Target="https://www.openstreetmap.org/?mlat=13.972270&amp;mlon=108.014785#map=18/13.972270/108.014785" TargetMode="External" Id="rId369"/><Relationship Type="http://schemas.openxmlformats.org/officeDocument/2006/relationships/hyperlink" Target="https://www.openstreetmap.org/?mlat=13.985277&amp;mlon=108.007542#map=18/13.985277/108.007542" TargetMode="External" Id="rId370"/><Relationship Type="http://schemas.openxmlformats.org/officeDocument/2006/relationships/hyperlink" Target="https://www.openstreetmap.org/?mlat=13.982082&amp;mlon=108.009435#map=18/13.982082/108.009435" TargetMode="External" Id="rId371"/><Relationship Type="http://schemas.openxmlformats.org/officeDocument/2006/relationships/hyperlink" Target="https://www.openstreetmap.org/?mlat=13.988047&amp;mlon=108.008083#map=18/13.988047/108.008083" TargetMode="External" Id="rId372"/><Relationship Type="http://schemas.openxmlformats.org/officeDocument/2006/relationships/hyperlink" Target="https://www.openstreetmap.org/?mlat=13.977120&amp;mlon=108.005601#map=18/13.977120/108.005601" TargetMode="External" Id="rId373"/><Relationship Type="http://schemas.openxmlformats.org/officeDocument/2006/relationships/hyperlink" Target="https://www.openstreetmap.org/?mlat=13.978451&amp;mlon=107.999191#map=18/13.978451/107.999191" TargetMode="External" Id="rId374"/><Relationship Type="http://schemas.openxmlformats.org/officeDocument/2006/relationships/hyperlink" Target="https://www.openstreetmap.org/?mlat=13.988047&amp;mlon=108.008083#map=18/13.988047/108.008083" TargetMode="External" Id="rId375"/><Relationship Type="http://schemas.openxmlformats.org/officeDocument/2006/relationships/hyperlink" Target="https://www.openstreetmap.org/?mlat=13.982082&amp;mlon=108.009435#map=18/13.982082/108.009435" TargetMode="External" Id="rId376"/><Relationship Type="http://schemas.openxmlformats.org/officeDocument/2006/relationships/hyperlink" Target="https://www.openstreetmap.org/?mlat=13.977120&amp;mlon=108.005601#map=18/13.977120/108.005601" TargetMode="External" Id="rId377"/><Relationship Type="http://schemas.openxmlformats.org/officeDocument/2006/relationships/hyperlink" Target="https://www.openstreetmap.org/?mlat=13.775968&amp;mlon=109.223721#map=18/13.775968/109.223721" TargetMode="External" Id="rId378"/><Relationship Type="http://schemas.openxmlformats.org/officeDocument/2006/relationships/hyperlink" Target="https://www.openstreetmap.org/?mlat=13.774880&amp;mlon=109.225950#map=18/13.774880/109.225950" TargetMode="External" Id="rId379"/><Relationship Type="http://schemas.openxmlformats.org/officeDocument/2006/relationships/hyperlink" Target="https://www.openstreetmap.org/?mlat=13.776245&amp;mlon=109.228166#map=18/13.776245/109.228166" TargetMode="External" Id="rId380"/><Relationship Type="http://schemas.openxmlformats.org/officeDocument/2006/relationships/hyperlink" Target="https://www.openstreetmap.org/?mlat=13.770092&amp;mlon=109.227191#map=18/13.770092/109.227191" TargetMode="External" Id="rId381"/><Relationship Type="http://schemas.openxmlformats.org/officeDocument/2006/relationships/hyperlink" Target="https://www.openstreetmap.org/?mlat=13.770762&amp;mlon=109.234438#map=18/13.770762/109.234438" TargetMode="External" Id="rId382"/><Relationship Type="http://schemas.openxmlformats.org/officeDocument/2006/relationships/hyperlink" Target="https://www.openstreetmap.org/?mlat=13.772824&amp;mlon=109.226808#map=18/13.772824/109.226808" TargetMode="External" Id="rId383"/><Relationship Type="http://schemas.openxmlformats.org/officeDocument/2006/relationships/hyperlink" Target="https://www.openstreetmap.org/?mlat=13.775997&amp;mlon=109.232437#map=18/13.775997/109.232437" TargetMode="External" Id="rId384"/><Relationship Type="http://schemas.openxmlformats.org/officeDocument/2006/relationships/hyperlink" Target="https://www.openstreetmap.org/?mlat=13.781344&amp;mlon=109.221953#map=18/13.781344/109.221953" TargetMode="External" Id="rId385"/><Relationship Type="http://schemas.openxmlformats.org/officeDocument/2006/relationships/hyperlink" Target="https://www.openstreetmap.org/?mlat=13.769960&amp;mlon=109.221118#map=18/13.769960/109.221118" TargetMode="External" Id="rId386"/><Relationship Type="http://schemas.openxmlformats.org/officeDocument/2006/relationships/hyperlink" Target="https://www.openstreetmap.org/?mlat=13.775769&amp;mlon=109.230896#map=18/13.775769/109.230896" TargetMode="External" Id="rId387"/><Relationship Type="http://schemas.openxmlformats.org/officeDocument/2006/relationships/hyperlink" Target="https://www.openstreetmap.org/?mlat=13.775997&amp;mlon=109.232437#map=18/13.775997/109.232437" TargetMode="External" Id="rId388"/><Relationship Type="http://schemas.openxmlformats.org/officeDocument/2006/relationships/hyperlink" Target="https://www.openstreetmap.org/?mlat=13.769960&amp;mlon=109.221118#map=18/13.769960/109.221118" TargetMode="External" Id="rId389"/><Relationship Type="http://schemas.openxmlformats.org/officeDocument/2006/relationships/hyperlink" Target="https://www.openstreetmap.org/?mlat=13.795531&amp;mlon=109.180997#map=18/13.795531/109.180997" TargetMode="External" Id="rId390"/><Relationship Type="http://schemas.openxmlformats.org/officeDocument/2006/relationships/hyperlink" Target="https://www.openstreetmap.org/?mlat=13.781590&amp;mlon=109.148745#map=18/13.781590/109.148745" TargetMode="External" Id="rId391"/><Relationship Type="http://schemas.openxmlformats.org/officeDocument/2006/relationships/hyperlink" Target="https://www.openstreetmap.org/?mlat=13.796238&amp;mlon=109.147490#map=18/13.796238/109.147490" TargetMode="External" Id="rId392"/><Relationship Type="http://schemas.openxmlformats.org/officeDocument/2006/relationships/hyperlink" Target="https://www.openstreetmap.org/?mlat=13.781590&amp;mlon=109.148745#map=18/13.781590/109.148745" TargetMode="External" Id="rId393"/><Relationship Type="http://schemas.openxmlformats.org/officeDocument/2006/relationships/hyperlink" Target="https://www.openstreetmap.org/?mlat=13.752230&amp;mlon=109.210600#map=18/13.752230/109.210600" TargetMode="External" Id="rId394"/><Relationship Type="http://schemas.openxmlformats.org/officeDocument/2006/relationships/hyperlink" Target="https://www.openstreetmap.org/?mlat=13.762101&amp;mlon=109.218813#map=18/13.762101/109.218813" TargetMode="External" Id="rId395"/><Relationship Type="http://schemas.openxmlformats.org/officeDocument/2006/relationships/hyperlink" Target="https://www.openstreetmap.org/?mlat=13.757474&amp;mlon=109.214031#map=18/13.757474/109.214031" TargetMode="External" Id="rId396"/><Relationship Type="http://schemas.openxmlformats.org/officeDocument/2006/relationships/hyperlink" Target="https://www.openstreetmap.org/?mlat=13.756456&amp;mlon=109.218592#map=18/13.756456/109.218592" TargetMode="External" Id="rId397"/><Relationship Type="http://schemas.openxmlformats.org/officeDocument/2006/relationships/hyperlink" Target="https://www.openstreetmap.org/?mlat=13.762705&amp;mlon=109.213068#map=18/13.762705/109.213068" TargetMode="External" Id="rId398"/><Relationship Type="http://schemas.openxmlformats.org/officeDocument/2006/relationships/hyperlink" Target="https://www.openstreetmap.org/?mlat=13.751702&amp;mlon=109.210878#map=18/13.751702/109.210878" TargetMode="External" Id="rId399"/><Relationship Type="http://schemas.openxmlformats.org/officeDocument/2006/relationships/hyperlink" Target="https://www.openstreetmap.org/?mlat=13.753575&amp;mlon=109.207882#map=18/13.753575/109.207882" TargetMode="External" Id="rId400"/><Relationship Type="http://schemas.openxmlformats.org/officeDocument/2006/relationships/hyperlink" Target="https://www.openstreetmap.org/?mlat=13.750730&amp;mlon=109.214230#map=18/13.750730/109.214230" TargetMode="External" Id="rId401"/><Relationship Type="http://schemas.openxmlformats.org/officeDocument/2006/relationships/hyperlink" Target="https://www.openstreetmap.org/?mlat=13.767150&amp;mlon=109.215900#map=18/13.767150/109.215900" TargetMode="External" Id="rId402"/><Relationship Type="http://schemas.openxmlformats.org/officeDocument/2006/relationships/hyperlink" Target="https://www.openstreetmap.org/?mlat=13.831210&amp;mlon=109.269462#map=18/13.831210/109.269462" TargetMode="External" Id="rId403"/><Relationship Type="http://schemas.openxmlformats.org/officeDocument/2006/relationships/hyperlink" Target="https://www.openstreetmap.org/?mlat=13.826157&amp;mlon=109.266448#map=18/13.826157/109.266448" TargetMode="External" Id="rId404"/><Relationship Type="http://schemas.openxmlformats.org/officeDocument/2006/relationships/hyperlink" Target="https://www.openstreetmap.org/?mlat=14.015366&amp;mlon=107.992624#map=18/14.015366/107.992624" TargetMode="External" Id="rId405"/><Relationship Type="http://schemas.openxmlformats.org/officeDocument/2006/relationships/hyperlink" Target="https://www.openstreetmap.org/?mlat=14.030170&amp;mlon=107.987061#map=18/14.030170/107.987061" TargetMode="External" Id="rId406"/><Relationship Type="http://schemas.openxmlformats.org/officeDocument/2006/relationships/hyperlink" Target="https://www.openstreetmap.org/?mlat=14.028108&amp;mlon=107.989695#map=18/14.028108/107.989695" TargetMode="External" Id="rId407"/><Relationship Type="http://schemas.openxmlformats.org/officeDocument/2006/relationships/hyperlink" Target="https://www.openstreetmap.org/?mlat=14.028108&amp;mlon=107.989695#map=18/14.028108/107.989695" TargetMode="External" Id="rId408"/><Relationship Type="http://schemas.openxmlformats.org/officeDocument/2006/relationships/hyperlink" Target="https://www.openstreetmap.org/?mlat=14.557861&amp;mlon=108.901000#map=18/14.557861/108.901000" TargetMode="External" Id="rId409"/><Relationship Type="http://schemas.openxmlformats.org/officeDocument/2006/relationships/hyperlink" Target="https://www.openstreetmap.org/?mlat=14.036740&amp;mlon=108.014189#map=18/14.036740/108.014189" TargetMode="External" Id="rId410"/><Relationship Type="http://schemas.openxmlformats.org/officeDocument/2006/relationships/hyperlink" Target="https://www.openstreetmap.org/?mlat=14.036728&amp;mlon=108.014311#map=18/14.036728/108.014311" TargetMode="External" Id="rId411"/><Relationship Type="http://schemas.openxmlformats.org/officeDocument/2006/relationships/hyperlink" Target="https://www.openstreetmap.org/?mlat=13.858531&amp;mlon=107.942108#map=18/13.858531/107.942108" TargetMode="External" Id="rId412"/><Relationship Type="http://schemas.openxmlformats.org/officeDocument/2006/relationships/hyperlink" Target="https://www.openstreetmap.org/?mlat=13.755952&amp;mlon=107.890508#map=18/13.755952/107.890508" TargetMode="External" Id="rId413"/><Relationship Type="http://schemas.openxmlformats.org/officeDocument/2006/relationships/hyperlink" Target="https://www.openstreetmap.org/?mlat=13.755952&amp;mlon=107.890508#map=18/13.755952/107.890508" TargetMode="External" Id="rId414"/><Relationship Type="http://schemas.openxmlformats.org/officeDocument/2006/relationships/hyperlink" Target="https://www.openstreetmap.org/?mlat=13.746780&amp;mlon=107.857498#map=18/13.746780/107.857498" TargetMode="External" Id="rId415"/><Relationship Type="http://schemas.openxmlformats.org/officeDocument/2006/relationships/hyperlink" Target="https://www.openstreetmap.org/?mlat=13.754051&amp;mlon=107.877483#map=18/13.754051/107.877483" TargetMode="External" Id="rId416"/><Relationship Type="http://schemas.openxmlformats.org/officeDocument/2006/relationships/hyperlink" Target="https://www.openstreetmap.org/?mlat=13.754051&amp;mlon=107.877483#map=18/13.754051/107.877483" TargetMode="External" Id="rId417"/><Relationship Type="http://schemas.openxmlformats.org/officeDocument/2006/relationships/hyperlink" Target="https://www.openstreetmap.org/?mlat=14.101558&amp;mlon=107.969608#map=18/14.101558/107.969608" TargetMode="External" Id="rId418"/><Relationship Type="http://schemas.openxmlformats.org/officeDocument/2006/relationships/hyperlink" Target="https://www.openstreetmap.org/?mlat=14.101558&amp;mlon=107.969608#map=18/14.101558/107.969608" TargetMode="External" Id="rId419"/><Relationship Type="http://schemas.openxmlformats.org/officeDocument/2006/relationships/hyperlink" Target="https://www.openstreetmap.org/?mlat=13.547330&amp;mlon=108.099672#map=18/13.547330/108.099672" TargetMode="External" Id="rId420"/><Relationship Type="http://schemas.openxmlformats.org/officeDocument/2006/relationships/hyperlink" Target="https://www.openstreetmap.org/?mlat=13.547330&amp;mlon=108.099672#map=18/13.547330/108.099672" TargetMode="External" Id="rId421"/><Relationship Type="http://schemas.openxmlformats.org/officeDocument/2006/relationships/hyperlink" Target="https://www.openstreetmap.org/?mlat=13.696548&amp;mlon=108.075525#map=18/13.696548/108.075525" TargetMode="External" Id="rId422"/><Relationship Type="http://schemas.openxmlformats.org/officeDocument/2006/relationships/hyperlink" Target="https://www.openstreetmap.org/?mlat=13.696548&amp;mlon=108.075525#map=18/13.696548/108.075525" TargetMode="External" Id="rId423"/><Relationship Type="http://schemas.openxmlformats.org/officeDocument/2006/relationships/hyperlink" Target="https://www.openstreetmap.org/?mlat=13.690877&amp;mlon=108.078466#map=18/13.690877/108.078466" TargetMode="External" Id="rId424"/><Relationship Type="http://schemas.openxmlformats.org/officeDocument/2006/relationships/hyperlink" Target="https://www.openstreetmap.org/?mlat=13.695861&amp;mlon=108.076064#map=18/13.695861/108.076064" TargetMode="External" Id="rId425"/><Relationship Type="http://schemas.openxmlformats.org/officeDocument/2006/relationships/hyperlink" Target="https://www.openstreetmap.org/?mlat=13.693591&amp;mlon=108.077250#map=18/13.693591/108.077250" TargetMode="External" Id="rId426"/><Relationship Type="http://schemas.openxmlformats.org/officeDocument/2006/relationships/hyperlink" Target="https://www.openstreetmap.org/?mlat=13.695861&amp;mlon=108.076064#map=18/13.695861/108.076064" TargetMode="External" Id="rId427"/><Relationship Type="http://schemas.openxmlformats.org/officeDocument/2006/relationships/hyperlink" Target="https://www.openstreetmap.org/?mlat=13.944670&amp;mlon=109.234864#map=18/13.944670/109.234864" TargetMode="External" Id="rId428"/><Relationship Type="http://schemas.openxmlformats.org/officeDocument/2006/relationships/hyperlink" Target="https://www.openstreetmap.org/?mlat=14.029875&amp;mlon=109.053099#map=18/14.029875/109.053099" TargetMode="External" Id="rId429"/><Relationship Type="http://schemas.openxmlformats.org/officeDocument/2006/relationships/hyperlink" Target="https://www.openstreetmap.org/?mlat=13.877123&amp;mlon=108.031783#map=18/13.877123/108.031783" TargetMode="External" Id="rId430"/><Relationship Type="http://schemas.openxmlformats.org/officeDocument/2006/relationships/hyperlink" Target="https://www.openstreetmap.org/?mlat=13.962131&amp;mlon=107.845850#map=18/13.962131/107.845850" TargetMode="External" Id="rId431"/><Relationship Type="http://schemas.openxmlformats.org/officeDocument/2006/relationships/hyperlink" Target="https://www.openstreetmap.org/?mlat=13.962131&amp;mlon=107.845850#map=18/13.962131/107.845850" TargetMode="External" Id="rId432"/><Relationship Type="http://schemas.openxmlformats.org/officeDocument/2006/relationships/hyperlink" Target="https://www.openstreetmap.org/?mlat=13.962131&amp;mlon=107.845850#map=18/13.962131/107.845850" TargetMode="External" Id="rId433"/><Relationship Type="http://schemas.openxmlformats.org/officeDocument/2006/relationships/hyperlink" Target="https://www.openstreetmap.org/?mlat=14.046989&amp;mlon=107.860608#map=18/14.046989/107.860608" TargetMode="External" Id="rId434"/><Relationship Type="http://schemas.openxmlformats.org/officeDocument/2006/relationships/hyperlink" Target="https://www.openstreetmap.org/?mlat=13.961330&amp;mlon=107.848680#map=18/13.961330/107.848680" TargetMode="External" Id="rId435"/><Relationship Type="http://schemas.openxmlformats.org/officeDocument/2006/relationships/hyperlink" Target="https://www.openstreetmap.org/?mlat=14.216444&amp;mlon=107.846539#map=18/14.216444/107.846539" TargetMode="External" Id="rId436"/><Relationship Type="http://schemas.openxmlformats.org/officeDocument/2006/relationships/hyperlink" Target="https://www.openstreetmap.org/?mlat=13.500747&amp;mlon=107.870235#map=18/13.500747/107.870235" TargetMode="External" Id="rId437"/><Relationship Type="http://schemas.openxmlformats.org/officeDocument/2006/relationships/hyperlink" Target="https://www.openstreetmap.org/?mlat=13.369193&amp;mlon=108.593812#map=18/13.369193/108.593812" TargetMode="External" Id="rId438"/><Relationship Type="http://schemas.openxmlformats.org/officeDocument/2006/relationships/hyperlink" Target="https://www.openstreetmap.org/?mlat=13.394771&amp;mlon=108.462280#map=18/13.394771/108.462280" TargetMode="External" Id="rId439"/><Relationship Type="http://schemas.openxmlformats.org/officeDocument/2006/relationships/hyperlink" Target="https://www.openstreetmap.org/?mlat=13.394771&amp;mlon=108.462280#map=18/13.394771/108.462280" TargetMode="External" Id="rId440"/><Relationship Type="http://schemas.openxmlformats.org/officeDocument/2006/relationships/hyperlink" Target="https://www.openstreetmap.org/?mlat=14.019429&amp;mlon=108.209907#map=18/14.019429/108.209907" TargetMode="External" Id="rId441"/><Relationship Type="http://schemas.openxmlformats.org/officeDocument/2006/relationships/hyperlink" Target="https://www.openstreetmap.org/?mlat=14.144470&amp;mlon=108.603773#map=18/14.144470/108.603773" TargetMode="External" Id="rId442"/><Relationship Type="http://schemas.openxmlformats.org/officeDocument/2006/relationships/hyperlink" Target="https://www.openstreetmap.org/?mlat=14.144470&amp;mlon=108.603773#map=18/14.144470/108.603773" TargetMode="External" Id="rId443"/><Relationship Type="http://schemas.openxmlformats.org/officeDocument/2006/relationships/hyperlink" Target="https://www.openstreetmap.org/?mlat=14.144470&amp;mlon=108.603773#map=18/14.144470/108.603773" TargetMode="External" Id="rId444"/><Relationship Type="http://schemas.openxmlformats.org/officeDocument/2006/relationships/hyperlink" Target="https://www.openstreetmap.org/?mlat=13.777129&amp;mlon=108.527252#map=18/13.777129/108.527252" TargetMode="External" Id="rId445"/><Relationship Type="http://schemas.openxmlformats.org/officeDocument/2006/relationships/hyperlink" Target="https://www.openstreetmap.org/?mlat=13.777129&amp;mlon=108.527252#map=18/13.777129/108.527252" TargetMode="External" Id="rId446"/><Relationship Type="http://schemas.openxmlformats.org/officeDocument/2006/relationships/hyperlink" Target="https://www.openstreetmap.org/?mlat=13.777129&amp;mlon=108.527252#map=18/13.777129/108.527252" TargetMode="External" Id="rId447"/><Relationship Type="http://schemas.openxmlformats.org/officeDocument/2006/relationships/hyperlink" Target="https://www.openstreetmap.org/?mlat=14.040767&amp;mlon=108.252687#map=18/14.040767/108.252687" TargetMode="External" Id="rId448"/><Relationship Type="http://schemas.openxmlformats.org/officeDocument/2006/relationships/hyperlink" Target="https://www.openstreetmap.org/?mlat=14.040767&amp;mlon=108.252687#map=18/14.040767/108.252687" TargetMode="External" Id="rId449"/><Relationship Type="http://schemas.openxmlformats.org/officeDocument/2006/relationships/hyperlink" Target="https://www.openstreetmap.org/?mlat=14.040767&amp;mlon=108.252687#map=18/14.040767/108.252687" TargetMode="External" Id="rId450"/><Relationship Type="http://schemas.openxmlformats.org/officeDocument/2006/relationships/hyperlink" Target="https://www.openstreetmap.org/?mlat=13.947007&amp;mlon=109.060297#map=18/13.947007/109.060297" TargetMode="External" Id="rId451"/><Relationship Type="http://schemas.openxmlformats.org/officeDocument/2006/relationships/hyperlink" Target="https://www.openstreetmap.org/?mlat=14.012321&amp;mlon=109.073505#map=18/14.012321/109.073505" TargetMode="External" Id="rId452"/><Relationship Type="http://schemas.openxmlformats.org/officeDocument/2006/relationships/hyperlink" Target="https://www.openstreetmap.org/?mlat=13.997684&amp;mlon=109.059168#map=18/13.997684/109.059168" TargetMode="External" Id="rId453"/><Relationship Type="http://schemas.openxmlformats.org/officeDocument/2006/relationships/hyperlink" Target="https://www.openstreetmap.org/?mlat=13.993437&amp;mlon=109.058678#map=18/13.993437/109.058678" TargetMode="External" Id="rId454"/><Relationship Type="http://schemas.openxmlformats.org/officeDocument/2006/relationships/hyperlink" Target="https://www.openstreetmap.org/?mlat=14.161770&amp;mlon=109.047292#map=18/14.161770/109.047292" TargetMode="External" Id="rId455"/><Relationship Type="http://schemas.openxmlformats.org/officeDocument/2006/relationships/hyperlink" Target="https://www.openstreetmap.org/?mlat=13.528129&amp;mlon=108.321581#map=18/13.528129/108.321581" TargetMode="External" Id="rId456"/><Relationship Type="http://schemas.openxmlformats.org/officeDocument/2006/relationships/hyperlink" Target="https://www.openstreetmap.org/?mlat=13.528129&amp;mlon=108.321581#map=18/13.528129/108.321581" TargetMode="External" Id="rId457"/><Relationship Type="http://schemas.openxmlformats.org/officeDocument/2006/relationships/hyperlink" Target="https://www.openstreetmap.org/?mlat=13.528129&amp;mlon=108.321581#map=18/13.528129/108.321581" TargetMode="External" Id="rId458"/><Relationship Type="http://schemas.openxmlformats.org/officeDocument/2006/relationships/hyperlink" Target="https://www.openstreetmap.org/?mlat=13.195795&amp;mlon=108.690122#map=18/13.195795/108.690122" TargetMode="External" Id="rId459"/><Relationship Type="http://schemas.openxmlformats.org/officeDocument/2006/relationships/hyperlink" Target="https://www.openstreetmap.org/?mlat=13.195795&amp;mlon=108.690122#map=18/13.195795/108.690122" TargetMode="External" Id="rId460"/><Relationship Type="http://schemas.openxmlformats.org/officeDocument/2006/relationships/hyperlink" Target="https://www.openstreetmap.org/?mlat=13.195795&amp;mlon=108.690122#map=18/13.195795/108.690122" TargetMode="External" Id="rId461"/><Relationship Type="http://schemas.openxmlformats.org/officeDocument/2006/relationships/hyperlink" Target="https://www.openstreetmap.org/?mlat=13.803278&amp;mlon=109.147802#map=18/13.803278/109.147802" TargetMode="External" Id="rId462"/><Relationship Type="http://schemas.openxmlformats.org/officeDocument/2006/relationships/hyperlink" Target="https://www.openstreetmap.org/?mlat=13.781567&amp;mlon=109.112104#map=18/13.781567/109.112104" TargetMode="External" Id="rId463"/><Relationship Type="http://schemas.openxmlformats.org/officeDocument/2006/relationships/hyperlink" Target="https://www.openstreetmap.org/?mlat=13.892817&amp;mlon=108.974242#map=18/13.892817/108.974242" TargetMode="External" Id="rId464"/><Relationship Type="http://schemas.openxmlformats.org/officeDocument/2006/relationships/hyperlink" Target="https://www.openstreetmap.org/?mlat=13.906251&amp;mlon=108.922126#map=18/13.906251/108.922126" TargetMode="External" Id="rId465"/><Relationship Type="http://schemas.openxmlformats.org/officeDocument/2006/relationships/hyperlink" Target="https://www.openstreetmap.org/?mlat=13.963985&amp;mlon=109.159285#map=18/13.963985/109.159285" TargetMode="External" Id="rId466"/><Relationship Type="http://schemas.openxmlformats.org/officeDocument/2006/relationships/hyperlink" Target="https://www.openstreetmap.org/?mlat=13.964483&amp;mlon=109.159235#map=18/13.964483/109.159235" TargetMode="External" Id="rId467"/><Relationship Type="http://schemas.openxmlformats.org/officeDocument/2006/relationships/hyperlink" Target="https://www.openstreetmap.org/?mlat=13.970550&amp;mlon=108.548434#map=18/13.970550/108.548434" TargetMode="External" Id="rId468"/><Relationship Type="http://schemas.openxmlformats.org/officeDocument/2006/relationships/hyperlink" Target="https://www.openstreetmap.org/?mlat=13.970550&amp;mlon=108.548434#map=18/13.970550/108.548434" TargetMode="External" Id="rId469"/><Relationship Type="http://schemas.openxmlformats.org/officeDocument/2006/relationships/hyperlink" Target="https://www.openstreetmap.org/?mlat=13.999850&amp;mlon=108.446407#map=18/13.999850/108.446407" TargetMode="External" Id="rId470"/><Relationship Type="http://schemas.openxmlformats.org/officeDocument/2006/relationships/hyperlink" Target="https://www.openstreetmap.org/?mlat=13.992905&amp;mlon=108.110215#map=18/13.992905/108.110215" TargetMode="External" Id="rId471"/><Relationship Type="http://schemas.openxmlformats.org/officeDocument/2006/relationships/hyperlink" Target="https://www.openstreetmap.org/?mlat=13.992905&amp;mlon=108.110215#map=18/13.992905/108.110215" TargetMode="External" Id="rId472"/><Relationship Type="http://schemas.openxmlformats.org/officeDocument/2006/relationships/hyperlink" Target="https://www.openstreetmap.org/?mlat=13.992905&amp;mlon=108.110215#map=18/13.992905/108.110215" TargetMode="External" Id="rId473"/><Relationship Type="http://schemas.openxmlformats.org/officeDocument/2006/relationships/hyperlink" Target="https://www.openstreetmap.org/?mlat=13.993910&amp;mlon=108.127490#map=18/13.993910/108.127490" TargetMode="External" Id="rId474"/><Relationship Type="http://schemas.openxmlformats.org/officeDocument/2006/relationships/hyperlink" Target="https://www.openstreetmap.org/?mlat=13.994319&amp;mlon=108.112771#map=18/13.994319/108.112771" TargetMode="External" Id="rId475"/><Relationship Type="http://schemas.openxmlformats.org/officeDocument/2006/relationships/hyperlink" Target="https://www.openstreetmap.org/?mlat=13.995150&amp;mlon=108.114456#map=18/13.995150/108.114456" TargetMode="External" Id="rId476"/><Relationship Type="http://schemas.openxmlformats.org/officeDocument/2006/relationships/hyperlink" Target="https://www.openstreetmap.org/?mlat=14.112173&amp;mlon=109.144049#map=18/14.112173/109.144049" TargetMode="External" Id="rId477"/><Relationship Type="http://schemas.openxmlformats.org/officeDocument/2006/relationships/hyperlink" Target="https://www.openstreetmap.org/?mlat=13.809650&amp;mlon=107.702965#map=18/13.809650/107.702965" TargetMode="External" Id="rId478"/><Relationship Type="http://schemas.openxmlformats.org/officeDocument/2006/relationships/hyperlink" Target="https://www.openstreetmap.org/?mlat=13.809650&amp;mlon=107.702965#map=18/13.809650/107.702965" TargetMode="External" Id="rId479"/><Relationship Type="http://schemas.openxmlformats.org/officeDocument/2006/relationships/hyperlink" Target="https://www.openstreetmap.org/?mlat=13.799806&amp;mlon=107.693319#map=18/13.799806/107.693319" TargetMode="External" Id="rId480"/><Relationship Type="http://schemas.openxmlformats.org/officeDocument/2006/relationships/hyperlink" Target="https://www.openstreetmap.org/?mlat=13.800253&amp;mlon=107.689215#map=18/13.800253/107.689215" TargetMode="External" Id="rId481"/><Relationship Type="http://schemas.openxmlformats.org/officeDocument/2006/relationships/hyperlink" Target="https://www.openstreetmap.org/?mlat=13.978982&amp;mlon=107.996099#map=18/13.978982/107.996099" TargetMode="External" Id="rId482"/><Relationship Type="http://schemas.openxmlformats.org/officeDocument/2006/relationships/hyperlink" Target="https://www.openstreetmap.org/?mlat=13.691336&amp;mlon=108.077834#map=18/13.691336/108.077834" TargetMode="External" Id="rId483"/><Relationship Type="http://schemas.openxmlformats.org/officeDocument/2006/relationships/hyperlink" Target="https://www.openstreetmap.org/?mlat=13.962651&amp;mlon=107.840356#map=18/13.962651/107.840356" TargetMode="External" Id="rId484"/><Relationship Type="http://schemas.openxmlformats.org/officeDocument/2006/relationships/hyperlink" Target="https://www.openstreetmap.org/?mlat=13.968952&amp;mlon=107.997661#map=18/13.968952/107.997661" TargetMode="External" Id="rId485"/><Relationship Type="http://schemas.openxmlformats.org/officeDocument/2006/relationships/hyperlink" Target="https://www.openstreetmap.org/?mlat=13.969587&amp;mlon=107.996284#map=18/13.969587/107.996284" TargetMode="External" Id="rId486"/><Relationship Type="http://schemas.openxmlformats.org/officeDocument/2006/relationships/hyperlink" Target="https://www.openstreetmap.org/?mlat=13.952124&amp;mlon=108.657912#map=18/13.952124/108.657912" TargetMode="External" Id="rId487"/><Relationship Type="http://schemas.openxmlformats.org/officeDocument/2006/relationships/hyperlink" Target="https://www.openstreetmap.org/?mlat=13.953329&amp;mlon=108.658874#map=18/13.953329/108.658874" TargetMode="External" Id="rId488"/><Relationship Type="http://schemas.openxmlformats.org/officeDocument/2006/relationships/hyperlink" Target="https://www.openstreetmap.org/?mlat=13.924588&amp;mlon=109.089076#map=18/13.924588/109.089076" TargetMode="External" Id="rId489"/><Relationship Type="http://schemas.openxmlformats.org/officeDocument/2006/relationships/hyperlink" Target="https://www.openstreetmap.org/?mlat=13.888668&amp;mlon=109.117616#map=18/13.888668/109.117616" TargetMode="External" Id="rId490"/><Relationship Type="http://schemas.openxmlformats.org/officeDocument/2006/relationships/hyperlink" Target="https://www.openstreetmap.org/?mlat=13.888947&amp;mlon=109.114903#map=18/13.888947/109.114903" TargetMode="External" Id="rId491"/><Relationship Type="http://schemas.openxmlformats.org/officeDocument/2006/relationships/hyperlink" Target="https://www.openstreetmap.org/?mlat=14.436690&amp;mlon=109.018122#map=18/14.436690/109.018122" TargetMode="External" Id="rId492"/><Relationship Type="http://schemas.openxmlformats.org/officeDocument/2006/relationships/hyperlink" Target="https://www.openstreetmap.org/?mlat=14.430150&amp;mlon=109.014700#map=18/14.430150/109.014700" TargetMode="External" Id="rId493"/><Relationship Type="http://schemas.openxmlformats.org/officeDocument/2006/relationships/hyperlink" Target="https://www.openstreetmap.org/?mlat=13.979466&amp;mlon=107.993135#map=18/13.979466/107.993135" TargetMode="External" Id="rId494"/><Relationship Type="http://schemas.openxmlformats.org/officeDocument/2006/relationships/hyperlink" Target="https://www.openstreetmap.org/?mlat=13.979940&amp;mlon=107.993470#map=18/13.979940/107.993470" TargetMode="External" Id="rId495"/><Relationship Type="http://schemas.openxmlformats.org/officeDocument/2006/relationships/hyperlink" Target="https://www.openstreetmap.org/?mlat=13.979940&amp;mlon=107.993470#map=18/13.979940/107.993470" TargetMode="External" Id="rId496"/><Relationship Type="http://schemas.openxmlformats.org/officeDocument/2006/relationships/hyperlink" Target="https://www.openstreetmap.org/?mlat=13.977683&amp;mlon=107.999500#map=18/13.977683/107.999500" TargetMode="External" Id="rId497"/><Relationship Type="http://schemas.openxmlformats.org/officeDocument/2006/relationships/hyperlink" Target="https://www.openstreetmap.org/?mlat=13.978745&amp;mlon=108.012487#map=18/13.978745/108.012487" TargetMode="External" Id="rId498"/><Relationship Type="http://schemas.openxmlformats.org/officeDocument/2006/relationships/hyperlink" Target="https://www.openstreetmap.org/?mlat=13.982130&amp;mlon=108.009505#map=18/13.982130/108.009505" TargetMode="External" Id="rId499"/><Relationship Type="http://schemas.openxmlformats.org/officeDocument/2006/relationships/hyperlink" Target="https://www.openstreetmap.org/?mlat=13.977135&amp;mlon=108.003431#map=18/13.977135/108.003431" TargetMode="External" Id="rId500"/><Relationship Type="http://schemas.openxmlformats.org/officeDocument/2006/relationships/hyperlink" Target="https://www.openstreetmap.org/?mlat=13.775999&amp;mlon=109.232429#map=18/13.775999/109.232429" TargetMode="External" Id="rId501"/><Relationship Type="http://schemas.openxmlformats.org/officeDocument/2006/relationships/hyperlink" Target="https://www.openstreetmap.org/?mlat=13.781314&amp;mlon=109.219720#map=18/13.781314/109.219720" TargetMode="External" Id="rId502"/><Relationship Type="http://schemas.openxmlformats.org/officeDocument/2006/relationships/hyperlink" Target="https://www.openstreetmap.org/?mlat=13.770082&amp;mlon=109.221047#map=18/13.770082/109.221047" TargetMode="External" Id="rId503"/><Relationship Type="http://schemas.openxmlformats.org/officeDocument/2006/relationships/hyperlink" Target="https://www.openstreetmap.org/?mlat=13.772857&amp;mlon=109.224608#map=18/13.772857/109.224608" TargetMode="External" Id="rId504"/><Relationship Type="http://schemas.openxmlformats.org/officeDocument/2006/relationships/hyperlink" Target="https://www.openstreetmap.org/?mlat=13.796266&amp;mlon=109.147442#map=18/13.796266/109.147442" TargetMode="External" Id="rId505"/><Relationship Type="http://schemas.openxmlformats.org/officeDocument/2006/relationships/hyperlink" Target="https://www.openstreetmap.org/?mlat=13.781892&amp;mlon=109.148669#map=18/13.781892/109.148669" TargetMode="External" Id="rId506"/><Relationship Type="http://schemas.openxmlformats.org/officeDocument/2006/relationships/hyperlink" Target="https://www.openstreetmap.org/?mlat=13.771539&amp;mlon=109.220151#map=18/13.771539/109.220151" TargetMode="External" Id="rId507"/><Relationship Type="http://schemas.openxmlformats.org/officeDocument/2006/relationships/hyperlink" Target="https://www.openstreetmap.org/?mlat=13.766901&amp;mlon=109.215935#map=18/13.766901/109.215935" TargetMode="External" Id="rId508"/><Relationship Type="http://schemas.openxmlformats.org/officeDocument/2006/relationships/hyperlink" Target="https://www.openstreetmap.org/?mlat=13.762536&amp;mlon=109.213135#map=18/13.762536/109.213135" TargetMode="External" Id="rId509"/><Relationship Type="http://schemas.openxmlformats.org/officeDocument/2006/relationships/hyperlink" Target="https://www.openstreetmap.org/?mlat=13.751969&amp;mlon=109.210566#map=18/13.751969/109.210566" TargetMode="External" Id="rId510"/><Relationship Type="http://schemas.openxmlformats.org/officeDocument/2006/relationships/hyperlink" Target="https://www.openstreetmap.org/?mlat=14.548729&amp;mlon=109.043099#map=18/14.548729/109.043099" TargetMode="External" Id="rId511"/><Relationship Type="http://schemas.openxmlformats.org/officeDocument/2006/relationships/hyperlink" Target="https://www.openstreetmap.org/?mlat=14.028142&amp;mlon=107.989501#map=18/14.028142/107.989501" TargetMode="External" Id="rId512"/><Relationship Type="http://schemas.openxmlformats.org/officeDocument/2006/relationships/hyperlink" Target="https://www.openstreetmap.org/?mlat=14.028142&amp;mlon=107.989501#map=18/14.028142/107.989501" TargetMode="External" Id="rId513"/><Relationship Type="http://schemas.openxmlformats.org/officeDocument/2006/relationships/hyperlink" Target="https://www.openstreetmap.org/?mlat=14.557775&amp;mlon=108.900970#map=18/14.557775/108.900970" TargetMode="External" Id="rId514"/><Relationship Type="http://schemas.openxmlformats.org/officeDocument/2006/relationships/hyperlink" Target="https://www.openstreetmap.org/?mlat=13.695850&amp;mlon=108.076021#map=18/13.695850/108.076021" TargetMode="External" Id="rId515"/><Relationship Type="http://schemas.openxmlformats.org/officeDocument/2006/relationships/hyperlink" Target="https://www.openstreetmap.org/?mlat=13.961335&amp;mlon=107.846486#map=18/13.961335/107.846486" TargetMode="External" Id="rId516"/><Relationship Type="http://schemas.openxmlformats.org/officeDocument/2006/relationships/hyperlink" Target="https://www.openstreetmap.org/?mlat=14.011639&amp;mlon=109.056417#map=18/14.011639/109.056417" TargetMode="External" Id="rId517"/><Relationship Type="http://schemas.openxmlformats.org/officeDocument/2006/relationships/hyperlink" Target="https://www.openstreetmap.org/?mlat=13.803286&amp;mlon=109.147701#map=18/13.803286/109.147701" TargetMode="External" Id="rId518"/><Relationship Type="http://schemas.openxmlformats.org/officeDocument/2006/relationships/hyperlink" Target="https://www.openstreetmap.org/?mlat=13.910613&amp;mlon=108.913577#map=18/13.910613/108.913577" TargetMode="External" Id="rId519"/><Relationship Type="http://schemas.openxmlformats.org/officeDocument/2006/relationships/hyperlink" Target="https://www.openstreetmap.org/?mlat=13.892818&amp;mlon=108.974205#map=18/13.892818/108.974205" TargetMode="External" Id="rId520"/><Relationship Type="http://schemas.openxmlformats.org/officeDocument/2006/relationships/hyperlink" Target="https://www.openstreetmap.org/?mlat=13.614802&amp;mlon=108.992216#map=18/13.614802/108.992216" TargetMode="External" Id="rId521"/><Relationship Type="http://schemas.openxmlformats.org/officeDocument/2006/relationships/hyperlink" Target="https://www.openstreetmap.org/?mlat=14.108173&amp;mlon=108.784490#map=18/14.108173/108.784490" TargetMode="External" Id="rId522"/><Relationship Type="http://schemas.openxmlformats.org/officeDocument/2006/relationships/hyperlink" Target="https://www.openstreetmap.org/?mlat=13.994398&amp;mlon=108.112695#map=18/13.994398/108.112695" TargetMode="External" Id="rId523"/><Relationship Type="http://schemas.openxmlformats.org/officeDocument/2006/relationships/hyperlink" Target="https://www.openstreetmap.org/?mlat=13.994398&amp;mlon=108.112695#map=18/13.994398/108.112695" TargetMode="External" Id="rId524"/><Relationship Type="http://schemas.openxmlformats.org/officeDocument/2006/relationships/hyperlink" Target="https://www.openstreetmap.org/?mlat=13.800252&amp;mlon=107.687026#map=18/13.800252/107.687026" TargetMode="External" Id="rId525"/><Relationship Type="http://schemas.openxmlformats.org/officeDocument/2006/relationships/hyperlink" Target="https://www.openstreetmap.org/?mlat=13.986153&amp;mlon=108.005970#map=18/13.986153/108.005970" TargetMode="External" Id="rId5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HƯỚNG DẪN KIỂM TRA VÀ SỬA VỊ TRÍ</t>
        </is>
      </c>
    </row>
    <row r="2">
      <c r="A2" s="2" t="inlineStr"/>
    </row>
    <row r="3">
      <c r="A3" s="2" t="inlineStr">
        <is>
          <t>1. Làm theo thứ tự Ưu tiên: Cao (nghi sai / chưa đối chiếu) → Trung bình (OpenStreetMap, hiệu chỉnh tự động) → Thấp (website ngân hàng, đã đối chiếu).</t>
        </is>
      </c>
    </row>
    <row r="4">
      <c r="A4" s="2" t="inlineStr">
        <is>
          <t>2. Bấm "Bản đồ" để xem vị trí hiện tại. Đến tận nơi hoặc đối chiếu trên ảnh vệ tinh.</t>
        </is>
      </c>
    </row>
    <row r="5">
      <c r="A5" s="2" t="inlineStr">
        <is>
          <t>3. Chọn "Kết quả kiểm tra":</t>
        </is>
      </c>
    </row>
    <row r="6">
      <c r="A6" s="2" t="inlineStr">
        <is>
          <t xml:space="preserve">    • Vị trí đúng – ghim đang đúng chỗ (để trống Vĩ độ / Kinh độ mới).</t>
        </is>
      </c>
    </row>
    <row r="7">
      <c r="A7" s="2" t="inlineStr">
        <is>
          <t xml:space="preserve">    • Sửa vị trí – điền Vĩ độ mới, Kinh độ mới (≥ 6 chữ số thập phân, vd 13.981234 / 108.004567) và Cách xác định.</t>
        </is>
      </c>
    </row>
    <row r="8">
      <c r="A8" s="2" t="inlineStr">
        <is>
          <t xml:space="preserve">    • Địa điểm không tồn tại – sẽ bị ẩn khỏi bản đồ.</t>
        </is>
      </c>
    </row>
    <row r="9">
      <c r="A9" s="2" t="inlineStr">
        <is>
          <t xml:space="preserve">    • Đã chuyển đi – sẽ được đánh dấu "nghi sai" cho tới khi có địa chỉ mới.</t>
        </is>
      </c>
    </row>
    <row r="10">
      <c r="A10" s="2" t="inlineStr">
        <is>
          <t>4. Cột "Kiểm tra" tự báo lỗi (thiếu toạ độ, toạ độ ngoài Gia Lai, đảo vĩ/kinh độ, dời quá xa). Chỉ dòng "OK" được nhập vào hệ thống.</t>
        </is>
      </c>
    </row>
    <row r="11">
      <c r="A11" s="2" t="inlineStr">
        <is>
          <t>5. Cột "Dời bao xa (m)" tự tính khoảng cách từ vị trí cũ tới vị trí mới để tự soát lại.</t>
        </is>
      </c>
    </row>
    <row r="12">
      <c r="A12" s="2" t="inlineStr"/>
    </row>
    <row r="13">
      <c r="A13" s="3" t="inlineStr">
        <is>
          <t>LẤY TOẠ ĐỘ ĐÚNG CÁCH</t>
        </is>
      </c>
    </row>
    <row r="14">
      <c r="A14" s="2" t="inlineStr">
        <is>
          <t>• Đo GPS tại chỗ: đứng ở cổng/lối vào, chờ điện thoại báo độ chính xác ≤ 10 m rồi mới ghi; ghi đủ số thập phân điện thoại hiển thị, không làm tròn.</t>
        </is>
      </c>
    </row>
    <row r="15">
      <c r="A15" s="2" t="inlineStr">
        <is>
          <t>• Chọn trên ảnh vệ tinh: phóng to tới khi thấy rõ mái nhà / cổng, đặt điểm ở lối vào chính.</t>
        </is>
      </c>
    </row>
    <row r="16">
      <c r="A16" s="2" t="inlineStr">
        <is>
          <t>• Không chép toạ độ từ Google Maps hay ứng dụng khác; không tự cộng/trừ để "làm khác đi".</t>
        </is>
      </c>
    </row>
    <row r="17">
      <c r="A17" s="2" t="inlineStr">
        <is>
          <t>• Ngân hàng / ATM / cây xăng: đặt điểm ở vị trí máy ATM, quầy giao dịch hoặc trụ bơm.</t>
        </is>
      </c>
    </row>
    <row r="18">
      <c r="A18" s="2" t="inlineStr"/>
    </row>
    <row r="19">
      <c r="A19" s="3" t="inlineStr">
        <is>
          <t>SAU KHI ĐIỀN XONG</t>
        </is>
      </c>
    </row>
    <row r="20">
      <c r="A20" s="2" t="inlineStr">
        <is>
          <t>Gửi lại file; hệ thống nhập bằng api/scripts/apply-location-fixes.py (chỉ các dòng "OK"), ghi vào data/corrections/locations.json mục "manual".</t>
        </is>
      </c>
    </row>
    <row r="21">
      <c r="A21" s="2" t="inlineStr">
        <is>
          <t>Không xoá hoặc sửa cột "Mã hệ thống" – đó là khoá để nhập đúng địa điểm.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53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32" customWidth="1" min="4" max="4"/>
    <col width="14" customWidth="1" min="5" max="5"/>
    <col width="16" customWidth="1" min="6" max="6"/>
    <col width="32" customWidth="1" min="7" max="7"/>
    <col width="16" customWidth="1" min="8" max="8"/>
    <col width="11" customWidth="1" min="9" max="9"/>
    <col width="11" customWidth="1" min="10" max="10"/>
    <col width="13" customWidth="1" min="11" max="11"/>
    <col width="30" customWidth="1" min="12" max="12"/>
    <col width="10" customWidth="1" min="13" max="13"/>
    <col width="20" customWidth="1" min="14" max="14"/>
    <col width="11" customWidth="1" min="15" max="15"/>
    <col width="11" customWidth="1" min="16" max="16"/>
    <col width="17" customWidth="1" min="17" max="17"/>
    <col width="11" customWidth="1" min="18" max="18"/>
    <col width="14" customWidth="1" min="19" max="19"/>
    <col width="26" customWidth="1" min="20" max="20"/>
    <col width="10" customWidth="1" min="21" max="21"/>
    <col width="30" customWidth="1" min="22" max="22"/>
  </cols>
  <sheetData>
    <row r="1">
      <c r="A1" s="4" t="inlineStr">
        <is>
          <t>KIỂM TRA VÀ SỬA VỊ TRÍ ĐỊA ĐIỂM – BẢN ĐỒ SỐ GIA LAI (trừ quán ăn)</t>
        </is>
      </c>
    </row>
    <row r="2">
      <c r="A2" s="5" t="inlineStr">
        <is>
          <t>526 địa điểm, sắp theo Ưu tiên (Cao trước). Cột XANH: thông tin hiện tại – không sửa. Cột CAM: điền kết quả kiểm tra. Xuất ngày 17/10/2026.</t>
        </is>
      </c>
    </row>
    <row r="4" ht="34" customHeight="1">
      <c r="A4" s="6" t="inlineStr">
        <is>
          <t>STT</t>
        </is>
      </c>
      <c r="B4" s="6" t="inlineStr">
        <is>
          <t>Mã hệ thống</t>
        </is>
      </c>
      <c r="C4" s="6" t="inlineStr">
        <is>
          <t>Ưu tiên</t>
        </is>
      </c>
      <c r="D4" s="6" t="inlineStr">
        <is>
          <t>Tên địa điểm</t>
        </is>
      </c>
      <c r="E4" s="6" t="inlineStr">
        <is>
          <t>Danh mục</t>
        </is>
      </c>
      <c r="F4" s="6" t="inlineStr">
        <is>
          <t>Nguồn dữ liệu</t>
        </is>
      </c>
      <c r="G4" s="6" t="inlineStr">
        <is>
          <t>Địa chỉ hiện tại</t>
        </is>
      </c>
      <c r="H4" s="6" t="inlineStr">
        <is>
          <t>Phường / xã</t>
        </is>
      </c>
      <c r="I4" s="6" t="inlineStr">
        <is>
          <t>Vĩ độ hiện tại</t>
        </is>
      </c>
      <c r="J4" s="6" t="inlineStr">
        <is>
          <t>Kinh độ hiện tại</t>
        </is>
      </c>
      <c r="K4" s="6" t="inlineStr">
        <is>
          <t>Mức tin cậy hiện tại</t>
        </is>
      </c>
      <c r="L4" s="6" t="inlineStr">
        <is>
          <t>Ghi chú của hệ thống</t>
        </is>
      </c>
      <c r="M4" s="6" t="inlineStr">
        <is>
          <t>Xem vị trí hiện tại</t>
        </is>
      </c>
      <c r="N4" s="7" t="inlineStr">
        <is>
          <t>Kết quả kiểm tra</t>
        </is>
      </c>
      <c r="O4" s="7" t="inlineStr">
        <is>
          <t>Vĩ độ mới</t>
        </is>
      </c>
      <c r="P4" s="7" t="inlineStr">
        <is>
          <t>Kinh độ mới</t>
        </is>
      </c>
      <c r="Q4" s="7" t="inlineStr">
        <is>
          <t>Cách xác định</t>
        </is>
      </c>
      <c r="R4" s="7" t="inlineStr">
        <is>
          <t>Ngày kiểm tra</t>
        </is>
      </c>
      <c r="S4" s="7" t="inlineStr">
        <is>
          <t>Người kiểm tra</t>
        </is>
      </c>
      <c r="T4" s="7" t="inlineStr">
        <is>
          <t>Ghi chú</t>
        </is>
      </c>
      <c r="U4" s="8" t="inlineStr">
        <is>
          <t>Dời bao xa (m)</t>
        </is>
      </c>
      <c r="V4" s="8" t="inlineStr">
        <is>
          <t>Kiểm tra</t>
        </is>
      </c>
    </row>
    <row r="5">
      <c r="A5" s="9" t="n">
        <v>1</v>
      </c>
      <c r="B5" s="9" t="inlineStr">
        <is>
          <t>645ecf86-7c89-440b-afdf-e9b9e894ce61</t>
        </is>
      </c>
      <c r="C5" s="9" t="inlineStr">
        <is>
          <t>Cao</t>
        </is>
      </c>
      <c r="D5" s="10" t="inlineStr">
        <is>
          <t>Đường Thông</t>
        </is>
      </c>
      <c r="E5" s="9" t="inlineStr">
        <is>
          <t>Danh lam thắng cảnh</t>
        </is>
      </c>
      <c r="F5" s="9" t="inlineStr">
        <is>
          <t>Dữ liệu gialai-travel</t>
        </is>
      </c>
      <c r="G5" s="10" t="inlineStr">
        <is>
          <t>Thôn 1, xã Nghĩa Hưng, huyện Chư Păh, tỉnh Gia Lai</t>
        </is>
      </c>
      <c r="H5" s="9" t="inlineStr">
        <is>
          <t>Phường Hội Phú</t>
        </is>
      </c>
      <c r="I5" s="11" t="n">
        <v>14.061869</v>
      </c>
      <c r="J5" s="11" t="n">
        <v>108.009918</v>
      </c>
      <c r="K5" s="9" t="inlineStr">
        <is>
          <t>Nghi sai</t>
        </is>
      </c>
      <c r="L5" s="10" t="inlineStr">
        <is>
          <t>toạ độ cách xã/phường ghi trong nguồn (Phường Hội Phú) 9.7 km, không có tham chiếu OSM</t>
        </is>
      </c>
      <c r="M5" s="12" t="inlineStr">
        <is>
          <t>Bản đồ</t>
        </is>
      </c>
      <c r="N5" s="13" t="n"/>
      <c r="O5" s="14" t="n"/>
      <c r="P5" s="14" t="n"/>
      <c r="Q5" s="13" t="n"/>
      <c r="R5" s="15" t="n"/>
      <c r="S5" s="13" t="n"/>
      <c r="T5" s="13" t="n"/>
      <c r="U5" s="16">
        <f>IF(AND(ISNUMBER(O5),ISNUMBER(P5)),ROUND(SQRT(((P5-J5)*111320*COS(RADIANS(I5)))^2+((O5-I5)*110540)^2),0),"")</f>
        <v/>
      </c>
      <c r="V5" s="17">
        <f>IF(N5="","",IF(N5="Sửa vị trí",IF(OR(O5="",P5=""),"Thiếu vĩ độ / kinh độ mới",IF(OR(O5&lt;12.5,O5&gt;15,P5&lt;107,P5&gt;109.6),"Toạ độ ngoài Gia Lai (đảo vĩ/kinh độ?)",IF(Q5="","Chọn cách xác định",IF(U5&gt;20000,"Dời hơn 20 km – kiểm tra lại","OK")))),IF(AND(N5&lt;&gt;"Sửa vị trí",OR(O5&lt;&gt;"",P5&lt;&gt;"")),"Có toạ độ mới nhưng kết quả không phải Sửa vị trí","OK")))</f>
        <v/>
      </c>
    </row>
    <row r="6">
      <c r="A6" s="9" t="n">
        <v>2</v>
      </c>
      <c r="B6" s="9" t="inlineStr">
        <is>
          <t>5d9f731f-9846-45b3-8d6e-a85be68145b4</t>
        </is>
      </c>
      <c r="C6" s="9" t="inlineStr">
        <is>
          <t>Cao</t>
        </is>
      </c>
      <c r="D6" s="10" t="inlineStr">
        <is>
          <t>Cầu Treo</t>
        </is>
      </c>
      <c r="E6" s="9" t="inlineStr">
        <is>
          <t>Danh lam thắng cảnh</t>
        </is>
      </c>
      <c r="F6" s="9" t="inlineStr">
        <is>
          <t>Dữ liệu gialai-travel</t>
        </is>
      </c>
      <c r="G6" s="10" t="inlineStr">
        <is>
          <t>Phường Thống Nhất, Pleiku, Gia Lai</t>
        </is>
      </c>
      <c r="H6" s="9" t="inlineStr">
        <is>
          <t>Phường Pleiku</t>
        </is>
      </c>
      <c r="I6" s="11" t="n">
        <v>14.056879</v>
      </c>
      <c r="J6" s="11" t="n">
        <v>108.003073</v>
      </c>
      <c r="K6" s="9" t="inlineStr">
        <is>
          <t>Nghi sai</t>
        </is>
      </c>
      <c r="L6" s="10" t="inlineStr">
        <is>
          <t>toạ độ cách xã/phường ghi trong nguồn (Phường Pleiku) 4.7 km, không có tham chiếu OSM</t>
        </is>
      </c>
      <c r="M6" s="12" t="inlineStr">
        <is>
          <t>Bản đồ</t>
        </is>
      </c>
      <c r="N6" s="13" t="n"/>
      <c r="O6" s="14" t="n"/>
      <c r="P6" s="14" t="n"/>
      <c r="Q6" s="13" t="n"/>
      <c r="R6" s="15" t="n"/>
      <c r="S6" s="13" t="n"/>
      <c r="T6" s="13" t="n"/>
      <c r="U6" s="16">
        <f>IF(AND(ISNUMBER(O6),ISNUMBER(P6)),ROUND(SQRT(((P6-J6)*111320*COS(RADIANS(I6)))^2+((O6-I6)*110540)^2),0),"")</f>
        <v/>
      </c>
      <c r="V6" s="17">
        <f>IF(N6="","",IF(N6="Sửa vị trí",IF(OR(O6="",P6=""),"Thiếu vĩ độ / kinh độ mới",IF(OR(O6&lt;12.5,O6&gt;15,P6&lt;107,P6&gt;109.6),"Toạ độ ngoài Gia Lai (đảo vĩ/kinh độ?)",IF(Q6="","Chọn cách xác định",IF(U6&gt;20000,"Dời hơn 20 km – kiểm tra lại","OK")))),IF(AND(N6&lt;&gt;"Sửa vị trí",OR(O6&lt;&gt;"",P6&lt;&gt;"")),"Có toạ độ mới nhưng kết quả không phải Sửa vị trí","OK")))</f>
        <v/>
      </c>
    </row>
    <row r="7">
      <c r="A7" s="9" t="n">
        <v>3</v>
      </c>
      <c r="B7" s="9" t="inlineStr">
        <is>
          <t>e255542e-20e1-4644-81e8-1d0233e35ee5</t>
        </is>
      </c>
      <c r="C7" s="9" t="inlineStr">
        <is>
          <t>Cao</t>
        </is>
      </c>
      <c r="D7" s="10" t="inlineStr">
        <is>
          <t>Thác 7 Tầng</t>
        </is>
      </c>
      <c r="E7" s="9" t="inlineStr">
        <is>
          <t>Danh lam thắng cảnh</t>
        </is>
      </c>
      <c r="F7" s="9" t="inlineStr">
        <is>
          <t>Dữ liệu gialai-travel</t>
        </is>
      </c>
      <c r="G7" s="10" t="inlineStr">
        <is>
          <t>Xã Hra, huyện Đăk Đoa, Gia Lai</t>
        </is>
      </c>
      <c r="H7" s="9" t="inlineStr">
        <is>
          <t>Xã Hra</t>
        </is>
      </c>
      <c r="I7" s="11" t="n">
        <v>13.9482</v>
      </c>
      <c r="J7" s="11" t="n">
        <v>108.1348</v>
      </c>
      <c r="K7" s="9" t="inlineStr">
        <is>
          <t>Nghi sai</t>
        </is>
      </c>
      <c r="L7" s="10" t="inlineStr">
        <is>
          <t>toạ độ cách xã/phường ghi trong nguồn (Xã Hra) 20.1 km, không có tham chiếu OSM</t>
        </is>
      </c>
      <c r="M7" s="12" t="inlineStr">
        <is>
          <t>Bản đồ</t>
        </is>
      </c>
      <c r="N7" s="13" t="n"/>
      <c r="O7" s="14" t="n"/>
      <c r="P7" s="14" t="n"/>
      <c r="Q7" s="13" t="n"/>
      <c r="R7" s="15" t="n"/>
      <c r="S7" s="13" t="n"/>
      <c r="T7" s="13" t="n"/>
      <c r="U7" s="16">
        <f>IF(AND(ISNUMBER(O7),ISNUMBER(P7)),ROUND(SQRT(((P7-J7)*111320*COS(RADIANS(I7)))^2+((O7-I7)*110540)^2),0),"")</f>
        <v/>
      </c>
      <c r="V7" s="17">
        <f>IF(N7="","",IF(N7="Sửa vị trí",IF(OR(O7="",P7=""),"Thiếu vĩ độ / kinh độ mới",IF(OR(O7&lt;12.5,O7&gt;15,P7&lt;107,P7&gt;109.6),"Toạ độ ngoài Gia Lai (đảo vĩ/kinh độ?)",IF(Q7="","Chọn cách xác định",IF(U7&gt;20000,"Dời hơn 20 km – kiểm tra lại","OK")))),IF(AND(N7&lt;&gt;"Sửa vị trí",OR(O7&lt;&gt;"",P7&lt;&gt;"")),"Có toạ độ mới nhưng kết quả không phải Sửa vị trí","OK")))</f>
        <v/>
      </c>
    </row>
    <row r="8">
      <c r="A8" s="9" t="n">
        <v>4</v>
      </c>
      <c r="B8" s="9" t="inlineStr">
        <is>
          <t>323a62c4-e7e3-43dc-9246-4065b44e411b</t>
        </is>
      </c>
      <c r="C8" s="9" t="inlineStr">
        <is>
          <t>Cao</t>
        </is>
      </c>
      <c r="D8" s="10" t="inlineStr">
        <is>
          <t>Chùa Phật Tích Hùng Vương</t>
        </is>
      </c>
      <c r="E8" s="9" t="inlineStr">
        <is>
          <t>Địa danh văn hóa</t>
        </is>
      </c>
      <c r="F8" s="9" t="inlineStr">
        <is>
          <t>Dữ liệu gialai-travel</t>
        </is>
      </c>
      <c r="G8" s="10" t="inlineStr">
        <is>
          <t>Đường Quang Trung, Tp. Pleiku, Gia Lai</t>
        </is>
      </c>
      <c r="H8" s="9" t="inlineStr">
        <is>
          <t>Phường Pleiku</t>
        </is>
      </c>
      <c r="I8" s="11" t="n">
        <v>13.9718</v>
      </c>
      <c r="J8" s="11" t="n">
        <v>108.0423</v>
      </c>
      <c r="K8" s="9" t="inlineStr">
        <is>
          <t>Nghi sai</t>
        </is>
      </c>
      <c r="L8" s="10" t="inlineStr">
        <is>
          <t>toạ độ cách xã/phường ghi trong nguồn (Phường Pleiku) 1.1 km, không có tham chiếu OSM</t>
        </is>
      </c>
      <c r="M8" s="12" t="inlineStr">
        <is>
          <t>Bản đồ</t>
        </is>
      </c>
      <c r="N8" s="13" t="n"/>
      <c r="O8" s="14" t="n"/>
      <c r="P8" s="14" t="n"/>
      <c r="Q8" s="13" t="n"/>
      <c r="R8" s="15" t="n"/>
      <c r="S8" s="13" t="n"/>
      <c r="T8" s="13" t="n"/>
      <c r="U8" s="16">
        <f>IF(AND(ISNUMBER(O8),ISNUMBER(P8)),ROUND(SQRT(((P8-J8)*111320*COS(RADIANS(I8)))^2+((O8-I8)*110540)^2),0),"")</f>
        <v/>
      </c>
      <c r="V8" s="17">
        <f>IF(N8="","",IF(N8="Sửa vị trí",IF(OR(O8="",P8=""),"Thiếu vĩ độ / kinh độ mới",IF(OR(O8&lt;12.5,O8&gt;15,P8&lt;107,P8&gt;109.6),"Toạ độ ngoài Gia Lai (đảo vĩ/kinh độ?)",IF(Q8="","Chọn cách xác định",IF(U8&gt;20000,"Dời hơn 20 km – kiểm tra lại","OK")))),IF(AND(N8&lt;&gt;"Sửa vị trí",OR(O8&lt;&gt;"",P8&lt;&gt;"")),"Có toạ độ mới nhưng kết quả không phải Sửa vị trí","OK")))</f>
        <v/>
      </c>
    </row>
    <row r="9">
      <c r="A9" s="9" t="n">
        <v>5</v>
      </c>
      <c r="B9" s="9" t="inlineStr">
        <is>
          <t>e1accd2c-a8c4-4dec-86f1-744238bb686f</t>
        </is>
      </c>
      <c r="C9" s="9" t="inlineStr">
        <is>
          <t>Cao</t>
        </is>
      </c>
      <c r="D9" s="10" t="inlineStr">
        <is>
          <t>Buôn Jun</t>
        </is>
      </c>
      <c r="E9" s="9" t="inlineStr">
        <is>
          <t>Địa danh văn hóa</t>
        </is>
      </c>
      <c r="F9" s="9" t="inlineStr">
        <is>
          <t>Dữ liệu gialai-travel</t>
        </is>
      </c>
      <c r="G9" s="10" t="inlineStr">
        <is>
          <t>Thôn Jun, xã Ia Krái, huyện Ia Grai, Gia Lai</t>
        </is>
      </c>
      <c r="H9" s="9" t="inlineStr">
        <is>
          <t>Xã Ia Krái</t>
        </is>
      </c>
      <c r="I9" s="11" t="n">
        <v>13.9612</v>
      </c>
      <c r="J9" s="11" t="n">
        <v>108.0487</v>
      </c>
      <c r="K9" s="9" t="inlineStr">
        <is>
          <t>Nghi sai</t>
        </is>
      </c>
      <c r="L9" s="10" t="inlineStr">
        <is>
          <t>toạ độ cách xã/phường ghi trong nguồn (Xã Ia Krái) 25.8 km, không có tham chiếu OSM</t>
        </is>
      </c>
      <c r="M9" s="12" t="inlineStr">
        <is>
          <t>Bản đồ</t>
        </is>
      </c>
      <c r="N9" s="13" t="n"/>
      <c r="O9" s="14" t="n"/>
      <c r="P9" s="14" t="n"/>
      <c r="Q9" s="13" t="n"/>
      <c r="R9" s="15" t="n"/>
      <c r="S9" s="13" t="n"/>
      <c r="T9" s="13" t="n"/>
      <c r="U9" s="16">
        <f>IF(AND(ISNUMBER(O9),ISNUMBER(P9)),ROUND(SQRT(((P9-J9)*111320*COS(RADIANS(I9)))^2+((O9-I9)*110540)^2),0),"")</f>
        <v/>
      </c>
      <c r="V9" s="17">
        <f>IF(N9="","",IF(N9="Sửa vị trí",IF(OR(O9="",P9=""),"Thiếu vĩ độ / kinh độ mới",IF(OR(O9&lt;12.5,O9&gt;15,P9&lt;107,P9&gt;109.6),"Toạ độ ngoài Gia Lai (đảo vĩ/kinh độ?)",IF(Q9="","Chọn cách xác định",IF(U9&gt;20000,"Dời hơn 20 km – kiểm tra lại","OK")))),IF(AND(N9&lt;&gt;"Sửa vị trí",OR(O9&lt;&gt;"",P9&lt;&gt;"")),"Có toạ độ mới nhưng kết quả không phải Sửa vị trí","OK")))</f>
        <v/>
      </c>
    </row>
    <row r="10">
      <c r="A10" s="9" t="n">
        <v>6</v>
      </c>
      <c r="B10" s="9" t="inlineStr">
        <is>
          <t>f6de3ec8-2fcd-4ab1-84e6-3b0256fb5a26</t>
        </is>
      </c>
      <c r="C10" s="9" t="inlineStr">
        <is>
          <t>Cao</t>
        </is>
      </c>
      <c r="D10" s="10" t="inlineStr">
        <is>
          <t>Chợ Nguyễn Trãi (chợ Bà Định)</t>
        </is>
      </c>
      <c r="E10" s="9" t="inlineStr">
        <is>
          <t>Chợ</t>
        </is>
      </c>
      <c r="F10" s="9" t="inlineStr">
        <is>
          <t>Dữ liệu gialai-travel</t>
        </is>
      </c>
      <c r="G10" s="10" t="inlineStr">
        <is>
          <t>51 Nguyễn Trãi, Diên Hồng, Gia Lai 600000, Việt Nam</t>
        </is>
      </c>
      <c r="H10" s="9" t="inlineStr">
        <is>
          <t>Phường Diên Hồng</t>
        </is>
      </c>
      <c r="I10" s="11" t="n">
        <v>13.984145</v>
      </c>
      <c r="J10" s="11" t="n">
        <v>107.993733</v>
      </c>
      <c r="K10" s="9" t="inlineStr">
        <is>
          <t>Chưa đối chiếu</t>
        </is>
      </c>
      <c r="L10" s="10" t="n"/>
      <c r="M10" s="12" t="inlineStr">
        <is>
          <t>Bản đồ</t>
        </is>
      </c>
      <c r="N10" s="13" t="n"/>
      <c r="O10" s="14" t="n"/>
      <c r="P10" s="14" t="n"/>
      <c r="Q10" s="13" t="n"/>
      <c r="R10" s="15" t="n"/>
      <c r="S10" s="13" t="n"/>
      <c r="T10" s="13" t="n"/>
      <c r="U10" s="16">
        <f>IF(AND(ISNUMBER(O10),ISNUMBER(P10)),ROUND(SQRT(((P10-J10)*111320*COS(RADIANS(I10)))^2+((O10-I10)*110540)^2),0),"")</f>
        <v/>
      </c>
      <c r="V10" s="17">
        <f>IF(N10="","",IF(N10="Sửa vị trí",IF(OR(O10="",P10=""),"Thiếu vĩ độ / kinh độ mới",IF(OR(O10&lt;12.5,O10&gt;15,P10&lt;107,P10&gt;109.6),"Toạ độ ngoài Gia Lai (đảo vĩ/kinh độ?)",IF(Q10="","Chọn cách xác định",IF(U10&gt;20000,"Dời hơn 20 km – kiểm tra lại","OK")))),IF(AND(N10&lt;&gt;"Sửa vị trí",OR(O10&lt;&gt;"",P10&lt;&gt;"")),"Có toạ độ mới nhưng kết quả không phải Sửa vị trí","OK")))</f>
        <v/>
      </c>
    </row>
    <row r="11">
      <c r="A11" s="9" t="n">
        <v>7</v>
      </c>
      <c r="B11" s="9" t="inlineStr">
        <is>
          <t>cc535157-e44f-4a5f-bfab-e02f6ded87da</t>
        </is>
      </c>
      <c r="C11" s="9" t="inlineStr">
        <is>
          <t>Cao</t>
        </is>
      </c>
      <c r="D11" s="10" t="inlineStr">
        <is>
          <t>Chợ Đêm Pleiku (Mới)</t>
        </is>
      </c>
      <c r="E11" s="9" t="inlineStr">
        <is>
          <t>Chợ</t>
        </is>
      </c>
      <c r="F11" s="9" t="inlineStr">
        <is>
          <t>Dữ liệu gialai-travel</t>
        </is>
      </c>
      <c r="G11" s="10" t="inlineStr">
        <is>
          <t>XX7Q+J7W, Trần Xuân Soạn, Diên Hồng, Gia Lai, Việt Nam</t>
        </is>
      </c>
      <c r="H11" s="9" t="inlineStr">
        <is>
          <t>Phường Diên Hồng</t>
        </is>
      </c>
      <c r="I11" s="11" t="n">
        <v>13.964108</v>
      </c>
      <c r="J11" s="11" t="n">
        <v>107.988214</v>
      </c>
      <c r="K11" s="9" t="inlineStr">
        <is>
          <t>Chưa đối chiếu</t>
        </is>
      </c>
      <c r="L11" s="10" t="n"/>
      <c r="M11" s="12" t="inlineStr">
        <is>
          <t>Bản đồ</t>
        </is>
      </c>
      <c r="N11" s="13" t="n"/>
      <c r="O11" s="14" t="n"/>
      <c r="P11" s="14" t="n"/>
      <c r="Q11" s="13" t="n"/>
      <c r="R11" s="15" t="n"/>
      <c r="S11" s="13" t="n"/>
      <c r="T11" s="13" t="n"/>
      <c r="U11" s="16">
        <f>IF(AND(ISNUMBER(O11),ISNUMBER(P11)),ROUND(SQRT(((P11-J11)*111320*COS(RADIANS(I11)))^2+((O11-I11)*110540)^2),0),"")</f>
        <v/>
      </c>
      <c r="V11" s="17">
        <f>IF(N11="","",IF(N11="Sửa vị trí",IF(OR(O11="",P11=""),"Thiếu vĩ độ / kinh độ mới",IF(OR(O11&lt;12.5,O11&gt;15,P11&lt;107,P11&gt;109.6),"Toạ độ ngoài Gia Lai (đảo vĩ/kinh độ?)",IF(Q11="","Chọn cách xác định",IF(U11&gt;20000,"Dời hơn 20 km – kiểm tra lại","OK")))),IF(AND(N11&lt;&gt;"Sửa vị trí",OR(O11&lt;&gt;"",P11&lt;&gt;"")),"Có toạ độ mới nhưng kết quả không phải Sửa vị trí","OK")))</f>
        <v/>
      </c>
    </row>
    <row r="12">
      <c r="A12" s="9" t="n">
        <v>8</v>
      </c>
      <c r="B12" s="9" t="inlineStr">
        <is>
          <t>aa7c34af-5f08-4ef5-9d48-7b226ec6910b</t>
        </is>
      </c>
      <c r="C12" s="9" t="inlineStr">
        <is>
          <t>Cao</t>
        </is>
      </c>
      <c r="D12" s="10" t="inlineStr">
        <is>
          <t>Chợ Đêm Pleiku Gia Lai</t>
        </is>
      </c>
      <c r="E12" s="9" t="inlineStr">
        <is>
          <t>Chợ</t>
        </is>
      </c>
      <c r="F12" s="9" t="inlineStr">
        <is>
          <t>Dữ liệu gialai-travel</t>
        </is>
      </c>
      <c r="G12" s="10" t="inlineStr">
        <is>
          <t>40 Nguyễn Thiện Thuật, Diên Hồng, Gia Lai 600000, Việt Nam</t>
        </is>
      </c>
      <c r="H12" s="9" t="inlineStr">
        <is>
          <t>Phường Diên Hồng</t>
        </is>
      </c>
      <c r="I12" s="11" t="n">
        <v>13.97878</v>
      </c>
      <c r="J12" s="11" t="n">
        <v>107.997549</v>
      </c>
      <c r="K12" s="9" t="inlineStr">
        <is>
          <t>Chưa đối chiếu</t>
        </is>
      </c>
      <c r="L12" s="10" t="n"/>
      <c r="M12" s="12" t="inlineStr">
        <is>
          <t>Bản đồ</t>
        </is>
      </c>
      <c r="N12" s="13" t="n"/>
      <c r="O12" s="14" t="n"/>
      <c r="P12" s="14" t="n"/>
      <c r="Q12" s="13" t="n"/>
      <c r="R12" s="15" t="n"/>
      <c r="S12" s="13" t="n"/>
      <c r="T12" s="13" t="n"/>
      <c r="U12" s="16">
        <f>IF(AND(ISNUMBER(O12),ISNUMBER(P12)),ROUND(SQRT(((P12-J12)*111320*COS(RADIANS(I12)))^2+((O12-I12)*110540)^2),0),"")</f>
        <v/>
      </c>
      <c r="V12" s="17">
        <f>IF(N12="","",IF(N12="Sửa vị trí",IF(OR(O12="",P12=""),"Thiếu vĩ độ / kinh độ mới",IF(OR(O12&lt;12.5,O12&gt;15,P12&lt;107,P12&gt;109.6),"Toạ độ ngoài Gia Lai (đảo vĩ/kinh độ?)",IF(Q12="","Chọn cách xác định",IF(U12&gt;20000,"Dời hơn 20 km – kiểm tra lại","OK")))),IF(AND(N12&lt;&gt;"Sửa vị trí",OR(O12&lt;&gt;"",P12&lt;&gt;"")),"Có toạ độ mới nhưng kết quả không phải Sửa vị trí","OK")))</f>
        <v/>
      </c>
    </row>
    <row r="13">
      <c r="A13" s="9" t="n">
        <v>9</v>
      </c>
      <c r="B13" s="9" t="inlineStr">
        <is>
          <t>a08921df-0ff9-4d7c-bf84-e8316e4f2656</t>
        </is>
      </c>
      <c r="C13" s="9" t="inlineStr">
        <is>
          <t>Cao</t>
        </is>
      </c>
      <c r="D13" s="10" t="inlineStr">
        <is>
          <t>Chợ Trà Bá</t>
        </is>
      </c>
      <c r="E13" s="9" t="inlineStr">
        <is>
          <t>Chợ</t>
        </is>
      </c>
      <c r="F13" s="9" t="inlineStr">
        <is>
          <t>Dữ liệu gialai-travel</t>
        </is>
      </c>
      <c r="G13" s="10" t="inlineStr">
        <is>
          <t>18 Trường Chinh, Hội Phú, Gia Lai 600000, Việt Nam</t>
        </is>
      </c>
      <c r="H13" s="9" t="inlineStr">
        <is>
          <t>Phường Hội Phú</t>
        </is>
      </c>
      <c r="I13" s="11" t="n">
        <v>13.954041</v>
      </c>
      <c r="J13" s="11" t="n">
        <v>108.014269</v>
      </c>
      <c r="K13" s="9" t="inlineStr">
        <is>
          <t>Chưa đối chiếu</t>
        </is>
      </c>
      <c r="L13" s="10" t="n"/>
      <c r="M13" s="12" t="inlineStr">
        <is>
          <t>Bản đồ</t>
        </is>
      </c>
      <c r="N13" s="13" t="n"/>
      <c r="O13" s="14" t="n"/>
      <c r="P13" s="14" t="n"/>
      <c r="Q13" s="13" t="n"/>
      <c r="R13" s="15" t="n"/>
      <c r="S13" s="13" t="n"/>
      <c r="T13" s="13" t="n"/>
      <c r="U13" s="16">
        <f>IF(AND(ISNUMBER(O13),ISNUMBER(P13)),ROUND(SQRT(((P13-J13)*111320*COS(RADIANS(I13)))^2+((O13-I13)*110540)^2),0),"")</f>
        <v/>
      </c>
      <c r="V13" s="17">
        <f>IF(N13="","",IF(N13="Sửa vị trí",IF(OR(O13="",P13=""),"Thiếu vĩ độ / kinh độ mới",IF(OR(O13&lt;12.5,O13&gt;15,P13&lt;107,P13&gt;109.6),"Toạ độ ngoài Gia Lai (đảo vĩ/kinh độ?)",IF(Q13="","Chọn cách xác định",IF(U13&gt;20000,"Dời hơn 20 km – kiểm tra lại","OK")))),IF(AND(N13&lt;&gt;"Sửa vị trí",OR(O13&lt;&gt;"",P13&lt;&gt;"")),"Có toạ độ mới nhưng kết quả không phải Sửa vị trí","OK")))</f>
        <v/>
      </c>
    </row>
    <row r="14">
      <c r="A14" s="9" t="n">
        <v>10</v>
      </c>
      <c r="B14" s="9" t="inlineStr">
        <is>
          <t>2c97df02-2a2a-4371-9c4a-a15fd685824a</t>
        </is>
      </c>
      <c r="C14" s="9" t="inlineStr">
        <is>
          <t>Cao</t>
        </is>
      </c>
      <c r="D14" s="10" t="inlineStr">
        <is>
          <t>Chợ Hoa Lư mới</t>
        </is>
      </c>
      <c r="E14" s="9" t="inlineStr">
        <is>
          <t>Chợ</t>
        </is>
      </c>
      <c r="F14" s="9" t="inlineStr">
        <is>
          <t>Dữ liệu gialai-travel</t>
        </is>
      </c>
      <c r="G14" s="10" t="inlineStr">
        <is>
          <t>X2Q6+7HG, Nguyễn Bá Lân, Pleiku, Gia Lai 600000, Việt Nam</t>
        </is>
      </c>
      <c r="H14" s="9" t="inlineStr">
        <is>
          <t>Phường Pleiku</t>
        </is>
      </c>
      <c r="I14" s="11" t="n">
        <v>13.988266</v>
      </c>
      <c r="J14" s="11" t="n">
        <v>108.011451</v>
      </c>
      <c r="K14" s="9" t="inlineStr">
        <is>
          <t>Chưa đối chiếu</t>
        </is>
      </c>
      <c r="L14" s="10" t="n"/>
      <c r="M14" s="12" t="inlineStr">
        <is>
          <t>Bản đồ</t>
        </is>
      </c>
      <c r="N14" s="13" t="n"/>
      <c r="O14" s="14" t="n"/>
      <c r="P14" s="14" t="n"/>
      <c r="Q14" s="13" t="n"/>
      <c r="R14" s="15" t="n"/>
      <c r="S14" s="13" t="n"/>
      <c r="T14" s="13" t="n"/>
      <c r="U14" s="16">
        <f>IF(AND(ISNUMBER(O14),ISNUMBER(P14)),ROUND(SQRT(((P14-J14)*111320*COS(RADIANS(I14)))^2+((O14-I14)*110540)^2),0),"")</f>
        <v/>
      </c>
      <c r="V14" s="17">
        <f>IF(N14="","",IF(N14="Sửa vị trí",IF(OR(O14="",P14=""),"Thiếu vĩ độ / kinh độ mới",IF(OR(O14&lt;12.5,O14&gt;15,P14&lt;107,P14&gt;109.6),"Toạ độ ngoài Gia Lai (đảo vĩ/kinh độ?)",IF(Q14="","Chọn cách xác định",IF(U14&gt;20000,"Dời hơn 20 km – kiểm tra lại","OK")))),IF(AND(N14&lt;&gt;"Sửa vị trí",OR(O14&lt;&gt;"",P14&lt;&gt;"")),"Có toạ độ mới nhưng kết quả không phải Sửa vị trí","OK")))</f>
        <v/>
      </c>
    </row>
    <row r="15">
      <c r="A15" s="9" t="n">
        <v>11</v>
      </c>
      <c r="B15" s="9" t="inlineStr">
        <is>
          <t>844b0f98-3d3f-48f9-ae29-4f80485a6a6f</t>
        </is>
      </c>
      <c r="C15" s="9" t="inlineStr">
        <is>
          <t>Cao</t>
        </is>
      </c>
      <c r="D15" s="10" t="inlineStr">
        <is>
          <t>Chợ Thống Nhất</t>
        </is>
      </c>
      <c r="E15" s="9" t="inlineStr">
        <is>
          <t>Chợ</t>
        </is>
      </c>
      <c r="F15" s="9" t="inlineStr">
        <is>
          <t>Dữ liệu gialai-travel</t>
        </is>
      </c>
      <c r="G15" s="10" t="inlineStr">
        <is>
          <t>192 Phạm Văn Đồng, Thống Nhất, Gia Lai 600000, Việt Nam</t>
        </is>
      </c>
      <c r="H15" s="9" t="inlineStr">
        <is>
          <t>Phường Thống Nhất</t>
        </is>
      </c>
      <c r="I15" s="11" t="n">
        <v>13.997023</v>
      </c>
      <c r="J15" s="11" t="n">
        <v>107.998083</v>
      </c>
      <c r="K15" s="9" t="inlineStr">
        <is>
          <t>Chưa đối chiếu</t>
        </is>
      </c>
      <c r="L15" s="10" t="n"/>
      <c r="M15" s="12" t="inlineStr">
        <is>
          <t>Bản đồ</t>
        </is>
      </c>
      <c r="N15" s="13" t="n"/>
      <c r="O15" s="14" t="n"/>
      <c r="P15" s="14" t="n"/>
      <c r="Q15" s="13" t="n"/>
      <c r="R15" s="15" t="n"/>
      <c r="S15" s="13" t="n"/>
      <c r="T15" s="13" t="n"/>
      <c r="U15" s="16">
        <f>IF(AND(ISNUMBER(O15),ISNUMBER(P15)),ROUND(SQRT(((P15-J15)*111320*COS(RADIANS(I15)))^2+((O15-I15)*110540)^2),0),"")</f>
        <v/>
      </c>
      <c r="V15" s="17">
        <f>IF(N15="","",IF(N15="Sửa vị trí",IF(OR(O15="",P15=""),"Thiếu vĩ độ / kinh độ mới",IF(OR(O15&lt;12.5,O15&gt;15,P15&lt;107,P15&gt;109.6),"Toạ độ ngoài Gia Lai (đảo vĩ/kinh độ?)",IF(Q15="","Chọn cách xác định",IF(U15&gt;20000,"Dời hơn 20 km – kiểm tra lại","OK")))),IF(AND(N15&lt;&gt;"Sửa vị trí",OR(O15&lt;&gt;"",P15&lt;&gt;"")),"Có toạ độ mới nhưng kết quả không phải Sửa vị trí","OK")))</f>
        <v/>
      </c>
    </row>
    <row r="16">
      <c r="A16" s="9" t="n">
        <v>12</v>
      </c>
      <c r="B16" s="9" t="inlineStr">
        <is>
          <t>533f2cc2-6337-4540-b666-c1c4a79e63c2</t>
        </is>
      </c>
      <c r="C16" s="9" t="inlineStr">
        <is>
          <t>Cao</t>
        </is>
      </c>
      <c r="D16" s="10" t="inlineStr">
        <is>
          <t>Chợ Biển Hồ</t>
        </is>
      </c>
      <c r="E16" s="9" t="inlineStr">
        <is>
          <t>Chợ</t>
        </is>
      </c>
      <c r="F16" s="9" t="inlineStr">
        <is>
          <t>Dữ liệu gialai-travel</t>
        </is>
      </c>
      <c r="G16" s="10" t="inlineStr">
        <is>
          <t>22P6+CV8, Biển Hồ, Gia Lai 600000, Việt Nam</t>
        </is>
      </c>
      <c r="H16" s="9" t="inlineStr">
        <is>
          <t>Xã Biển Hồ</t>
        </is>
      </c>
      <c r="I16" s="11" t="n">
        <v>14.036034</v>
      </c>
      <c r="J16" s="11" t="n">
        <v>108.012214</v>
      </c>
      <c r="K16" s="9" t="inlineStr">
        <is>
          <t>Chưa đối chiếu</t>
        </is>
      </c>
      <c r="L16" s="10" t="n"/>
      <c r="M16" s="12" t="inlineStr">
        <is>
          <t>Bản đồ</t>
        </is>
      </c>
      <c r="N16" s="13" t="n"/>
      <c r="O16" s="14" t="n"/>
      <c r="P16" s="14" t="n"/>
      <c r="Q16" s="13" t="n"/>
      <c r="R16" s="15" t="n"/>
      <c r="S16" s="13" t="n"/>
      <c r="T16" s="13" t="n"/>
      <c r="U16" s="16">
        <f>IF(AND(ISNUMBER(O16),ISNUMBER(P16)),ROUND(SQRT(((P16-J16)*111320*COS(RADIANS(I16)))^2+((O16-I16)*110540)^2),0),"")</f>
        <v/>
      </c>
      <c r="V16" s="17">
        <f>IF(N16="","",IF(N16="Sửa vị trí",IF(OR(O16="",P16=""),"Thiếu vĩ độ / kinh độ mới",IF(OR(O16&lt;12.5,O16&gt;15,P16&lt;107,P16&gt;109.6),"Toạ độ ngoài Gia Lai (đảo vĩ/kinh độ?)",IF(Q16="","Chọn cách xác định",IF(U16&gt;20000,"Dời hơn 20 km – kiểm tra lại","OK")))),IF(AND(N16&lt;&gt;"Sửa vị trí",OR(O16&lt;&gt;"",P16&lt;&gt;"")),"Có toạ độ mới nhưng kết quả không phải Sửa vị trí","OK")))</f>
        <v/>
      </c>
    </row>
    <row r="17">
      <c r="A17" s="9" t="n">
        <v>13</v>
      </c>
      <c r="B17" s="9" t="inlineStr">
        <is>
          <t>cb463d29-d289-4fa0-bc30-cd199db499d3</t>
        </is>
      </c>
      <c r="C17" s="9" t="inlineStr">
        <is>
          <t>Cao</t>
        </is>
      </c>
      <c r="D17" s="10" t="inlineStr">
        <is>
          <t>Chợ Chư Prông</t>
        </is>
      </c>
      <c r="E17" s="9" t="inlineStr">
        <is>
          <t>Chợ</t>
        </is>
      </c>
      <c r="F17" s="9" t="inlineStr">
        <is>
          <t>Dữ liệu gialai-travel</t>
        </is>
      </c>
      <c r="G17" s="10" t="inlineStr">
        <is>
          <t>28 Nguyễn Du, Chư Prông, Gia Lai, Việt Nam</t>
        </is>
      </c>
      <c r="H17" s="9" t="inlineStr">
        <is>
          <t>Xã Chư Prông</t>
        </is>
      </c>
      <c r="I17" s="11" t="n">
        <v>13.756587</v>
      </c>
      <c r="J17" s="11" t="n">
        <v>107.889618</v>
      </c>
      <c r="K17" s="9" t="inlineStr">
        <is>
          <t>Chưa đối chiếu</t>
        </is>
      </c>
      <c r="L17" s="10" t="n"/>
      <c r="M17" s="12" t="inlineStr">
        <is>
          <t>Bản đồ</t>
        </is>
      </c>
      <c r="N17" s="13" t="n"/>
      <c r="O17" s="14" t="n"/>
      <c r="P17" s="14" t="n"/>
      <c r="Q17" s="13" t="n"/>
      <c r="R17" s="15" t="n"/>
      <c r="S17" s="13" t="n"/>
      <c r="T17" s="13" t="n"/>
      <c r="U17" s="16">
        <f>IF(AND(ISNUMBER(O17),ISNUMBER(P17)),ROUND(SQRT(((P17-J17)*111320*COS(RADIANS(I17)))^2+((O17-I17)*110540)^2),0),"")</f>
        <v/>
      </c>
      <c r="V17" s="17">
        <f>IF(N17="","",IF(N17="Sửa vị trí",IF(OR(O17="",P17=""),"Thiếu vĩ độ / kinh độ mới",IF(OR(O17&lt;12.5,O17&gt;15,P17&lt;107,P17&gt;109.6),"Toạ độ ngoài Gia Lai (đảo vĩ/kinh độ?)",IF(Q17="","Chọn cách xác định",IF(U17&gt;20000,"Dời hơn 20 km – kiểm tra lại","OK")))),IF(AND(N17&lt;&gt;"Sửa vị trí",OR(O17&lt;&gt;"",P17&lt;&gt;"")),"Có toạ độ mới nhưng kết quả không phải Sửa vị trí","OK")))</f>
        <v/>
      </c>
    </row>
    <row r="18">
      <c r="A18" s="9" t="n">
        <v>14</v>
      </c>
      <c r="B18" s="9" t="inlineStr">
        <is>
          <t>c944eb78-4682-4cad-9d3d-e495355e3f01</t>
        </is>
      </c>
      <c r="C18" s="9" t="inlineStr">
        <is>
          <t>Cao</t>
        </is>
      </c>
      <c r="D18" s="10" t="inlineStr">
        <is>
          <t>Chợ Yaly</t>
        </is>
      </c>
      <c r="E18" s="9" t="inlineStr">
        <is>
          <t>Chợ</t>
        </is>
      </c>
      <c r="F18" s="9" t="inlineStr">
        <is>
          <t>Dữ liệu gialai-travel</t>
        </is>
      </c>
      <c r="G18" s="10" t="inlineStr">
        <is>
          <t>6R4P+PCX, Phạm Văn Đồng, Ia Ly, Gia Lai, Việt Nam</t>
        </is>
      </c>
      <c r="H18" s="9" t="inlineStr">
        <is>
          <t>Xã Ia Ly</t>
        </is>
      </c>
      <c r="I18" s="11" t="n">
        <v>14.20687</v>
      </c>
      <c r="J18" s="11" t="n">
        <v>107.8361</v>
      </c>
      <c r="K18" s="9" t="inlineStr">
        <is>
          <t>Chưa đối chiếu</t>
        </is>
      </c>
      <c r="L18" s="10" t="n"/>
      <c r="M18" s="12" t="inlineStr">
        <is>
          <t>Bản đồ</t>
        </is>
      </c>
      <c r="N18" s="13" t="n"/>
      <c r="O18" s="14" t="n"/>
      <c r="P18" s="14" t="n"/>
      <c r="Q18" s="13" t="n"/>
      <c r="R18" s="15" t="n"/>
      <c r="S18" s="13" t="n"/>
      <c r="T18" s="13" t="n"/>
      <c r="U18" s="16">
        <f>IF(AND(ISNUMBER(O18),ISNUMBER(P18)),ROUND(SQRT(((P18-J18)*111320*COS(RADIANS(I18)))^2+((O18-I18)*110540)^2),0),"")</f>
        <v/>
      </c>
      <c r="V18" s="17">
        <f>IF(N18="","",IF(N18="Sửa vị trí",IF(OR(O18="",P18=""),"Thiếu vĩ độ / kinh độ mới",IF(OR(O18&lt;12.5,O18&gt;15,P18&lt;107,P18&gt;109.6),"Toạ độ ngoài Gia Lai (đảo vĩ/kinh độ?)",IF(Q18="","Chọn cách xác định",IF(U18&gt;20000,"Dời hơn 20 km – kiểm tra lại","OK")))),IF(AND(N18&lt;&gt;"Sửa vị trí",OR(O18&lt;&gt;"",P18&lt;&gt;"")),"Có toạ độ mới nhưng kết quả không phải Sửa vị trí","OK")))</f>
        <v/>
      </c>
    </row>
    <row r="19">
      <c r="A19" s="9" t="n">
        <v>15</v>
      </c>
      <c r="B19" s="9" t="inlineStr">
        <is>
          <t>2513444e-e139-4f64-a42f-d8dd81d32c46</t>
        </is>
      </c>
      <c r="C19" s="9" t="inlineStr">
        <is>
          <t>Cao</t>
        </is>
      </c>
      <c r="D19" s="10" t="inlineStr">
        <is>
          <t>Chợ Ia Nhin</t>
        </is>
      </c>
      <c r="E19" s="9" t="inlineStr">
        <is>
          <t>Chợ</t>
        </is>
      </c>
      <c r="F19" s="9" t="inlineStr">
        <is>
          <t>Dữ liệu gialai-travel</t>
        </is>
      </c>
      <c r="G19" s="10" t="inlineStr">
        <is>
          <t>4VQQ+2R3, Ia Phí, Gia Lai, Việt Nam</t>
        </is>
      </c>
      <c r="H19" s="9" t="inlineStr">
        <is>
          <t>Xã Ia Phí</t>
        </is>
      </c>
      <c r="I19" s="11" t="n">
        <v>14.137262</v>
      </c>
      <c r="J19" s="11" t="n">
        <v>107.889667</v>
      </c>
      <c r="K19" s="9" t="inlineStr">
        <is>
          <t>Chưa đối chiếu</t>
        </is>
      </c>
      <c r="L19" s="10" t="n"/>
      <c r="M19" s="12" t="inlineStr">
        <is>
          <t>Bản đồ</t>
        </is>
      </c>
      <c r="N19" s="13" t="n"/>
      <c r="O19" s="14" t="n"/>
      <c r="P19" s="14" t="n"/>
      <c r="Q19" s="13" t="n"/>
      <c r="R19" s="15" t="n"/>
      <c r="S19" s="13" t="n"/>
      <c r="T19" s="13" t="n"/>
      <c r="U19" s="16">
        <f>IF(AND(ISNUMBER(O19),ISNUMBER(P19)),ROUND(SQRT(((P19-J19)*111320*COS(RADIANS(I19)))^2+((O19-I19)*110540)^2),0),"")</f>
        <v/>
      </c>
      <c r="V19" s="17">
        <f>IF(N19="","",IF(N19="Sửa vị trí",IF(OR(O19="",P19=""),"Thiếu vĩ độ / kinh độ mới",IF(OR(O19&lt;12.5,O19&gt;15,P19&lt;107,P19&gt;109.6),"Toạ độ ngoài Gia Lai (đảo vĩ/kinh độ?)",IF(Q19="","Chọn cách xác định",IF(U19&gt;20000,"Dời hơn 20 km – kiểm tra lại","OK")))),IF(AND(N19&lt;&gt;"Sửa vị trí",OR(O19&lt;&gt;"",P19&lt;&gt;"")),"Có toạ độ mới nhưng kết quả không phải Sửa vị trí","OK")))</f>
        <v/>
      </c>
    </row>
    <row r="20">
      <c r="A20" s="9" t="n">
        <v>16</v>
      </c>
      <c r="B20" s="9" t="inlineStr">
        <is>
          <t>39f4f36f-a81d-43eb-86d0-8242a3b77901</t>
        </is>
      </c>
      <c r="C20" s="9" t="inlineStr">
        <is>
          <t>Cao</t>
        </is>
      </c>
      <c r="D20" s="10" t="inlineStr">
        <is>
          <t>Chợ Kbang</t>
        </is>
      </c>
      <c r="E20" s="9" t="inlineStr">
        <is>
          <t>Chợ</t>
        </is>
      </c>
      <c r="F20" s="9" t="inlineStr">
        <is>
          <t>Dữ liệu gialai-travel</t>
        </is>
      </c>
      <c r="G20" s="10" t="inlineStr">
        <is>
          <t>4HRX+R28, Kbang, Gia Lai, Việt Nam</t>
        </is>
      </c>
      <c r="H20" s="9" t="inlineStr">
        <is>
          <t>Xã Kbang</t>
        </is>
      </c>
      <c r="I20" s="11" t="n">
        <v>14.14204</v>
      </c>
      <c r="J20" s="11" t="n">
        <v>108.59758</v>
      </c>
      <c r="K20" s="9" t="inlineStr">
        <is>
          <t>Chưa đối chiếu</t>
        </is>
      </c>
      <c r="L20" s="10" t="n"/>
      <c r="M20" s="12" t="inlineStr">
        <is>
          <t>Bản đồ</t>
        </is>
      </c>
      <c r="N20" s="13" t="n"/>
      <c r="O20" s="14" t="n"/>
      <c r="P20" s="14" t="n"/>
      <c r="Q20" s="13" t="n"/>
      <c r="R20" s="15" t="n"/>
      <c r="S20" s="13" t="n"/>
      <c r="T20" s="13" t="n"/>
      <c r="U20" s="16">
        <f>IF(AND(ISNUMBER(O20),ISNUMBER(P20)),ROUND(SQRT(((P20-J20)*111320*COS(RADIANS(I20)))^2+((O20-I20)*110540)^2),0),"")</f>
        <v/>
      </c>
      <c r="V20" s="17">
        <f>IF(N20="","",IF(N20="Sửa vị trí",IF(OR(O20="",P20=""),"Thiếu vĩ độ / kinh độ mới",IF(OR(O20&lt;12.5,O20&gt;15,P20&lt;107,P20&gt;109.6),"Toạ độ ngoài Gia Lai (đảo vĩ/kinh độ?)",IF(Q20="","Chọn cách xác định",IF(U20&gt;20000,"Dời hơn 20 km – kiểm tra lại","OK")))),IF(AND(N20&lt;&gt;"Sửa vị trí",OR(O20&lt;&gt;"",P20&lt;&gt;"")),"Có toạ độ mới nhưng kết quả không phải Sửa vị trí","OK")))</f>
        <v/>
      </c>
    </row>
    <row r="21">
      <c r="A21" s="9" t="n">
        <v>17</v>
      </c>
      <c r="B21" s="9" t="inlineStr">
        <is>
          <t>e196bf2f-bdb3-49b1-a5e5-1dbeb209e555</t>
        </is>
      </c>
      <c r="C21" s="9" t="inlineStr">
        <is>
          <t>Cao</t>
        </is>
      </c>
      <c r="D21" s="10" t="inlineStr">
        <is>
          <t>Chợ Kông Chro</t>
        </is>
      </c>
      <c r="E21" s="9" t="inlineStr">
        <is>
          <t>Chợ</t>
        </is>
      </c>
      <c r="F21" s="9" t="inlineStr">
        <is>
          <t>Dữ liệu gialai-travel</t>
        </is>
      </c>
      <c r="G21" s="10" t="inlineStr">
        <is>
          <t>QGGF+XJ6, Kông Chro, Gia Lai, Việt Nam</t>
        </is>
      </c>
      <c r="H21" s="9" t="inlineStr">
        <is>
          <t>Xã Kông Chro</t>
        </is>
      </c>
      <c r="I21" s="11" t="n">
        <v>13.777405</v>
      </c>
      <c r="J21" s="11" t="n">
        <v>108.524011</v>
      </c>
      <c r="K21" s="9" t="inlineStr">
        <is>
          <t>Chưa đối chiếu</t>
        </is>
      </c>
      <c r="L21" s="10" t="n"/>
      <c r="M21" s="12" t="inlineStr">
        <is>
          <t>Bản đồ</t>
        </is>
      </c>
      <c r="N21" s="13" t="n"/>
      <c r="O21" s="14" t="n"/>
      <c r="P21" s="14" t="n"/>
      <c r="Q21" s="13" t="n"/>
      <c r="R21" s="15" t="n"/>
      <c r="S21" s="13" t="n"/>
      <c r="T21" s="13" t="n"/>
      <c r="U21" s="16">
        <f>IF(AND(ISNUMBER(O21),ISNUMBER(P21)),ROUND(SQRT(((P21-J21)*111320*COS(RADIANS(I21)))^2+((O21-I21)*110540)^2),0),"")</f>
        <v/>
      </c>
      <c r="V21" s="17">
        <f>IF(N21="","",IF(N21="Sửa vị trí",IF(OR(O21="",P21=""),"Thiếu vĩ độ / kinh độ mới",IF(OR(O21&lt;12.5,O21&gt;15,P21&lt;107,P21&gt;109.6),"Toạ độ ngoài Gia Lai (đảo vĩ/kinh độ?)",IF(Q21="","Chọn cách xác định",IF(U21&gt;20000,"Dời hơn 20 km – kiểm tra lại","OK")))),IF(AND(N21&lt;&gt;"Sửa vị trí",OR(O21&lt;&gt;"",P21&lt;&gt;"")),"Có toạ độ mới nhưng kết quả không phải Sửa vị trí","OK")))</f>
        <v/>
      </c>
    </row>
    <row r="22">
      <c r="A22" s="9" t="n">
        <v>18</v>
      </c>
      <c r="B22" s="9" t="inlineStr">
        <is>
          <t>bcb9373c-4431-42f3-bc9b-1a232653a56c</t>
        </is>
      </c>
      <c r="C22" s="9" t="inlineStr">
        <is>
          <t>Cao</t>
        </is>
      </c>
      <c r="D22" s="10" t="inlineStr">
        <is>
          <t>Hồ Từ Lệnh</t>
        </is>
      </c>
      <c r="E22" s="9" t="inlineStr">
        <is>
          <t>Danh lam thắng cảnh</t>
        </is>
      </c>
      <c r="F22" s="9" t="inlineStr">
        <is>
          <t>Dữ liệu gialai-travel</t>
        </is>
      </c>
      <c r="G22" s="10" t="inlineStr">
        <is>
          <t>Đường Từ Lệnh, Tp. Pleiku, Gia Lai</t>
        </is>
      </c>
      <c r="H22" s="9" t="inlineStr">
        <is>
          <t>Phường Pleiku</t>
        </is>
      </c>
      <c r="I22" s="11" t="n">
        <v>13.9809</v>
      </c>
      <c r="J22" s="11" t="n">
        <v>108.0215</v>
      </c>
      <c r="K22" s="9" t="inlineStr">
        <is>
          <t>Chưa đối chiếu</t>
        </is>
      </c>
      <c r="L22" s="10" t="n"/>
      <c r="M22" s="12" t="inlineStr">
        <is>
          <t>Bản đồ</t>
        </is>
      </c>
      <c r="N22" s="13" t="n"/>
      <c r="O22" s="14" t="n"/>
      <c r="P22" s="14" t="n"/>
      <c r="Q22" s="13" t="n"/>
      <c r="R22" s="15" t="n"/>
      <c r="S22" s="13" t="n"/>
      <c r="T22" s="13" t="n"/>
      <c r="U22" s="16">
        <f>IF(AND(ISNUMBER(O22),ISNUMBER(P22)),ROUND(SQRT(((P22-J22)*111320*COS(RADIANS(I22)))^2+((O22-I22)*110540)^2),0),"")</f>
        <v/>
      </c>
      <c r="V22" s="17">
        <f>IF(N22="","",IF(N22="Sửa vị trí",IF(OR(O22="",P22=""),"Thiếu vĩ độ / kinh độ mới",IF(OR(O22&lt;12.5,O22&gt;15,P22&lt;107,P22&gt;109.6),"Toạ độ ngoài Gia Lai (đảo vĩ/kinh độ?)",IF(Q22="","Chọn cách xác định",IF(U22&gt;20000,"Dời hơn 20 km – kiểm tra lại","OK")))),IF(AND(N22&lt;&gt;"Sửa vị trí",OR(O22&lt;&gt;"",P22&lt;&gt;"")),"Có toạ độ mới nhưng kết quả không phải Sửa vị trí","OK")))</f>
        <v/>
      </c>
    </row>
    <row r="23">
      <c r="A23" s="9" t="n">
        <v>19</v>
      </c>
      <c r="B23" s="9" t="inlineStr">
        <is>
          <t>9e96630f-5d4a-43f8-947e-9f4f6a4dff7c</t>
        </is>
      </c>
      <c r="C23" s="9" t="inlineStr">
        <is>
          <t>Cao</t>
        </is>
      </c>
      <c r="D23" s="10" t="inlineStr">
        <is>
          <t>Núi Lửa Chư Pah</t>
        </is>
      </c>
      <c r="E23" s="9" t="inlineStr">
        <is>
          <t>Danh lam thắng cảnh</t>
        </is>
      </c>
      <c r="F23" s="9" t="inlineStr">
        <is>
          <t>Dữ liệu gialai-travel</t>
        </is>
      </c>
      <c r="G23" s="10" t="inlineStr">
        <is>
          <t>Phường Pleiku, Gia Lai</t>
        </is>
      </c>
      <c r="H23" s="9" t="inlineStr">
        <is>
          <t>Phường Pleiku</t>
        </is>
      </c>
      <c r="I23" s="11" t="n">
        <v>13.972151</v>
      </c>
      <c r="J23" s="11" t="n">
        <v>108.022385</v>
      </c>
      <c r="K23" s="9" t="inlineStr">
        <is>
          <t>Chưa đối chiếu</t>
        </is>
      </c>
      <c r="L23" s="10" t="n"/>
      <c r="M23" s="12" t="inlineStr">
        <is>
          <t>Bản đồ</t>
        </is>
      </c>
      <c r="N23" s="13" t="n"/>
      <c r="O23" s="14" t="n"/>
      <c r="P23" s="14" t="n"/>
      <c r="Q23" s="13" t="n"/>
      <c r="R23" s="15" t="n"/>
      <c r="S23" s="13" t="n"/>
      <c r="T23" s="13" t="n"/>
      <c r="U23" s="16">
        <f>IF(AND(ISNUMBER(O23),ISNUMBER(P23)),ROUND(SQRT(((P23-J23)*111320*COS(RADIANS(I23)))^2+((O23-I23)*110540)^2),0),"")</f>
        <v/>
      </c>
      <c r="V23" s="17">
        <f>IF(N23="","",IF(N23="Sửa vị trí",IF(OR(O23="",P23=""),"Thiếu vĩ độ / kinh độ mới",IF(OR(O23&lt;12.5,O23&gt;15,P23&lt;107,P23&gt;109.6),"Toạ độ ngoài Gia Lai (đảo vĩ/kinh độ?)",IF(Q23="","Chọn cách xác định",IF(U23&gt;20000,"Dời hơn 20 km – kiểm tra lại","OK")))),IF(AND(N23&lt;&gt;"Sửa vị trí",OR(O23&lt;&gt;"",P23&lt;&gt;"")),"Có toạ độ mới nhưng kết quả không phải Sửa vị trí","OK")))</f>
        <v/>
      </c>
    </row>
    <row r="24">
      <c r="A24" s="9" t="n">
        <v>20</v>
      </c>
      <c r="B24" s="9" t="inlineStr">
        <is>
          <t>f3ea9782-b004-4976-8a00-d3b24cef6831</t>
        </is>
      </c>
      <c r="C24" s="9" t="inlineStr">
        <is>
          <t>Cao</t>
        </is>
      </c>
      <c r="D24" s="10" t="inlineStr">
        <is>
          <t>Biển Hồ T'Nưng</t>
        </is>
      </c>
      <c r="E24" s="9" t="inlineStr">
        <is>
          <t>Danh lam thắng cảnh</t>
        </is>
      </c>
      <c r="F24" s="9" t="inlineStr">
        <is>
          <t>Dữ liệu gialai-travel</t>
        </is>
      </c>
      <c r="G24" s="10" t="inlineStr">
        <is>
          <t>Xã Biển Hồ, thành phố Pleiku, tỉnh Gia Lai.</t>
        </is>
      </c>
      <c r="H24" s="9" t="inlineStr">
        <is>
          <t>Xã Biển Hồ</t>
        </is>
      </c>
      <c r="I24" s="11" t="n">
        <v>14.034813</v>
      </c>
      <c r="J24" s="11" t="n">
        <v>107.996807</v>
      </c>
      <c r="K24" s="9" t="inlineStr">
        <is>
          <t>Chưa đối chiếu</t>
        </is>
      </c>
      <c r="L24" s="10" t="n"/>
      <c r="M24" s="12" t="inlineStr">
        <is>
          <t>Bản đồ</t>
        </is>
      </c>
      <c r="N24" s="13" t="n"/>
      <c r="O24" s="14" t="n"/>
      <c r="P24" s="14" t="n"/>
      <c r="Q24" s="13" t="n"/>
      <c r="R24" s="15" t="n"/>
      <c r="S24" s="13" t="n"/>
      <c r="T24" s="13" t="n"/>
      <c r="U24" s="16">
        <f>IF(AND(ISNUMBER(O24),ISNUMBER(P24)),ROUND(SQRT(((P24-J24)*111320*COS(RADIANS(I24)))^2+((O24-I24)*110540)^2),0),"")</f>
        <v/>
      </c>
      <c r="V24" s="17">
        <f>IF(N24="","",IF(N24="Sửa vị trí",IF(OR(O24="",P24=""),"Thiếu vĩ độ / kinh độ mới",IF(OR(O24&lt;12.5,O24&gt;15,P24&lt;107,P24&gt;109.6),"Toạ độ ngoài Gia Lai (đảo vĩ/kinh độ?)",IF(Q24="","Chọn cách xác định",IF(U24&gt;20000,"Dời hơn 20 km – kiểm tra lại","OK")))),IF(AND(N24&lt;&gt;"Sửa vị trí",OR(O24&lt;&gt;"",P24&lt;&gt;"")),"Có toạ độ mới nhưng kết quả không phải Sửa vị trí","OK")))</f>
        <v/>
      </c>
    </row>
    <row r="25">
      <c r="A25" s="9" t="n">
        <v>21</v>
      </c>
      <c r="B25" s="9" t="inlineStr">
        <is>
          <t>585de781-f937-4290-946d-2f0e344aacea</t>
        </is>
      </c>
      <c r="C25" s="9" t="inlineStr">
        <is>
          <t>Cao</t>
        </is>
      </c>
      <c r="D25" s="10" t="inlineStr">
        <is>
          <t>Thác Bản Cạc</t>
        </is>
      </c>
      <c r="E25" s="9" t="inlineStr">
        <is>
          <t>Danh lam thắng cảnh</t>
        </is>
      </c>
      <c r="F25" s="9" t="inlineStr">
        <is>
          <t>Dữ liệu gialai-travel</t>
        </is>
      </c>
      <c r="G25" s="10" t="inlineStr">
        <is>
          <t>Thôn 5, xã Chư Sê, huyện Chư Sê, Gia Lai</t>
        </is>
      </c>
      <c r="H25" s="9" t="inlineStr">
        <is>
          <t>Xã Chư Sê</t>
        </is>
      </c>
      <c r="I25" s="11" t="n">
        <v>13.6852</v>
      </c>
      <c r="J25" s="11" t="n">
        <v>108.0813</v>
      </c>
      <c r="K25" s="9" t="inlineStr">
        <is>
          <t>Chưa đối chiếu</t>
        </is>
      </c>
      <c r="L25" s="10" t="n"/>
      <c r="M25" s="12" t="inlineStr">
        <is>
          <t>Bản đồ</t>
        </is>
      </c>
      <c r="N25" s="13" t="n"/>
      <c r="O25" s="14" t="n"/>
      <c r="P25" s="14" t="n"/>
      <c r="Q25" s="13" t="n"/>
      <c r="R25" s="15" t="n"/>
      <c r="S25" s="13" t="n"/>
      <c r="T25" s="13" t="n"/>
      <c r="U25" s="16">
        <f>IF(AND(ISNUMBER(O25),ISNUMBER(P25)),ROUND(SQRT(((P25-J25)*111320*COS(RADIANS(I25)))^2+((O25-I25)*110540)^2),0),"")</f>
        <v/>
      </c>
      <c r="V25" s="17">
        <f>IF(N25="","",IF(N25="Sửa vị trí",IF(OR(O25="",P25=""),"Thiếu vĩ độ / kinh độ mới",IF(OR(O25&lt;12.5,O25&gt;15,P25&lt;107,P25&gt;109.6),"Toạ độ ngoài Gia Lai (đảo vĩ/kinh độ?)",IF(Q25="","Chọn cách xác định",IF(U25&gt;20000,"Dời hơn 20 km – kiểm tra lại","OK")))),IF(AND(N25&lt;&gt;"Sửa vị trí",OR(O25&lt;&gt;"",P25&lt;&gt;"")),"Có toạ độ mới nhưng kết quả không phải Sửa vị trí","OK")))</f>
        <v/>
      </c>
    </row>
    <row r="26">
      <c r="A26" s="9" t="n">
        <v>22</v>
      </c>
      <c r="B26" s="9" t="inlineStr">
        <is>
          <t>2668b1cc-c1ac-4ff9-b01f-77b9daeab7c2</t>
        </is>
      </c>
      <c r="C26" s="9" t="inlineStr">
        <is>
          <t>Cao</t>
        </is>
      </c>
      <c r="D26" s="10" t="inlineStr">
        <is>
          <t>Hồ Ia Ly</t>
        </is>
      </c>
      <c r="E26" s="9" t="inlineStr">
        <is>
          <t>Danh lam thắng cảnh</t>
        </is>
      </c>
      <c r="F26" s="9" t="inlineStr">
        <is>
          <t>Dữ liệu gialai-travel</t>
        </is>
      </c>
      <c r="G26" s="10" t="inlineStr">
        <is>
          <t>Xã Ia Ly, huyện Chư Păh, Gia Lai</t>
        </is>
      </c>
      <c r="H26" s="9" t="inlineStr">
        <is>
          <t>Xã Ia Ly</t>
        </is>
      </c>
      <c r="I26" s="11" t="n">
        <v>14.1962</v>
      </c>
      <c r="J26" s="11" t="n">
        <v>107.8322</v>
      </c>
      <c r="K26" s="9" t="inlineStr">
        <is>
          <t>Chưa đối chiếu</t>
        </is>
      </c>
      <c r="L26" s="10" t="n"/>
      <c r="M26" s="12" t="inlineStr">
        <is>
          <t>Bản đồ</t>
        </is>
      </c>
      <c r="N26" s="13" t="n"/>
      <c r="O26" s="14" t="n"/>
      <c r="P26" s="14" t="n"/>
      <c r="Q26" s="13" t="n"/>
      <c r="R26" s="15" t="n"/>
      <c r="S26" s="13" t="n"/>
      <c r="T26" s="13" t="n"/>
      <c r="U26" s="16">
        <f>IF(AND(ISNUMBER(O26),ISNUMBER(P26)),ROUND(SQRT(((P26-J26)*111320*COS(RADIANS(I26)))^2+((O26-I26)*110540)^2),0),"")</f>
        <v/>
      </c>
      <c r="V26" s="17">
        <f>IF(N26="","",IF(N26="Sửa vị trí",IF(OR(O26="",P26=""),"Thiếu vĩ độ / kinh độ mới",IF(OR(O26&lt;12.5,O26&gt;15,P26&lt;107,P26&gt;109.6),"Toạ độ ngoài Gia Lai (đảo vĩ/kinh độ?)",IF(Q26="","Chọn cách xác định",IF(U26&gt;20000,"Dời hơn 20 km – kiểm tra lại","OK")))),IF(AND(N26&lt;&gt;"Sửa vị trí",OR(O26&lt;&gt;"",P26&lt;&gt;"")),"Có toạ độ mới nhưng kết quả không phải Sửa vị trí","OK")))</f>
        <v/>
      </c>
    </row>
    <row r="27">
      <c r="A27" s="9" t="n">
        <v>23</v>
      </c>
      <c r="B27" s="9" t="inlineStr">
        <is>
          <t>2c34b292-4034-4f9c-9068-e1db07bf280a</t>
        </is>
      </c>
      <c r="C27" s="9" t="inlineStr">
        <is>
          <t>Cao</t>
        </is>
      </c>
      <c r="D27" s="10" t="inlineStr">
        <is>
          <t>Thác Kông Rỗng</t>
        </is>
      </c>
      <c r="E27" s="9" t="inlineStr">
        <is>
          <t>Danh lam thắng cảnh</t>
        </is>
      </c>
      <c r="F27" s="9" t="inlineStr">
        <is>
          <t>Dữ liệu gialai-travel</t>
        </is>
      </c>
      <c r="G27" s="10" t="inlineStr">
        <is>
          <t>Xã Kbang, huyện Kbang, Gia Lai</t>
        </is>
      </c>
      <c r="H27" s="9" t="inlineStr">
        <is>
          <t>Xã Kbang</t>
        </is>
      </c>
      <c r="I27" s="11" t="n">
        <v>14.1908</v>
      </c>
      <c r="J27" s="11" t="n">
        <v>108.565</v>
      </c>
      <c r="K27" s="9" t="inlineStr">
        <is>
          <t>Chưa đối chiếu</t>
        </is>
      </c>
      <c r="L27" s="10" t="n"/>
      <c r="M27" s="12" t="inlineStr">
        <is>
          <t>Bản đồ</t>
        </is>
      </c>
      <c r="N27" s="13" t="n"/>
      <c r="O27" s="14" t="n"/>
      <c r="P27" s="14" t="n"/>
      <c r="Q27" s="13" t="n"/>
      <c r="R27" s="15" t="n"/>
      <c r="S27" s="13" t="n"/>
      <c r="T27" s="13" t="n"/>
      <c r="U27" s="16">
        <f>IF(AND(ISNUMBER(O27),ISNUMBER(P27)),ROUND(SQRT(((P27-J27)*111320*COS(RADIANS(I27)))^2+((O27-I27)*110540)^2),0),"")</f>
        <v/>
      </c>
      <c r="V27" s="17">
        <f>IF(N27="","",IF(N27="Sửa vị trí",IF(OR(O27="",P27=""),"Thiếu vĩ độ / kinh độ mới",IF(OR(O27&lt;12.5,O27&gt;15,P27&lt;107,P27&gt;109.6),"Toạ độ ngoài Gia Lai (đảo vĩ/kinh độ?)",IF(Q27="","Chọn cách xác định",IF(U27&gt;20000,"Dời hơn 20 km – kiểm tra lại","OK")))),IF(AND(N27&lt;&gt;"Sửa vị trí",OR(O27&lt;&gt;"",P27&lt;&gt;"")),"Có toạ độ mới nhưng kết quả không phải Sửa vị trí","OK")))</f>
        <v/>
      </c>
    </row>
    <row r="28">
      <c r="A28" s="9" t="n">
        <v>24</v>
      </c>
      <c r="B28" s="9" t="inlineStr">
        <is>
          <t>c6c46286-0ca9-41f9-86e2-410c49058582</t>
        </is>
      </c>
      <c r="C28" s="9" t="inlineStr">
        <is>
          <t>Cao</t>
        </is>
      </c>
      <c r="D28" s="10" t="inlineStr">
        <is>
          <t>The Stay Home</t>
        </is>
      </c>
      <c r="E28" s="9" t="inlineStr">
        <is>
          <t>Homestay</t>
        </is>
      </c>
      <c r="F28" s="9" t="inlineStr">
        <is>
          <t>Dữ liệu gialai-travel</t>
        </is>
      </c>
      <c r="G28" s="10" t="inlineStr">
        <is>
          <t>10 Hoàng Văn Thái, Pleiku, Gia Lai 600000, Việt Nam</t>
        </is>
      </c>
      <c r="H28" s="9" t="inlineStr">
        <is>
          <t>Phường Pleiku</t>
        </is>
      </c>
      <c r="I28" s="11" t="n">
        <v>13.985172</v>
      </c>
      <c r="J28" s="11" t="n">
        <v>108.018771</v>
      </c>
      <c r="K28" s="9" t="inlineStr">
        <is>
          <t>Chưa đối chiếu</t>
        </is>
      </c>
      <c r="L28" s="10" t="n"/>
      <c r="M28" s="12" t="inlineStr">
        <is>
          <t>Bản đồ</t>
        </is>
      </c>
      <c r="N28" s="13" t="n"/>
      <c r="O28" s="14" t="n"/>
      <c r="P28" s="14" t="n"/>
      <c r="Q28" s="13" t="n"/>
      <c r="R28" s="15" t="n"/>
      <c r="S28" s="13" t="n"/>
      <c r="T28" s="13" t="n"/>
      <c r="U28" s="16">
        <f>IF(AND(ISNUMBER(O28),ISNUMBER(P28)),ROUND(SQRT(((P28-J28)*111320*COS(RADIANS(I28)))^2+((O28-I28)*110540)^2),0),"")</f>
        <v/>
      </c>
      <c r="V28" s="17">
        <f>IF(N28="","",IF(N28="Sửa vị trí",IF(OR(O28="",P28=""),"Thiếu vĩ độ / kinh độ mới",IF(OR(O28&lt;12.5,O28&gt;15,P28&lt;107,P28&gt;109.6),"Toạ độ ngoài Gia Lai (đảo vĩ/kinh độ?)",IF(Q28="","Chọn cách xác định",IF(U28&gt;20000,"Dời hơn 20 km – kiểm tra lại","OK")))),IF(AND(N28&lt;&gt;"Sửa vị trí",OR(O28&lt;&gt;"",P28&lt;&gt;"")),"Có toạ độ mới nhưng kết quả không phải Sửa vị trí","OK")))</f>
        <v/>
      </c>
    </row>
    <row r="29">
      <c r="A29" s="9" t="n">
        <v>25</v>
      </c>
      <c r="B29" s="9" t="inlineStr">
        <is>
          <t>d0577037-1043-4697-b551-2ad56e8d532a</t>
        </is>
      </c>
      <c r="C29" s="9" t="inlineStr">
        <is>
          <t>Cao</t>
        </is>
      </c>
      <c r="D29" s="10" t="inlineStr">
        <is>
          <t>Anna's Homestay</t>
        </is>
      </c>
      <c r="E29" s="9" t="inlineStr">
        <is>
          <t>Homestay</t>
        </is>
      </c>
      <c r="F29" s="9" t="inlineStr">
        <is>
          <t>Dữ liệu gialai-travel</t>
        </is>
      </c>
      <c r="G29" s="10" t="inlineStr">
        <is>
          <t>Hẻm 441 Lý Thái Tổ, Ia Hrung, Gia Lai 600000, Việt Nam</t>
        </is>
      </c>
      <c r="H29" s="9" t="inlineStr">
        <is>
          <t>Xã Ia Hrung</t>
        </is>
      </c>
      <c r="I29" s="11" t="n">
        <v>13.996012</v>
      </c>
      <c r="J29" s="11" t="n">
        <v>107.986538</v>
      </c>
      <c r="K29" s="9" t="inlineStr">
        <is>
          <t>Chưa đối chiếu</t>
        </is>
      </c>
      <c r="L29" s="10" t="n"/>
      <c r="M29" s="12" t="inlineStr">
        <is>
          <t>Bản đồ</t>
        </is>
      </c>
      <c r="N29" s="13" t="n"/>
      <c r="O29" s="14" t="n"/>
      <c r="P29" s="14" t="n"/>
      <c r="Q29" s="13" t="n"/>
      <c r="R29" s="15" t="n"/>
      <c r="S29" s="13" t="n"/>
      <c r="T29" s="13" t="n"/>
      <c r="U29" s="16">
        <f>IF(AND(ISNUMBER(O29),ISNUMBER(P29)),ROUND(SQRT(((P29-J29)*111320*COS(RADIANS(I29)))^2+((O29-I29)*110540)^2),0),"")</f>
        <v/>
      </c>
      <c r="V29" s="17">
        <f>IF(N29="","",IF(N29="Sửa vị trí",IF(OR(O29="",P29=""),"Thiếu vĩ độ / kinh độ mới",IF(OR(O29&lt;12.5,O29&gt;15,P29&lt;107,P29&gt;109.6),"Toạ độ ngoài Gia Lai (đảo vĩ/kinh độ?)",IF(Q29="","Chọn cách xác định",IF(U29&gt;20000,"Dời hơn 20 km – kiểm tra lại","OK")))),IF(AND(N29&lt;&gt;"Sửa vị trí",OR(O29&lt;&gt;"",P29&lt;&gt;"")),"Có toạ độ mới nhưng kết quả không phải Sửa vị trí","OK")))</f>
        <v/>
      </c>
    </row>
    <row r="30">
      <c r="A30" s="9" t="n">
        <v>26</v>
      </c>
      <c r="B30" s="9" t="inlineStr">
        <is>
          <t>a765c2ac-7bd6-4cfa-8656-64dffb30ec1e</t>
        </is>
      </c>
      <c r="C30" s="9" t="inlineStr">
        <is>
          <t>Cao</t>
        </is>
      </c>
      <c r="D30" s="10" t="inlineStr">
        <is>
          <t>KHÁCH SẠN THÀNH LUÂN</t>
        </is>
      </c>
      <c r="E30" s="9" t="inlineStr">
        <is>
          <t>Khách sạn</t>
        </is>
      </c>
      <c r="F30" s="9" t="inlineStr">
        <is>
          <t>Dữ liệu gialai-travel</t>
        </is>
      </c>
      <c r="G30" s="10" t="inlineStr">
        <is>
          <t>260 Ngô Mây, An Khê, Gia Lai, Việt Nam</t>
        </is>
      </c>
      <c r="H30" s="9" t="inlineStr">
        <is>
          <t>Phường An Khê</t>
        </is>
      </c>
      <c r="I30" s="11" t="n">
        <v>13.972776</v>
      </c>
      <c r="J30" s="11" t="n">
        <v>108.674779</v>
      </c>
      <c r="K30" s="9" t="inlineStr">
        <is>
          <t>Chưa đối chiếu</t>
        </is>
      </c>
      <c r="L30" s="10" t="n"/>
      <c r="M30" s="12" t="inlineStr">
        <is>
          <t>Bản đồ</t>
        </is>
      </c>
      <c r="N30" s="13" t="n"/>
      <c r="O30" s="14" t="n"/>
      <c r="P30" s="14" t="n"/>
      <c r="Q30" s="13" t="n"/>
      <c r="R30" s="15" t="n"/>
      <c r="S30" s="13" t="n"/>
      <c r="T30" s="13" t="n"/>
      <c r="U30" s="16">
        <f>IF(AND(ISNUMBER(O30),ISNUMBER(P30)),ROUND(SQRT(((P30-J30)*111320*COS(RADIANS(I30)))^2+((O30-I30)*110540)^2),0),"")</f>
        <v/>
      </c>
      <c r="V30" s="17">
        <f>IF(N30="","",IF(N30="Sửa vị trí",IF(OR(O30="",P30=""),"Thiếu vĩ độ / kinh độ mới",IF(OR(O30&lt;12.5,O30&gt;15,P30&lt;107,P30&gt;109.6),"Toạ độ ngoài Gia Lai (đảo vĩ/kinh độ?)",IF(Q30="","Chọn cách xác định",IF(U30&gt;20000,"Dời hơn 20 km – kiểm tra lại","OK")))),IF(AND(N30&lt;&gt;"Sửa vị trí",OR(O30&lt;&gt;"",P30&lt;&gt;"")),"Có toạ độ mới nhưng kết quả không phải Sửa vị trí","OK")))</f>
        <v/>
      </c>
    </row>
    <row r="31">
      <c r="A31" s="9" t="n">
        <v>27</v>
      </c>
      <c r="B31" s="9" t="inlineStr">
        <is>
          <t>4d0214c3-2d14-4c58-9590-6d73641c511d</t>
        </is>
      </c>
      <c r="C31" s="9" t="inlineStr">
        <is>
          <t>Cao</t>
        </is>
      </c>
      <c r="D31" s="10" t="inlineStr">
        <is>
          <t>Khách Sạn 555</t>
        </is>
      </c>
      <c r="E31" s="9" t="inlineStr">
        <is>
          <t>Khách sạn</t>
        </is>
      </c>
      <c r="F31" s="9" t="inlineStr">
        <is>
          <t>Dữ liệu gialai-travel</t>
        </is>
      </c>
      <c r="G31" s="10" t="inlineStr">
        <is>
          <t>552 Quang Trung, An Khê, Gia Lai, Việt Nam</t>
        </is>
      </c>
      <c r="H31" s="9" t="inlineStr">
        <is>
          <t>Phường An Khê</t>
        </is>
      </c>
      <c r="I31" s="11" t="n">
        <v>13.951893</v>
      </c>
      <c r="J31" s="11" t="n">
        <v>108.658582</v>
      </c>
      <c r="K31" s="9" t="inlineStr">
        <is>
          <t>Chưa đối chiếu</t>
        </is>
      </c>
      <c r="L31" s="10" t="n"/>
      <c r="M31" s="12" t="inlineStr">
        <is>
          <t>Bản đồ</t>
        </is>
      </c>
      <c r="N31" s="13" t="n"/>
      <c r="O31" s="14" t="n"/>
      <c r="P31" s="14" t="n"/>
      <c r="Q31" s="13" t="n"/>
      <c r="R31" s="15" t="n"/>
      <c r="S31" s="13" t="n"/>
      <c r="T31" s="13" t="n"/>
      <c r="U31" s="16">
        <f>IF(AND(ISNUMBER(O31),ISNUMBER(P31)),ROUND(SQRT(((P31-J31)*111320*COS(RADIANS(I31)))^2+((O31-I31)*110540)^2),0),"")</f>
        <v/>
      </c>
      <c r="V31" s="17">
        <f>IF(N31="","",IF(N31="Sửa vị trí",IF(OR(O31="",P31=""),"Thiếu vĩ độ / kinh độ mới",IF(OR(O31&lt;12.5,O31&gt;15,P31&lt;107,P31&gt;109.6),"Toạ độ ngoài Gia Lai (đảo vĩ/kinh độ?)",IF(Q31="","Chọn cách xác định",IF(U31&gt;20000,"Dời hơn 20 km – kiểm tra lại","OK")))),IF(AND(N31&lt;&gt;"Sửa vị trí",OR(O31&lt;&gt;"",P31&lt;&gt;"")),"Có toạ độ mới nhưng kết quả không phải Sửa vị trí","OK")))</f>
        <v/>
      </c>
    </row>
    <row r="32">
      <c r="A32" s="9" t="n">
        <v>28</v>
      </c>
      <c r="B32" s="9" t="inlineStr">
        <is>
          <t>f4479645-c4db-4e2f-b223-edae0775c7c5</t>
        </is>
      </c>
      <c r="C32" s="9" t="inlineStr">
        <is>
          <t>Cao</t>
        </is>
      </c>
      <c r="D32" s="10" t="inlineStr">
        <is>
          <t>Khách sạn An Khê</t>
        </is>
      </c>
      <c r="E32" s="9" t="inlineStr">
        <is>
          <t>Khách sạn</t>
        </is>
      </c>
      <c r="F32" s="9" t="inlineStr">
        <is>
          <t>Dữ liệu gialai-travel</t>
        </is>
      </c>
      <c r="G32" s="10" t="inlineStr">
        <is>
          <t>1335 Quang Trung, P, An Khê, Gia Lai 62507, Việt Nam</t>
        </is>
      </c>
      <c r="H32" s="9" t="inlineStr">
        <is>
          <t>Phường An Khê</t>
        </is>
      </c>
      <c r="I32" s="11" t="n">
        <v>13.952169</v>
      </c>
      <c r="J32" s="11" t="n">
        <v>108.657763</v>
      </c>
      <c r="K32" s="9" t="inlineStr">
        <is>
          <t>Chưa đối chiếu</t>
        </is>
      </c>
      <c r="L32" s="10" t="n"/>
      <c r="M32" s="12" t="inlineStr">
        <is>
          <t>Bản đồ</t>
        </is>
      </c>
      <c r="N32" s="13" t="n"/>
      <c r="O32" s="14" t="n"/>
      <c r="P32" s="14" t="n"/>
      <c r="Q32" s="13" t="n"/>
      <c r="R32" s="15" t="n"/>
      <c r="S32" s="13" t="n"/>
      <c r="T32" s="13" t="n"/>
      <c r="U32" s="16">
        <f>IF(AND(ISNUMBER(O32),ISNUMBER(P32)),ROUND(SQRT(((P32-J32)*111320*COS(RADIANS(I32)))^2+((O32-I32)*110540)^2),0),"")</f>
        <v/>
      </c>
      <c r="V32" s="17">
        <f>IF(N32="","",IF(N32="Sửa vị trí",IF(OR(O32="",P32=""),"Thiếu vĩ độ / kinh độ mới",IF(OR(O32&lt;12.5,O32&gt;15,P32&lt;107,P32&gt;109.6),"Toạ độ ngoài Gia Lai (đảo vĩ/kinh độ?)",IF(Q32="","Chọn cách xác định",IF(U32&gt;20000,"Dời hơn 20 km – kiểm tra lại","OK")))),IF(AND(N32&lt;&gt;"Sửa vị trí",OR(O32&lt;&gt;"",P32&lt;&gt;"")),"Có toạ độ mới nhưng kết quả không phải Sửa vị trí","OK")))</f>
        <v/>
      </c>
    </row>
    <row r="33">
      <c r="A33" s="9" t="n">
        <v>29</v>
      </c>
      <c r="B33" s="9" t="inlineStr">
        <is>
          <t>42917bb5-e4df-413a-9c58-6bec9e4e32c0</t>
        </is>
      </c>
      <c r="C33" s="9" t="inlineStr">
        <is>
          <t>Cao</t>
        </is>
      </c>
      <c r="D33" s="10" t="inlineStr">
        <is>
          <t>Nhà khách T500/QĐ3</t>
        </is>
      </c>
      <c r="E33" s="9" t="inlineStr">
        <is>
          <t>Khách sạn</t>
        </is>
      </c>
      <c r="F33" s="9" t="inlineStr">
        <is>
          <t>Dữ liệu gialai-travel</t>
        </is>
      </c>
      <c r="G33" s="10" t="inlineStr">
        <is>
          <t>273 Lê Duẩn, An Phú, Gia Lai 600000, Việt Nam</t>
        </is>
      </c>
      <c r="H33" s="9" t="inlineStr">
        <is>
          <t>Phường An Phú</t>
        </is>
      </c>
      <c r="I33" s="11" t="n">
        <v>13.97259</v>
      </c>
      <c r="J33" s="11" t="n">
        <v>108.031853</v>
      </c>
      <c r="K33" s="9" t="inlineStr">
        <is>
          <t>Chưa đối chiếu</t>
        </is>
      </c>
      <c r="L33" s="10" t="n"/>
      <c r="M33" s="12" t="inlineStr">
        <is>
          <t>Bản đồ</t>
        </is>
      </c>
      <c r="N33" s="13" t="n"/>
      <c r="O33" s="14" t="n"/>
      <c r="P33" s="14" t="n"/>
      <c r="Q33" s="13" t="n"/>
      <c r="R33" s="15" t="n"/>
      <c r="S33" s="13" t="n"/>
      <c r="T33" s="13" t="n"/>
      <c r="U33" s="16">
        <f>IF(AND(ISNUMBER(O33),ISNUMBER(P33)),ROUND(SQRT(((P33-J33)*111320*COS(RADIANS(I33)))^2+((O33-I33)*110540)^2),0),"")</f>
        <v/>
      </c>
      <c r="V33" s="17">
        <f>IF(N33="","",IF(N33="Sửa vị trí",IF(OR(O33="",P33=""),"Thiếu vĩ độ / kinh độ mới",IF(OR(O33&lt;12.5,O33&gt;15,P33&lt;107,P33&gt;109.6),"Toạ độ ngoài Gia Lai (đảo vĩ/kinh độ?)",IF(Q33="","Chọn cách xác định",IF(U33&gt;20000,"Dời hơn 20 km – kiểm tra lại","OK")))),IF(AND(N33&lt;&gt;"Sửa vị trí",OR(O33&lt;&gt;"",P33&lt;&gt;"")),"Có toạ độ mới nhưng kết quả không phải Sửa vị trí","OK")))</f>
        <v/>
      </c>
    </row>
    <row r="34">
      <c r="A34" s="9" t="n">
        <v>30</v>
      </c>
      <c r="B34" s="9" t="inlineStr">
        <is>
          <t>e0409dc2-c20a-4899-9128-b6fe2f0b76c7</t>
        </is>
      </c>
      <c r="C34" s="9" t="inlineStr">
        <is>
          <t>Cao</t>
        </is>
      </c>
      <c r="D34" s="10" t="inlineStr">
        <is>
          <t>Anh Nguyên Hotel</t>
        </is>
      </c>
      <c r="E34" s="9" t="inlineStr">
        <is>
          <t>Khách sạn</t>
        </is>
      </c>
      <c r="F34" s="9" t="inlineStr">
        <is>
          <t>Dữ liệu gialai-travel</t>
        </is>
      </c>
      <c r="G34" s="10" t="inlineStr">
        <is>
          <t>34 Phạm Hồng Thái, Ayun Pa, Gia Lai, Việt Nam</t>
        </is>
      </c>
      <c r="H34" s="9" t="inlineStr">
        <is>
          <t>Phường Ayun Pa</t>
        </is>
      </c>
      <c r="I34" s="11" t="n">
        <v>13.398173</v>
      </c>
      <c r="J34" s="11" t="n">
        <v>108.437923</v>
      </c>
      <c r="K34" s="9" t="inlineStr">
        <is>
          <t>Chưa đối chiếu</t>
        </is>
      </c>
      <c r="L34" s="10" t="n"/>
      <c r="M34" s="12" t="inlineStr">
        <is>
          <t>Bản đồ</t>
        </is>
      </c>
      <c r="N34" s="13" t="n"/>
      <c r="O34" s="14" t="n"/>
      <c r="P34" s="14" t="n"/>
      <c r="Q34" s="13" t="n"/>
      <c r="R34" s="15" t="n"/>
      <c r="S34" s="13" t="n"/>
      <c r="T34" s="13" t="n"/>
      <c r="U34" s="16">
        <f>IF(AND(ISNUMBER(O34),ISNUMBER(P34)),ROUND(SQRT(((P34-J34)*111320*COS(RADIANS(I34)))^2+((O34-I34)*110540)^2),0),"")</f>
        <v/>
      </c>
      <c r="V34" s="17">
        <f>IF(N34="","",IF(N34="Sửa vị trí",IF(OR(O34="",P34=""),"Thiếu vĩ độ / kinh độ mới",IF(OR(O34&lt;12.5,O34&gt;15,P34&lt;107,P34&gt;109.6),"Toạ độ ngoài Gia Lai (đảo vĩ/kinh độ?)",IF(Q34="","Chọn cách xác định",IF(U34&gt;20000,"Dời hơn 20 km – kiểm tra lại","OK")))),IF(AND(N34&lt;&gt;"Sửa vị trí",OR(O34&lt;&gt;"",P34&lt;&gt;"")),"Có toạ độ mới nhưng kết quả không phải Sửa vị trí","OK")))</f>
        <v/>
      </c>
    </row>
    <row r="35">
      <c r="A35" s="9" t="n">
        <v>31</v>
      </c>
      <c r="B35" s="9" t="inlineStr">
        <is>
          <t>575b2cdc-9311-4c14-9b99-a241371b73ce</t>
        </is>
      </c>
      <c r="C35" s="9" t="inlineStr">
        <is>
          <t>Cao</t>
        </is>
      </c>
      <c r="D35" s="10" t="inlineStr">
        <is>
          <t>Khách Sạn Xuân Lành</t>
        </is>
      </c>
      <c r="E35" s="9" t="inlineStr">
        <is>
          <t>Khách sạn</t>
        </is>
      </c>
      <c r="F35" s="9" t="inlineStr">
        <is>
          <t>Dữ liệu gialai-travel</t>
        </is>
      </c>
      <c r="G35" s="10" t="inlineStr">
        <is>
          <t>914 Đ. Hùng Vương, Chư Sê, Gia Lai 600000, Việt Nam</t>
        </is>
      </c>
      <c r="H35" s="9" t="inlineStr">
        <is>
          <t>Xã Chư Sê</t>
        </is>
      </c>
      <c r="I35" s="11" t="n">
        <v>13.69071</v>
      </c>
      <c r="J35" s="11" t="n">
        <v>108.07865</v>
      </c>
      <c r="K35" s="9" t="inlineStr">
        <is>
          <t>Chưa đối chiếu</t>
        </is>
      </c>
      <c r="L35" s="10" t="n"/>
      <c r="M35" s="12" t="inlineStr">
        <is>
          <t>Bản đồ</t>
        </is>
      </c>
      <c r="N35" s="13" t="n"/>
      <c r="O35" s="14" t="n"/>
      <c r="P35" s="14" t="n"/>
      <c r="Q35" s="13" t="n"/>
      <c r="R35" s="15" t="n"/>
      <c r="S35" s="13" t="n"/>
      <c r="T35" s="13" t="n"/>
      <c r="U35" s="16">
        <f>IF(AND(ISNUMBER(O35),ISNUMBER(P35)),ROUND(SQRT(((P35-J35)*111320*COS(RADIANS(I35)))^2+((O35-I35)*110540)^2),0),"")</f>
        <v/>
      </c>
      <c r="V35" s="17">
        <f>IF(N35="","",IF(N35="Sửa vị trí",IF(OR(O35="",P35=""),"Thiếu vĩ độ / kinh độ mới",IF(OR(O35&lt;12.5,O35&gt;15,P35&lt;107,P35&gt;109.6),"Toạ độ ngoài Gia Lai (đảo vĩ/kinh độ?)",IF(Q35="","Chọn cách xác định",IF(U35&gt;20000,"Dời hơn 20 km – kiểm tra lại","OK")))),IF(AND(N35&lt;&gt;"Sửa vị trí",OR(O35&lt;&gt;"",P35&lt;&gt;"")),"Có toạ độ mới nhưng kết quả không phải Sửa vị trí","OK")))</f>
        <v/>
      </c>
    </row>
    <row r="36">
      <c r="A36" s="9" t="n">
        <v>32</v>
      </c>
      <c r="B36" s="9" t="inlineStr">
        <is>
          <t>1e2995d0-b66a-48d3-ba0e-280b91510dc8</t>
        </is>
      </c>
      <c r="C36" s="9" t="inlineStr">
        <is>
          <t>Cao</t>
        </is>
      </c>
      <c r="D36" s="10" t="inlineStr">
        <is>
          <t>Khách sạn Hoàng Long</t>
        </is>
      </c>
      <c r="E36" s="9" t="inlineStr">
        <is>
          <t>Khách sạn</t>
        </is>
      </c>
      <c r="F36" s="9" t="inlineStr">
        <is>
          <t>Dữ liệu gialai-travel</t>
        </is>
      </c>
      <c r="G36" s="10" t="inlineStr">
        <is>
          <t>07 Võ Thị Sáu, Kbang, Gia Lai, Việt Nam</t>
        </is>
      </c>
      <c r="H36" s="9" t="inlineStr">
        <is>
          <t>Xã Kbang</t>
        </is>
      </c>
      <c r="I36" s="11" t="n">
        <v>14.142714</v>
      </c>
      <c r="J36" s="11" t="n">
        <v>108.603971</v>
      </c>
      <c r="K36" s="9" t="inlineStr">
        <is>
          <t>Chưa đối chiếu</t>
        </is>
      </c>
      <c r="L36" s="10" t="n"/>
      <c r="M36" s="12" t="inlineStr">
        <is>
          <t>Bản đồ</t>
        </is>
      </c>
      <c r="N36" s="13" t="n"/>
      <c r="O36" s="14" t="n"/>
      <c r="P36" s="14" t="n"/>
      <c r="Q36" s="13" t="n"/>
      <c r="R36" s="15" t="n"/>
      <c r="S36" s="13" t="n"/>
      <c r="T36" s="13" t="n"/>
      <c r="U36" s="16">
        <f>IF(AND(ISNUMBER(O36),ISNUMBER(P36)),ROUND(SQRT(((P36-J36)*111320*COS(RADIANS(I36)))^2+((O36-I36)*110540)^2),0),"")</f>
        <v/>
      </c>
      <c r="V36" s="17">
        <f>IF(N36="","",IF(N36="Sửa vị trí",IF(OR(O36="",P36=""),"Thiếu vĩ độ / kinh độ mới",IF(OR(O36&lt;12.5,O36&gt;15,P36&lt;107,P36&gt;109.6),"Toạ độ ngoài Gia Lai (đảo vĩ/kinh độ?)",IF(Q36="","Chọn cách xác định",IF(U36&gt;20000,"Dời hơn 20 km – kiểm tra lại","OK")))),IF(AND(N36&lt;&gt;"Sửa vị trí",OR(O36&lt;&gt;"",P36&lt;&gt;"")),"Có toạ độ mới nhưng kết quả không phải Sửa vị trí","OK")))</f>
        <v/>
      </c>
    </row>
    <row r="37">
      <c r="A37" s="9" t="n">
        <v>33</v>
      </c>
      <c r="B37" s="9" t="inlineStr">
        <is>
          <t>10368873-fba5-4cfb-868c-ca122b8f53d5</t>
        </is>
      </c>
      <c r="C37" s="9" t="inlineStr">
        <is>
          <t>Cao</t>
        </is>
      </c>
      <c r="D37" s="10" t="inlineStr">
        <is>
          <t>Khách sạn Hùng Vương</t>
        </is>
      </c>
      <c r="E37" s="9" t="inlineStr">
        <is>
          <t>Khách sạn</t>
        </is>
      </c>
      <c r="F37" s="9" t="inlineStr">
        <is>
          <t>Dữ liệu gialai-travel</t>
        </is>
      </c>
      <c r="G37" s="10" t="inlineStr">
        <is>
          <t>5MWP+VFJ, Phú Túc, Gia Lai, Việt Nam</t>
        </is>
      </c>
      <c r="H37" s="9" t="inlineStr">
        <is>
          <t>Xã Phú Túc</t>
        </is>
      </c>
      <c r="I37" s="11" t="n">
        <v>13.197214</v>
      </c>
      <c r="J37" s="11" t="n">
        <v>108.686133</v>
      </c>
      <c r="K37" s="9" t="inlineStr">
        <is>
          <t>Chưa đối chiếu</t>
        </is>
      </c>
      <c r="L37" s="10" t="n"/>
      <c r="M37" s="12" t="inlineStr">
        <is>
          <t>Bản đồ</t>
        </is>
      </c>
      <c r="N37" s="13" t="n"/>
      <c r="O37" s="14" t="n"/>
      <c r="P37" s="14" t="n"/>
      <c r="Q37" s="13" t="n"/>
      <c r="R37" s="15" t="n"/>
      <c r="S37" s="13" t="n"/>
      <c r="T37" s="13" t="n"/>
      <c r="U37" s="16">
        <f>IF(AND(ISNUMBER(O37),ISNUMBER(P37)),ROUND(SQRT(((P37-J37)*111320*COS(RADIANS(I37)))^2+((O37-I37)*110540)^2),0),"")</f>
        <v/>
      </c>
      <c r="V37" s="17">
        <f>IF(N37="","",IF(N37="Sửa vị trí",IF(OR(O37="",P37=""),"Thiếu vĩ độ / kinh độ mới",IF(OR(O37&lt;12.5,O37&gt;15,P37&lt;107,P37&gt;109.6),"Toạ độ ngoài Gia Lai (đảo vĩ/kinh độ?)",IF(Q37="","Chọn cách xác định",IF(U37&gt;20000,"Dời hơn 20 km – kiểm tra lại","OK")))),IF(AND(N37&lt;&gt;"Sửa vị trí",OR(O37&lt;&gt;"",P37&lt;&gt;"")),"Có toạ độ mới nhưng kết quả không phải Sửa vị trí","OK")))</f>
        <v/>
      </c>
    </row>
    <row r="38">
      <c r="A38" s="9" t="n">
        <v>34</v>
      </c>
      <c r="B38" s="9" t="inlineStr">
        <is>
          <t>0285112c-f331-42b9-80a5-f820be63156a</t>
        </is>
      </c>
      <c r="C38" s="9" t="inlineStr">
        <is>
          <t>Cao</t>
        </is>
      </c>
      <c r="D38" s="10" t="inlineStr">
        <is>
          <t>Khách Sạn Thành Đạt</t>
        </is>
      </c>
      <c r="E38" s="9" t="inlineStr">
        <is>
          <t>Khách sạn</t>
        </is>
      </c>
      <c r="F38" s="9" t="inlineStr">
        <is>
          <t>Dữ liệu gialai-travel</t>
        </is>
      </c>
      <c r="G38" s="10" t="inlineStr">
        <is>
          <t>Tăng Bạt Hổ, Đức Cơ, Gia Lai, Việt Nam</t>
        </is>
      </c>
      <c r="H38" s="9" t="inlineStr">
        <is>
          <t>Xã Đức Cơ</t>
        </is>
      </c>
      <c r="I38" s="11" t="n">
        <v>13.799482</v>
      </c>
      <c r="J38" s="11" t="n">
        <v>107.692402</v>
      </c>
      <c r="K38" s="9" t="inlineStr">
        <is>
          <t>Chưa đối chiếu</t>
        </is>
      </c>
      <c r="L38" s="10" t="n"/>
      <c r="M38" s="12" t="inlineStr">
        <is>
          <t>Bản đồ</t>
        </is>
      </c>
      <c r="N38" s="13" t="n"/>
      <c r="O38" s="14" t="n"/>
      <c r="P38" s="14" t="n"/>
      <c r="Q38" s="13" t="n"/>
      <c r="R38" s="15" t="n"/>
      <c r="S38" s="13" t="n"/>
      <c r="T38" s="13" t="n"/>
      <c r="U38" s="16">
        <f>IF(AND(ISNUMBER(O38),ISNUMBER(P38)),ROUND(SQRT(((P38-J38)*111320*COS(RADIANS(I38)))^2+((O38-I38)*110540)^2),0),"")</f>
        <v/>
      </c>
      <c r="V38" s="17">
        <f>IF(N38="","",IF(N38="Sửa vị trí",IF(OR(O38="",P38=""),"Thiếu vĩ độ / kinh độ mới",IF(OR(O38&lt;12.5,O38&gt;15,P38&lt;107,P38&gt;109.6),"Toạ độ ngoài Gia Lai (đảo vĩ/kinh độ?)",IF(Q38="","Chọn cách xác định",IF(U38&gt;20000,"Dời hơn 20 km – kiểm tra lại","OK")))),IF(AND(N38&lt;&gt;"Sửa vị trí",OR(O38&lt;&gt;"",P38&lt;&gt;"")),"Có toạ độ mới nhưng kết quả không phải Sửa vị trí","OK")))</f>
        <v/>
      </c>
    </row>
    <row r="39">
      <c r="A39" s="9" t="n">
        <v>35</v>
      </c>
      <c r="B39" s="9" t="inlineStr">
        <is>
          <t>6576b771-3574-4bd3-b33d-621179cf3882</t>
        </is>
      </c>
      <c r="C39" s="9" t="inlineStr">
        <is>
          <t>Cao</t>
        </is>
      </c>
      <c r="D39" s="10" t="inlineStr">
        <is>
          <t>NHÀ NGHỈ CƯỜNG THỂ - CƯỜNG THỂ MOTEL AN KHÊ GIA LAI</t>
        </is>
      </c>
      <c r="E39" s="9" t="inlineStr">
        <is>
          <t>Nhà nghỉ</t>
        </is>
      </c>
      <c r="F39" s="9" t="inlineStr">
        <is>
          <t>Dữ liệu gialai-travel</t>
        </is>
      </c>
      <c r="G39" s="10" t="inlineStr">
        <is>
          <t>67 Ngô Mây, Phường, An Khê, Gia Lai, Việt Nam</t>
        </is>
      </c>
      <c r="H39" s="9" t="inlineStr">
        <is>
          <t>Phường An Khê</t>
        </is>
      </c>
      <c r="I39" s="11" t="n">
        <v>13.975385</v>
      </c>
      <c r="J39" s="11" t="n">
        <v>108.671841</v>
      </c>
      <c r="K39" s="9" t="inlineStr">
        <is>
          <t>Chưa đối chiếu</t>
        </is>
      </c>
      <c r="L39" s="10" t="n"/>
      <c r="M39" s="12" t="inlineStr">
        <is>
          <t>Bản đồ</t>
        </is>
      </c>
      <c r="N39" s="13" t="n"/>
      <c r="O39" s="14" t="n"/>
      <c r="P39" s="14" t="n"/>
      <c r="Q39" s="13" t="n"/>
      <c r="R39" s="15" t="n"/>
      <c r="S39" s="13" t="n"/>
      <c r="T39" s="13" t="n"/>
      <c r="U39" s="16">
        <f>IF(AND(ISNUMBER(O39),ISNUMBER(P39)),ROUND(SQRT(((P39-J39)*111320*COS(RADIANS(I39)))^2+((O39-I39)*110540)^2),0),"")</f>
        <v/>
      </c>
      <c r="V39" s="17">
        <f>IF(N39="","",IF(N39="Sửa vị trí",IF(OR(O39="",P39=""),"Thiếu vĩ độ / kinh độ mới",IF(OR(O39&lt;12.5,O39&gt;15,P39&lt;107,P39&gt;109.6),"Toạ độ ngoài Gia Lai (đảo vĩ/kinh độ?)",IF(Q39="","Chọn cách xác định",IF(U39&gt;20000,"Dời hơn 20 km – kiểm tra lại","OK")))),IF(AND(N39&lt;&gt;"Sửa vị trí",OR(O39&lt;&gt;"",P39&lt;&gt;"")),"Có toạ độ mới nhưng kết quả không phải Sửa vị trí","OK")))</f>
        <v/>
      </c>
    </row>
    <row r="40">
      <c r="A40" s="9" t="n">
        <v>36</v>
      </c>
      <c r="B40" s="9" t="inlineStr">
        <is>
          <t>24af89b3-3c0e-4d97-b6d4-2fd06d5a88d5</t>
        </is>
      </c>
      <c r="C40" s="9" t="inlineStr">
        <is>
          <t>Cao</t>
        </is>
      </c>
      <c r="D40" s="10" t="inlineStr">
        <is>
          <t>Nhà Nghỉ An Bình</t>
        </is>
      </c>
      <c r="E40" s="9" t="inlineStr">
        <is>
          <t>Nhà nghỉ</t>
        </is>
      </c>
      <c r="F40" s="9" t="inlineStr">
        <is>
          <t>Dữ liệu gialai-travel</t>
        </is>
      </c>
      <c r="G40" s="10" t="inlineStr">
        <is>
          <t>225 Bùi Thị Xuân, An Khê, Gia Lai, Việt Nam</t>
        </is>
      </c>
      <c r="H40" s="9" t="inlineStr">
        <is>
          <t>Phường An Khê</t>
        </is>
      </c>
      <c r="I40" s="11" t="n">
        <v>13.955466</v>
      </c>
      <c r="J40" s="11" t="n">
        <v>108.663789</v>
      </c>
      <c r="K40" s="9" t="inlineStr">
        <is>
          <t>Chưa đối chiếu</t>
        </is>
      </c>
      <c r="L40" s="10" t="n"/>
      <c r="M40" s="12" t="inlineStr">
        <is>
          <t>Bản đồ</t>
        </is>
      </c>
      <c r="N40" s="13" t="n"/>
      <c r="O40" s="14" t="n"/>
      <c r="P40" s="14" t="n"/>
      <c r="Q40" s="13" t="n"/>
      <c r="R40" s="15" t="n"/>
      <c r="S40" s="13" t="n"/>
      <c r="T40" s="13" t="n"/>
      <c r="U40" s="16">
        <f>IF(AND(ISNUMBER(O40),ISNUMBER(P40)),ROUND(SQRT(((P40-J40)*111320*COS(RADIANS(I40)))^2+((O40-I40)*110540)^2),0),"")</f>
        <v/>
      </c>
      <c r="V40" s="17">
        <f>IF(N40="","",IF(N40="Sửa vị trí",IF(OR(O40="",P40=""),"Thiếu vĩ độ / kinh độ mới",IF(OR(O40&lt;12.5,O40&gt;15,P40&lt;107,P40&gt;109.6),"Toạ độ ngoài Gia Lai (đảo vĩ/kinh độ?)",IF(Q40="","Chọn cách xác định",IF(U40&gt;20000,"Dời hơn 20 km – kiểm tra lại","OK")))),IF(AND(N40&lt;&gt;"Sửa vị trí",OR(O40&lt;&gt;"",P40&lt;&gt;"")),"Có toạ độ mới nhưng kết quả không phải Sửa vị trí","OK")))</f>
        <v/>
      </c>
    </row>
    <row r="41">
      <c r="A41" s="9" t="n">
        <v>37</v>
      </c>
      <c r="B41" s="9" t="inlineStr">
        <is>
          <t>26236164-43cf-47f0-92cc-46b19b418f00</t>
        </is>
      </c>
      <c r="C41" s="9" t="inlineStr">
        <is>
          <t>Cao</t>
        </is>
      </c>
      <c r="D41" s="10" t="inlineStr">
        <is>
          <t>Nhà Nghỉ HƯƠNG QUÊ</t>
        </is>
      </c>
      <c r="E41" s="9" t="inlineStr">
        <is>
          <t>Nhà nghỉ</t>
        </is>
      </c>
      <c r="F41" s="9" t="inlineStr">
        <is>
          <t>Dữ liệu gialai-travel</t>
        </is>
      </c>
      <c r="G41" s="10" t="inlineStr">
        <is>
          <t>254 QL25, Ayun Pa, Gia Lai, Việt Nam</t>
        </is>
      </c>
      <c r="H41" s="9" t="inlineStr">
        <is>
          <t>Phường Ayun Pa</t>
        </is>
      </c>
      <c r="I41" s="11" t="n">
        <v>13.409506</v>
      </c>
      <c r="J41" s="11" t="n">
        <v>108.441579</v>
      </c>
      <c r="K41" s="9" t="inlineStr">
        <is>
          <t>Chưa đối chiếu</t>
        </is>
      </c>
      <c r="L41" s="10" t="n"/>
      <c r="M41" s="12" t="inlineStr">
        <is>
          <t>Bản đồ</t>
        </is>
      </c>
      <c r="N41" s="13" t="n"/>
      <c r="O41" s="14" t="n"/>
      <c r="P41" s="14" t="n"/>
      <c r="Q41" s="13" t="n"/>
      <c r="R41" s="15" t="n"/>
      <c r="S41" s="13" t="n"/>
      <c r="T41" s="13" t="n"/>
      <c r="U41" s="16">
        <f>IF(AND(ISNUMBER(O41),ISNUMBER(P41)),ROUND(SQRT(((P41-J41)*111320*COS(RADIANS(I41)))^2+((O41-I41)*110540)^2),0),"")</f>
        <v/>
      </c>
      <c r="V41" s="17">
        <f>IF(N41="","",IF(N41="Sửa vị trí",IF(OR(O41="",P41=""),"Thiếu vĩ độ / kinh độ mới",IF(OR(O41&lt;12.5,O41&gt;15,P41&lt;107,P41&gt;109.6),"Toạ độ ngoài Gia Lai (đảo vĩ/kinh độ?)",IF(Q41="","Chọn cách xác định",IF(U41&gt;20000,"Dời hơn 20 km – kiểm tra lại","OK")))),IF(AND(N41&lt;&gt;"Sửa vị trí",OR(O41&lt;&gt;"",P41&lt;&gt;"")),"Có toạ độ mới nhưng kết quả không phải Sửa vị trí","OK")))</f>
        <v/>
      </c>
    </row>
    <row r="42">
      <c r="A42" s="9" t="n">
        <v>38</v>
      </c>
      <c r="B42" s="9" t="inlineStr">
        <is>
          <t>ca7b65ce-738a-4f6c-9aaf-7bc609409e89</t>
        </is>
      </c>
      <c r="C42" s="9" t="inlineStr">
        <is>
          <t>Cao</t>
        </is>
      </c>
      <c r="D42" s="10" t="inlineStr">
        <is>
          <t>Nhà Nghỉ Trung Hương</t>
        </is>
      </c>
      <c r="E42" s="9" t="inlineStr">
        <is>
          <t>Nhà nghỉ</t>
        </is>
      </c>
      <c r="F42" s="9" t="inlineStr">
        <is>
          <t>Dữ liệu gialai-travel</t>
        </is>
      </c>
      <c r="G42" s="10" t="inlineStr">
        <is>
          <t>337 Trần Hưng Đạo, Ayun Pa, Gia Lai, Việt Nam</t>
        </is>
      </c>
      <c r="H42" s="9" t="inlineStr">
        <is>
          <t>Phường Ayun Pa</t>
        </is>
      </c>
      <c r="I42" s="11" t="n">
        <v>13.409596</v>
      </c>
      <c r="J42" s="11" t="n">
        <v>108.440802</v>
      </c>
      <c r="K42" s="9" t="inlineStr">
        <is>
          <t>Chưa đối chiếu</t>
        </is>
      </c>
      <c r="L42" s="10" t="n"/>
      <c r="M42" s="12" t="inlineStr">
        <is>
          <t>Bản đồ</t>
        </is>
      </c>
      <c r="N42" s="13" t="n"/>
      <c r="O42" s="14" t="n"/>
      <c r="P42" s="14" t="n"/>
      <c r="Q42" s="13" t="n"/>
      <c r="R42" s="15" t="n"/>
      <c r="S42" s="13" t="n"/>
      <c r="T42" s="13" t="n"/>
      <c r="U42" s="16">
        <f>IF(AND(ISNUMBER(O42),ISNUMBER(P42)),ROUND(SQRT(((P42-J42)*111320*COS(RADIANS(I42)))^2+((O42-I42)*110540)^2),0),"")</f>
        <v/>
      </c>
      <c r="V42" s="17">
        <f>IF(N42="","",IF(N42="Sửa vị trí",IF(OR(O42="",P42=""),"Thiếu vĩ độ / kinh độ mới",IF(OR(O42&lt;12.5,O42&gt;15,P42&lt;107,P42&gt;109.6),"Toạ độ ngoài Gia Lai (đảo vĩ/kinh độ?)",IF(Q42="","Chọn cách xác định",IF(U42&gt;20000,"Dời hơn 20 km – kiểm tra lại","OK")))),IF(AND(N42&lt;&gt;"Sửa vị trí",OR(O42&lt;&gt;"",P42&lt;&gt;"")),"Có toạ độ mới nhưng kết quả không phải Sửa vị trí","OK")))</f>
        <v/>
      </c>
    </row>
    <row r="43">
      <c r="A43" s="9" t="n">
        <v>39</v>
      </c>
      <c r="B43" s="9" t="inlineStr">
        <is>
          <t>41a572d6-1fe5-4560-a049-b681322d0b83</t>
        </is>
      </c>
      <c r="C43" s="9" t="inlineStr">
        <is>
          <t>Cao</t>
        </is>
      </c>
      <c r="D43" s="10" t="inlineStr">
        <is>
          <t>Nhà nghỉ như ý</t>
        </is>
      </c>
      <c r="E43" s="9" t="inlineStr">
        <is>
          <t>Nhà nghỉ</t>
        </is>
      </c>
      <c r="F43" s="9" t="inlineStr">
        <is>
          <t>Dữ liệu gialai-travel</t>
        </is>
      </c>
      <c r="G43" s="10" t="inlineStr">
        <is>
          <t>462 Trần Hưng Đạo, Ayun Pa, Gia Lai, Việt Nam</t>
        </is>
      </c>
      <c r="H43" s="9" t="inlineStr">
        <is>
          <t>Phường Ayun Pa</t>
        </is>
      </c>
      <c r="I43" s="11" t="n">
        <v>13.42631</v>
      </c>
      <c r="J43" s="11" t="n">
        <v>108.426994</v>
      </c>
      <c r="K43" s="9" t="inlineStr">
        <is>
          <t>Chưa đối chiếu</t>
        </is>
      </c>
      <c r="L43" s="10" t="n"/>
      <c r="M43" s="12" t="inlineStr">
        <is>
          <t>Bản đồ</t>
        </is>
      </c>
      <c r="N43" s="13" t="n"/>
      <c r="O43" s="14" t="n"/>
      <c r="P43" s="14" t="n"/>
      <c r="Q43" s="13" t="n"/>
      <c r="R43" s="15" t="n"/>
      <c r="S43" s="13" t="n"/>
      <c r="T43" s="13" t="n"/>
      <c r="U43" s="16">
        <f>IF(AND(ISNUMBER(O43),ISNUMBER(P43)),ROUND(SQRT(((P43-J43)*111320*COS(RADIANS(I43)))^2+((O43-I43)*110540)^2),0),"")</f>
        <v/>
      </c>
      <c r="V43" s="17">
        <f>IF(N43="","",IF(N43="Sửa vị trí",IF(OR(O43="",P43=""),"Thiếu vĩ độ / kinh độ mới",IF(OR(O43&lt;12.5,O43&gt;15,P43&lt;107,P43&gt;109.6),"Toạ độ ngoài Gia Lai (đảo vĩ/kinh độ?)",IF(Q43="","Chọn cách xác định",IF(U43&gt;20000,"Dời hơn 20 km – kiểm tra lại","OK")))),IF(AND(N43&lt;&gt;"Sửa vị trí",OR(O43&lt;&gt;"",P43&lt;&gt;"")),"Có toạ độ mới nhưng kết quả không phải Sửa vị trí","OK")))</f>
        <v/>
      </c>
    </row>
    <row r="44">
      <c r="A44" s="9" t="n">
        <v>40</v>
      </c>
      <c r="B44" s="9" t="inlineStr">
        <is>
          <t>4d4c6307-a641-4c59-a82d-8eddb652c7b7</t>
        </is>
      </c>
      <c r="C44" s="9" t="inlineStr">
        <is>
          <t>Cao</t>
        </is>
      </c>
      <c r="D44" s="10" t="inlineStr">
        <is>
          <t>Nhà Nghỉ Đông Nam Á</t>
        </is>
      </c>
      <c r="E44" s="9" t="inlineStr">
        <is>
          <t>Nhà nghỉ</t>
        </is>
      </c>
      <c r="F44" s="9" t="inlineStr">
        <is>
          <t>Dữ liệu gialai-travel</t>
        </is>
      </c>
      <c r="G44" s="10" t="inlineStr">
        <is>
          <t>39 Hoàng Văn Thụ, Diên Hồng, Gia Lai 600000, Việt Nam</t>
        </is>
      </c>
      <c r="H44" s="9" t="inlineStr">
        <is>
          <t>Phường Diên Hồng</t>
        </is>
      </c>
      <c r="I44" s="11" t="n">
        <v>13.974527</v>
      </c>
      <c r="J44" s="11" t="n">
        <v>107.998111</v>
      </c>
      <c r="K44" s="9" t="inlineStr">
        <is>
          <t>Chưa đối chiếu</t>
        </is>
      </c>
      <c r="L44" s="10" t="n"/>
      <c r="M44" s="12" t="inlineStr">
        <is>
          <t>Bản đồ</t>
        </is>
      </c>
      <c r="N44" s="13" t="n"/>
      <c r="O44" s="14" t="n"/>
      <c r="P44" s="14" t="n"/>
      <c r="Q44" s="13" t="n"/>
      <c r="R44" s="15" t="n"/>
      <c r="S44" s="13" t="n"/>
      <c r="T44" s="13" t="n"/>
      <c r="U44" s="16">
        <f>IF(AND(ISNUMBER(O44),ISNUMBER(P44)),ROUND(SQRT(((P44-J44)*111320*COS(RADIANS(I44)))^2+((O44-I44)*110540)^2),0),"")</f>
        <v/>
      </c>
      <c r="V44" s="17">
        <f>IF(N44="","",IF(N44="Sửa vị trí",IF(OR(O44="",P44=""),"Thiếu vĩ độ / kinh độ mới",IF(OR(O44&lt;12.5,O44&gt;15,P44&lt;107,P44&gt;109.6),"Toạ độ ngoài Gia Lai (đảo vĩ/kinh độ?)",IF(Q44="","Chọn cách xác định",IF(U44&gt;20000,"Dời hơn 20 km – kiểm tra lại","OK")))),IF(AND(N44&lt;&gt;"Sửa vị trí",OR(O44&lt;&gt;"",P44&lt;&gt;"")),"Có toạ độ mới nhưng kết quả không phải Sửa vị trí","OK")))</f>
        <v/>
      </c>
    </row>
    <row r="45">
      <c r="A45" s="9" t="n">
        <v>41</v>
      </c>
      <c r="B45" s="9" t="inlineStr">
        <is>
          <t>b0df8b2e-8a00-4980-a439-2f4431d62764</t>
        </is>
      </c>
      <c r="C45" s="9" t="inlineStr">
        <is>
          <t>Cao</t>
        </is>
      </c>
      <c r="D45" s="10" t="inlineStr">
        <is>
          <t>Nhà Nghỉ Bảo Long</t>
        </is>
      </c>
      <c r="E45" s="9" t="inlineStr">
        <is>
          <t>Nhà nghỉ</t>
        </is>
      </c>
      <c r="F45" s="9" t="inlineStr">
        <is>
          <t>Dữ liệu gialai-travel</t>
        </is>
      </c>
      <c r="G45" s="10" t="inlineStr">
        <is>
          <t>567 Đường Lê Thánh Tôn, Hội Phú, Gia Lai 600000, Việt Nam</t>
        </is>
      </c>
      <c r="H45" s="9" t="inlineStr">
        <is>
          <t>Phường Hội Phú</t>
        </is>
      </c>
      <c r="I45" s="11" t="n">
        <v>13.950515</v>
      </c>
      <c r="J45" s="11" t="n">
        <v>108.014056</v>
      </c>
      <c r="K45" s="9" t="inlineStr">
        <is>
          <t>Chưa đối chiếu</t>
        </is>
      </c>
      <c r="L45" s="10" t="n"/>
      <c r="M45" s="12" t="inlineStr">
        <is>
          <t>Bản đồ</t>
        </is>
      </c>
      <c r="N45" s="13" t="n"/>
      <c r="O45" s="14" t="n"/>
      <c r="P45" s="14" t="n"/>
      <c r="Q45" s="13" t="n"/>
      <c r="R45" s="15" t="n"/>
      <c r="S45" s="13" t="n"/>
      <c r="T45" s="13" t="n"/>
      <c r="U45" s="16">
        <f>IF(AND(ISNUMBER(O45),ISNUMBER(P45)),ROUND(SQRT(((P45-J45)*111320*COS(RADIANS(I45)))^2+((O45-I45)*110540)^2),0),"")</f>
        <v/>
      </c>
      <c r="V45" s="17">
        <f>IF(N45="","",IF(N45="Sửa vị trí",IF(OR(O45="",P45=""),"Thiếu vĩ độ / kinh độ mới",IF(OR(O45&lt;12.5,O45&gt;15,P45&lt;107,P45&gt;109.6),"Toạ độ ngoài Gia Lai (đảo vĩ/kinh độ?)",IF(Q45="","Chọn cách xác định",IF(U45&gt;20000,"Dời hơn 20 km – kiểm tra lại","OK")))),IF(AND(N45&lt;&gt;"Sửa vị trí",OR(O45&lt;&gt;"",P45&lt;&gt;"")),"Có toạ độ mới nhưng kết quả không phải Sửa vị trí","OK")))</f>
        <v/>
      </c>
    </row>
    <row r="46">
      <c r="A46" s="9" t="n">
        <v>42</v>
      </c>
      <c r="B46" s="9" t="inlineStr">
        <is>
          <t>8abe44c2-9268-4840-968d-09893b57710e</t>
        </is>
      </c>
      <c r="C46" s="9" t="inlineStr">
        <is>
          <t>Cao</t>
        </is>
      </c>
      <c r="D46" s="10" t="inlineStr">
        <is>
          <t>Nhà nghỉ Hàm Rồng</t>
        </is>
      </c>
      <c r="E46" s="9" t="inlineStr">
        <is>
          <t>Nhà nghỉ</t>
        </is>
      </c>
      <c r="F46" s="9" t="inlineStr">
        <is>
          <t>Dữ liệu gialai-travel</t>
        </is>
      </c>
      <c r="G46" s="10" t="inlineStr">
        <is>
          <t>1322 Trường Chinh, Hội Phú, Gia Lai 600000, Việt Nam</t>
        </is>
      </c>
      <c r="H46" s="9" t="inlineStr">
        <is>
          <t>Phường Hội Phú</t>
        </is>
      </c>
      <c r="I46" s="11" t="n">
        <v>13.910494</v>
      </c>
      <c r="J46" s="11" t="n">
        <v>108.009658</v>
      </c>
      <c r="K46" s="9" t="inlineStr">
        <is>
          <t>Chưa đối chiếu</t>
        </is>
      </c>
      <c r="L46" s="10" t="n"/>
      <c r="M46" s="12" t="inlineStr">
        <is>
          <t>Bản đồ</t>
        </is>
      </c>
      <c r="N46" s="13" t="n"/>
      <c r="O46" s="14" t="n"/>
      <c r="P46" s="14" t="n"/>
      <c r="Q46" s="13" t="n"/>
      <c r="R46" s="15" t="n"/>
      <c r="S46" s="13" t="n"/>
      <c r="T46" s="13" t="n"/>
      <c r="U46" s="16">
        <f>IF(AND(ISNUMBER(O46),ISNUMBER(P46)),ROUND(SQRT(((P46-J46)*111320*COS(RADIANS(I46)))^2+((O46-I46)*110540)^2),0),"")</f>
        <v/>
      </c>
      <c r="V46" s="17">
        <f>IF(N46="","",IF(N46="Sửa vị trí",IF(OR(O46="",P46=""),"Thiếu vĩ độ / kinh độ mới",IF(OR(O46&lt;12.5,O46&gt;15,P46&lt;107,P46&gt;109.6),"Toạ độ ngoài Gia Lai (đảo vĩ/kinh độ?)",IF(Q46="","Chọn cách xác định",IF(U46&gt;20000,"Dời hơn 20 km – kiểm tra lại","OK")))),IF(AND(N46&lt;&gt;"Sửa vị trí",OR(O46&lt;&gt;"",P46&lt;&gt;"")),"Có toạ độ mới nhưng kết quả không phải Sửa vị trí","OK")))</f>
        <v/>
      </c>
    </row>
    <row r="47">
      <c r="A47" s="9" t="n">
        <v>43</v>
      </c>
      <c r="B47" s="9" t="inlineStr">
        <is>
          <t>c8c8d657-5d10-4678-9ec1-aaef5e58b289</t>
        </is>
      </c>
      <c r="C47" s="9" t="inlineStr">
        <is>
          <t>Cao</t>
        </is>
      </c>
      <c r="D47" s="10" t="inlineStr">
        <is>
          <t>Nhà Nghỉ 47</t>
        </is>
      </c>
      <c r="E47" s="9" t="inlineStr">
        <is>
          <t>Nhà nghỉ</t>
        </is>
      </c>
      <c r="F47" s="9" t="inlineStr">
        <is>
          <t>Dữ liệu gialai-travel</t>
        </is>
      </c>
      <c r="G47" s="10" t="inlineStr">
        <is>
          <t>47 Trường Chinh, Pleiku, Gia Lai 600000, Việt Nam</t>
        </is>
      </c>
      <c r="H47" s="9" t="inlineStr">
        <is>
          <t>Phường Pleiku</t>
        </is>
      </c>
      <c r="I47" s="11" t="n">
        <v>13.967844</v>
      </c>
      <c r="J47" s="11" t="n">
        <v>108.016891</v>
      </c>
      <c r="K47" s="9" t="inlineStr">
        <is>
          <t>Chưa đối chiếu</t>
        </is>
      </c>
      <c r="L47" s="10" t="n"/>
      <c r="M47" s="12" t="inlineStr">
        <is>
          <t>Bản đồ</t>
        </is>
      </c>
      <c r="N47" s="13" t="n"/>
      <c r="O47" s="14" t="n"/>
      <c r="P47" s="14" t="n"/>
      <c r="Q47" s="13" t="n"/>
      <c r="R47" s="15" t="n"/>
      <c r="S47" s="13" t="n"/>
      <c r="T47" s="13" t="n"/>
      <c r="U47" s="16">
        <f>IF(AND(ISNUMBER(O47),ISNUMBER(P47)),ROUND(SQRT(((P47-J47)*111320*COS(RADIANS(I47)))^2+((O47-I47)*110540)^2),0),"")</f>
        <v/>
      </c>
      <c r="V47" s="17">
        <f>IF(N47="","",IF(N47="Sửa vị trí",IF(OR(O47="",P47=""),"Thiếu vĩ độ / kinh độ mới",IF(OR(O47&lt;12.5,O47&gt;15,P47&lt;107,P47&gt;109.6),"Toạ độ ngoài Gia Lai (đảo vĩ/kinh độ?)",IF(Q47="","Chọn cách xác định",IF(U47&gt;20000,"Dời hơn 20 km – kiểm tra lại","OK")))),IF(AND(N47&lt;&gt;"Sửa vị trí",OR(O47&lt;&gt;"",P47&lt;&gt;"")),"Có toạ độ mới nhưng kết quả không phải Sửa vị trí","OK")))</f>
        <v/>
      </c>
    </row>
    <row r="48">
      <c r="A48" s="9" t="n">
        <v>44</v>
      </c>
      <c r="B48" s="9" t="inlineStr">
        <is>
          <t>9097ede3-3e8e-46cc-8101-ae48c2aa6e04</t>
        </is>
      </c>
      <c r="C48" s="9" t="inlineStr">
        <is>
          <t>Cao</t>
        </is>
      </c>
      <c r="D48" s="10" t="inlineStr">
        <is>
          <t>Nhà Nghỉ Phương Anh</t>
        </is>
      </c>
      <c r="E48" s="9" t="inlineStr">
        <is>
          <t>Nhà nghỉ</t>
        </is>
      </c>
      <c r="F48" s="9" t="inlineStr">
        <is>
          <t>Dữ liệu gialai-travel</t>
        </is>
      </c>
      <c r="G48" s="10" t="inlineStr">
        <is>
          <t>71 Phan Đình Giót, Pleiku, Gia Lai 600000, Việt Nam</t>
        </is>
      </c>
      <c r="H48" s="9" t="inlineStr">
        <is>
          <t>Phường Pleiku</t>
        </is>
      </c>
      <c r="I48" s="11" t="n">
        <v>13.984357</v>
      </c>
      <c r="J48" s="11" t="n">
        <v>108.00875</v>
      </c>
      <c r="K48" s="9" t="inlineStr">
        <is>
          <t>Chưa đối chiếu</t>
        </is>
      </c>
      <c r="L48" s="10" t="n"/>
      <c r="M48" s="12" t="inlineStr">
        <is>
          <t>Bản đồ</t>
        </is>
      </c>
      <c r="N48" s="13" t="n"/>
      <c r="O48" s="14" t="n"/>
      <c r="P48" s="14" t="n"/>
      <c r="Q48" s="13" t="n"/>
      <c r="R48" s="15" t="n"/>
      <c r="S48" s="13" t="n"/>
      <c r="T48" s="13" t="n"/>
      <c r="U48" s="16">
        <f>IF(AND(ISNUMBER(O48),ISNUMBER(P48)),ROUND(SQRT(((P48-J48)*111320*COS(RADIANS(I48)))^2+((O48-I48)*110540)^2),0),"")</f>
        <v/>
      </c>
      <c r="V48" s="17">
        <f>IF(N48="","",IF(N48="Sửa vị trí",IF(OR(O48="",P48=""),"Thiếu vĩ độ / kinh độ mới",IF(OR(O48&lt;12.5,O48&gt;15,P48&lt;107,P48&gt;109.6),"Toạ độ ngoài Gia Lai (đảo vĩ/kinh độ?)",IF(Q48="","Chọn cách xác định",IF(U48&gt;20000,"Dời hơn 20 km – kiểm tra lại","OK")))),IF(AND(N48&lt;&gt;"Sửa vị trí",OR(O48&lt;&gt;"",P48&lt;&gt;"")),"Có toạ độ mới nhưng kết quả không phải Sửa vị trí","OK")))</f>
        <v/>
      </c>
    </row>
    <row r="49">
      <c r="A49" s="9" t="n">
        <v>45</v>
      </c>
      <c r="B49" s="9" t="inlineStr">
        <is>
          <t>e78e2bd4-1179-4cef-8832-c73dc4f50f7c</t>
        </is>
      </c>
      <c r="C49" s="9" t="inlineStr">
        <is>
          <t>Cao</t>
        </is>
      </c>
      <c r="D49" s="10" t="inlineStr">
        <is>
          <t>Nhà nghỉ - Hotel Valentine</t>
        </is>
      </c>
      <c r="E49" s="9" t="inlineStr">
        <is>
          <t>Nhà nghỉ</t>
        </is>
      </c>
      <c r="F49" s="9" t="inlineStr">
        <is>
          <t>Dữ liệu gialai-travel</t>
        </is>
      </c>
      <c r="G49" s="10" t="inlineStr">
        <is>
          <t>37 Tôn Thất Thuyết, Thống Nhất, Gia Lai 600000, Việt Nam</t>
        </is>
      </c>
      <c r="H49" s="9" t="inlineStr">
        <is>
          <t>Phường Thống Nhất</t>
        </is>
      </c>
      <c r="I49" s="11" t="n">
        <v>13.994021</v>
      </c>
      <c r="J49" s="11" t="n">
        <v>108.001402</v>
      </c>
      <c r="K49" s="9" t="inlineStr">
        <is>
          <t>Chưa đối chiếu</t>
        </is>
      </c>
      <c r="L49" s="10" t="n"/>
      <c r="M49" s="12" t="inlineStr">
        <is>
          <t>Bản đồ</t>
        </is>
      </c>
      <c r="N49" s="13" t="n"/>
      <c r="O49" s="14" t="n"/>
      <c r="P49" s="14" t="n"/>
      <c r="Q49" s="13" t="n"/>
      <c r="R49" s="15" t="n"/>
      <c r="S49" s="13" t="n"/>
      <c r="T49" s="13" t="n"/>
      <c r="U49" s="16">
        <f>IF(AND(ISNUMBER(O49),ISNUMBER(P49)),ROUND(SQRT(((P49-J49)*111320*COS(RADIANS(I49)))^2+((O49-I49)*110540)^2),0),"")</f>
        <v/>
      </c>
      <c r="V49" s="17">
        <f>IF(N49="","",IF(N49="Sửa vị trí",IF(OR(O49="",P49=""),"Thiếu vĩ độ / kinh độ mới",IF(OR(O49&lt;12.5,O49&gt;15,P49&lt;107,P49&gt;109.6),"Toạ độ ngoài Gia Lai (đảo vĩ/kinh độ?)",IF(Q49="","Chọn cách xác định",IF(U49&gt;20000,"Dời hơn 20 km – kiểm tra lại","OK")))),IF(AND(N49&lt;&gt;"Sửa vị trí",OR(O49&lt;&gt;"",P49&lt;&gt;"")),"Có toạ độ mới nhưng kết quả không phải Sửa vị trí","OK")))</f>
        <v/>
      </c>
    </row>
    <row r="50">
      <c r="A50" s="9" t="n">
        <v>46</v>
      </c>
      <c r="B50" s="9" t="inlineStr">
        <is>
          <t>622fd4a8-89cf-4194-8984-7b7bc388c20e</t>
        </is>
      </c>
      <c r="C50" s="9" t="inlineStr">
        <is>
          <t>Cao</t>
        </is>
      </c>
      <c r="D50" s="10" t="inlineStr">
        <is>
          <t>Nhà nghỉ AN NHIÊN</t>
        </is>
      </c>
      <c r="E50" s="9" t="inlineStr">
        <is>
          <t>Nhà nghỉ</t>
        </is>
      </c>
      <c r="F50" s="9" t="inlineStr">
        <is>
          <t>Dữ liệu gialai-travel</t>
        </is>
      </c>
      <c r="G50" s="10" t="inlineStr">
        <is>
          <t>Tôn Thất Tùng, Chư Prông, Gia Lai, Việt Nam</t>
        </is>
      </c>
      <c r="H50" s="9" t="inlineStr">
        <is>
          <t>Xã Chư Prông</t>
        </is>
      </c>
      <c r="I50" s="11" t="n">
        <v>13.760638</v>
      </c>
      <c r="J50" s="11" t="n">
        <v>107.887069</v>
      </c>
      <c r="K50" s="9" t="inlineStr">
        <is>
          <t>Chưa đối chiếu</t>
        </is>
      </c>
      <c r="L50" s="10" t="n"/>
      <c r="M50" s="12" t="inlineStr">
        <is>
          <t>Bản đồ</t>
        </is>
      </c>
      <c r="N50" s="13" t="n"/>
      <c r="O50" s="14" t="n"/>
      <c r="P50" s="14" t="n"/>
      <c r="Q50" s="13" t="n"/>
      <c r="R50" s="15" t="n"/>
      <c r="S50" s="13" t="n"/>
      <c r="T50" s="13" t="n"/>
      <c r="U50" s="16">
        <f>IF(AND(ISNUMBER(O50),ISNUMBER(P50)),ROUND(SQRT(((P50-J50)*111320*COS(RADIANS(I50)))^2+((O50-I50)*110540)^2),0),"")</f>
        <v/>
      </c>
      <c r="V50" s="17">
        <f>IF(N50="","",IF(N50="Sửa vị trí",IF(OR(O50="",P50=""),"Thiếu vĩ độ / kinh độ mới",IF(OR(O50&lt;12.5,O50&gt;15,P50&lt;107,P50&gt;109.6),"Toạ độ ngoài Gia Lai (đảo vĩ/kinh độ?)",IF(Q50="","Chọn cách xác định",IF(U50&gt;20000,"Dời hơn 20 km – kiểm tra lại","OK")))),IF(AND(N50&lt;&gt;"Sửa vị trí",OR(O50&lt;&gt;"",P50&lt;&gt;"")),"Có toạ độ mới nhưng kết quả không phải Sửa vị trí","OK")))</f>
        <v/>
      </c>
    </row>
    <row r="51">
      <c r="A51" s="9" t="n">
        <v>47</v>
      </c>
      <c r="B51" s="9" t="inlineStr">
        <is>
          <t>a79b01be-37aa-49ca-bab3-35063f594c57</t>
        </is>
      </c>
      <c r="C51" s="9" t="inlineStr">
        <is>
          <t>Cao</t>
        </is>
      </c>
      <c r="D51" s="10" t="inlineStr">
        <is>
          <t>Nhà Nghỉ Chư Sê</t>
        </is>
      </c>
      <c r="E51" s="9" t="inlineStr">
        <is>
          <t>Nhà nghỉ</t>
        </is>
      </c>
      <c r="F51" s="9" t="inlineStr">
        <is>
          <t>Dữ liệu gialai-travel</t>
        </is>
      </c>
      <c r="G51" s="10" t="inlineStr">
        <is>
          <t>352 đường Đ. Hùng Vương, Chư Sê, Gia Lai, Việt Nam</t>
        </is>
      </c>
      <c r="H51" s="9" t="inlineStr">
        <is>
          <t>Xã Chư Sê</t>
        </is>
      </c>
      <c r="I51" s="11" t="n">
        <v>13.722133</v>
      </c>
      <c r="J51" s="11" t="n">
        <v>108.064167</v>
      </c>
      <c r="K51" s="9" t="inlineStr">
        <is>
          <t>Chưa đối chiếu</t>
        </is>
      </c>
      <c r="L51" s="10" t="n"/>
      <c r="M51" s="12" t="inlineStr">
        <is>
          <t>Bản đồ</t>
        </is>
      </c>
      <c r="N51" s="13" t="n"/>
      <c r="O51" s="14" t="n"/>
      <c r="P51" s="14" t="n"/>
      <c r="Q51" s="13" t="n"/>
      <c r="R51" s="15" t="n"/>
      <c r="S51" s="13" t="n"/>
      <c r="T51" s="13" t="n"/>
      <c r="U51" s="16">
        <f>IF(AND(ISNUMBER(O51),ISNUMBER(P51)),ROUND(SQRT(((P51-J51)*111320*COS(RADIANS(I51)))^2+((O51-I51)*110540)^2),0),"")</f>
        <v/>
      </c>
      <c r="V51" s="17">
        <f>IF(N51="","",IF(N51="Sửa vị trí",IF(OR(O51="",P51=""),"Thiếu vĩ độ / kinh độ mới",IF(OR(O51&lt;12.5,O51&gt;15,P51&lt;107,P51&gt;109.6),"Toạ độ ngoài Gia Lai (đảo vĩ/kinh độ?)",IF(Q51="","Chọn cách xác định",IF(U51&gt;20000,"Dời hơn 20 km – kiểm tra lại","OK")))),IF(AND(N51&lt;&gt;"Sửa vị trí",OR(O51&lt;&gt;"",P51&lt;&gt;"")),"Có toạ độ mới nhưng kết quả không phải Sửa vị trí","OK")))</f>
        <v/>
      </c>
    </row>
    <row r="52">
      <c r="A52" s="9" t="n">
        <v>48</v>
      </c>
      <c r="B52" s="9" t="inlineStr">
        <is>
          <t>d65bb2f7-7826-4fd7-94d6-8c1e9e61bfbb</t>
        </is>
      </c>
      <c r="C52" s="9" t="inlineStr">
        <is>
          <t>Cao</t>
        </is>
      </c>
      <c r="D52" s="10" t="inlineStr">
        <is>
          <t>Nhà Nghỉ QUÝ MAI</t>
        </is>
      </c>
      <c r="E52" s="9" t="inlineStr">
        <is>
          <t>Nhà nghỉ</t>
        </is>
      </c>
      <c r="F52" s="9" t="inlineStr">
        <is>
          <t>Dữ liệu gialai-travel</t>
        </is>
      </c>
      <c r="G52" s="10" t="inlineStr">
        <is>
          <t>Đoàn Thị Điểm, TDP1, Chư Sê, Gia Lai, Việt Nam</t>
        </is>
      </c>
      <c r="H52" s="9" t="inlineStr">
        <is>
          <t>Xã Chư Sê</t>
        </is>
      </c>
      <c r="I52" s="11" t="n">
        <v>13.697988</v>
      </c>
      <c r="J52" s="11" t="n">
        <v>108.071398</v>
      </c>
      <c r="K52" s="9" t="inlineStr">
        <is>
          <t>Chưa đối chiếu</t>
        </is>
      </c>
      <c r="L52" s="10" t="n"/>
      <c r="M52" s="12" t="inlineStr">
        <is>
          <t>Bản đồ</t>
        </is>
      </c>
      <c r="N52" s="13" t="n"/>
      <c r="O52" s="14" t="n"/>
      <c r="P52" s="14" t="n"/>
      <c r="Q52" s="13" t="n"/>
      <c r="R52" s="15" t="n"/>
      <c r="S52" s="13" t="n"/>
      <c r="T52" s="13" t="n"/>
      <c r="U52" s="16">
        <f>IF(AND(ISNUMBER(O52),ISNUMBER(P52)),ROUND(SQRT(((P52-J52)*111320*COS(RADIANS(I52)))^2+((O52-I52)*110540)^2),0),"")</f>
        <v/>
      </c>
      <c r="V52" s="17">
        <f>IF(N52="","",IF(N52="Sửa vị trí",IF(OR(O52="",P52=""),"Thiếu vĩ độ / kinh độ mới",IF(OR(O52&lt;12.5,O52&gt;15,P52&lt;107,P52&gt;109.6),"Toạ độ ngoài Gia Lai (đảo vĩ/kinh độ?)",IF(Q52="","Chọn cách xác định",IF(U52&gt;20000,"Dời hơn 20 km – kiểm tra lại","OK")))),IF(AND(N52&lt;&gt;"Sửa vị trí",OR(O52&lt;&gt;"",P52&lt;&gt;"")),"Có toạ độ mới nhưng kết quả không phải Sửa vị trí","OK")))</f>
        <v/>
      </c>
    </row>
    <row r="53">
      <c r="A53" s="9" t="n">
        <v>49</v>
      </c>
      <c r="B53" s="9" t="inlineStr">
        <is>
          <t>d23419d9-dfc1-4c9f-b81a-d229dc4d9fd8</t>
        </is>
      </c>
      <c r="C53" s="9" t="inlineStr">
        <is>
          <t>Cao</t>
        </is>
      </c>
      <c r="D53" s="10" t="inlineStr">
        <is>
          <t>Nhà nghỉ 123 HƯNG THỊNH có bãi đỗ ô tô.</t>
        </is>
      </c>
      <c r="E53" s="9" t="inlineStr">
        <is>
          <t>Nhà nghỉ</t>
        </is>
      </c>
      <c r="F53" s="9" t="inlineStr">
        <is>
          <t>Dữ liệu gialai-travel</t>
        </is>
      </c>
      <c r="G53" s="10" t="inlineStr">
        <is>
          <t>Thôn 7, Chư Sê, Gia Lai, Việt Nam</t>
        </is>
      </c>
      <c r="H53" s="9" t="inlineStr">
        <is>
          <t>Xã Chư Sê</t>
        </is>
      </c>
      <c r="I53" s="11" t="n">
        <v>13.671696</v>
      </c>
      <c r="J53" s="11" t="n">
        <v>108.088472</v>
      </c>
      <c r="K53" s="9" t="inlineStr">
        <is>
          <t>Chưa đối chiếu</t>
        </is>
      </c>
      <c r="L53" s="10" t="n"/>
      <c r="M53" s="12" t="inlineStr">
        <is>
          <t>Bản đồ</t>
        </is>
      </c>
      <c r="N53" s="13" t="n"/>
      <c r="O53" s="14" t="n"/>
      <c r="P53" s="14" t="n"/>
      <c r="Q53" s="13" t="n"/>
      <c r="R53" s="15" t="n"/>
      <c r="S53" s="13" t="n"/>
      <c r="T53" s="13" t="n"/>
      <c r="U53" s="16">
        <f>IF(AND(ISNUMBER(O53),ISNUMBER(P53)),ROUND(SQRT(((P53-J53)*111320*COS(RADIANS(I53)))^2+((O53-I53)*110540)^2),0),"")</f>
        <v/>
      </c>
      <c r="V53" s="17">
        <f>IF(N53="","",IF(N53="Sửa vị trí",IF(OR(O53="",P53=""),"Thiếu vĩ độ / kinh độ mới",IF(OR(O53&lt;12.5,O53&gt;15,P53&lt;107,P53&gt;109.6),"Toạ độ ngoài Gia Lai (đảo vĩ/kinh độ?)",IF(Q53="","Chọn cách xác định",IF(U53&gt;20000,"Dời hơn 20 km – kiểm tra lại","OK")))),IF(AND(N53&lt;&gt;"Sửa vị trí",OR(O53&lt;&gt;"",P53&lt;&gt;"")),"Có toạ độ mới nhưng kết quả không phải Sửa vị trí","OK")))</f>
        <v/>
      </c>
    </row>
    <row r="54">
      <c r="A54" s="9" t="n">
        <v>50</v>
      </c>
      <c r="B54" s="9" t="inlineStr">
        <is>
          <t>c7528630-6d7c-43c3-81ca-e127ee30ab69</t>
        </is>
      </c>
      <c r="C54" s="9" t="inlineStr">
        <is>
          <t>Cao</t>
        </is>
      </c>
      <c r="D54" s="10" t="inlineStr">
        <is>
          <t>Nhà Nghỉ Hoàng Dung</t>
        </is>
      </c>
      <c r="E54" s="9" t="inlineStr">
        <is>
          <t>Nhà nghỉ</t>
        </is>
      </c>
      <c r="F54" s="9" t="inlineStr">
        <is>
          <t>Dữ liệu gialai-travel</t>
        </is>
      </c>
      <c r="G54" s="10" t="inlineStr">
        <is>
          <t>Đ. Nguyễn Văn Linh, Đức Cơ, Gia Lai, Việt Nam</t>
        </is>
      </c>
      <c r="H54" s="9" t="inlineStr">
        <is>
          <t>Xã Đức Cơ</t>
        </is>
      </c>
      <c r="I54" s="11" t="n">
        <v>13.812252</v>
      </c>
      <c r="J54" s="11" t="n">
        <v>107.705591</v>
      </c>
      <c r="K54" s="9" t="inlineStr">
        <is>
          <t>Chưa đối chiếu</t>
        </is>
      </c>
      <c r="L54" s="10" t="n"/>
      <c r="M54" s="12" t="inlineStr">
        <is>
          <t>Bản đồ</t>
        </is>
      </c>
      <c r="N54" s="13" t="n"/>
      <c r="O54" s="14" t="n"/>
      <c r="P54" s="14" t="n"/>
      <c r="Q54" s="13" t="n"/>
      <c r="R54" s="15" t="n"/>
      <c r="S54" s="13" t="n"/>
      <c r="T54" s="13" t="n"/>
      <c r="U54" s="16">
        <f>IF(AND(ISNUMBER(O54),ISNUMBER(P54)),ROUND(SQRT(((P54-J54)*111320*COS(RADIANS(I54)))^2+((O54-I54)*110540)^2),0),"")</f>
        <v/>
      </c>
      <c r="V54" s="17">
        <f>IF(N54="","",IF(N54="Sửa vị trí",IF(OR(O54="",P54=""),"Thiếu vĩ độ / kinh độ mới",IF(OR(O54&lt;12.5,O54&gt;15,P54&lt;107,P54&gt;109.6),"Toạ độ ngoài Gia Lai (đảo vĩ/kinh độ?)",IF(Q54="","Chọn cách xác định",IF(U54&gt;20000,"Dời hơn 20 km – kiểm tra lại","OK")))),IF(AND(N54&lt;&gt;"Sửa vị trí",OR(O54&lt;&gt;"",P54&lt;&gt;"")),"Có toạ độ mới nhưng kết quả không phải Sửa vị trí","OK")))</f>
        <v/>
      </c>
    </row>
    <row r="55">
      <c r="A55" s="9" t="n">
        <v>51</v>
      </c>
      <c r="B55" s="9" t="inlineStr">
        <is>
          <t>50f62d21-0c7a-42a0-9d3b-0330249628ca</t>
        </is>
      </c>
      <c r="C55" s="9" t="inlineStr">
        <is>
          <t>Cao</t>
        </is>
      </c>
      <c r="D55" s="10" t="inlineStr">
        <is>
          <t>Bảo Tàng Dân Tộc Học Gia Lai</t>
        </is>
      </c>
      <c r="E55" s="9" t="inlineStr">
        <is>
          <t>Địa danh văn hóa</t>
        </is>
      </c>
      <c r="F55" s="9" t="inlineStr">
        <is>
          <t>Dữ liệu gialai-travel</t>
        </is>
      </c>
      <c r="G55" s="10" t="inlineStr">
        <is>
          <t>42 Phan Đình Giót, Tp. Pleiku, Gia Lai</t>
        </is>
      </c>
      <c r="H55" s="9" t="inlineStr">
        <is>
          <t>Phường Pleiku</t>
        </is>
      </c>
      <c r="I55" s="11" t="n">
        <v>13.9793</v>
      </c>
      <c r="J55" s="11" t="n">
        <v>108.0125</v>
      </c>
      <c r="K55" s="9" t="inlineStr">
        <is>
          <t>Chưa đối chiếu</t>
        </is>
      </c>
      <c r="L55" s="10" t="n"/>
      <c r="M55" s="12" t="inlineStr">
        <is>
          <t>Bản đồ</t>
        </is>
      </c>
      <c r="N55" s="13" t="n"/>
      <c r="O55" s="14" t="n"/>
      <c r="P55" s="14" t="n"/>
      <c r="Q55" s="13" t="n"/>
      <c r="R55" s="15" t="n"/>
      <c r="S55" s="13" t="n"/>
      <c r="T55" s="13" t="n"/>
      <c r="U55" s="16">
        <f>IF(AND(ISNUMBER(O55),ISNUMBER(P55)),ROUND(SQRT(((P55-J55)*111320*COS(RADIANS(I55)))^2+((O55-I55)*110540)^2),0),"")</f>
        <v/>
      </c>
      <c r="V55" s="17">
        <f>IF(N55="","",IF(N55="Sửa vị trí",IF(OR(O55="",P55=""),"Thiếu vĩ độ / kinh độ mới",IF(OR(O55&lt;12.5,O55&gt;15,P55&lt;107,P55&gt;109.6),"Toạ độ ngoài Gia Lai (đảo vĩ/kinh độ?)",IF(Q55="","Chọn cách xác định",IF(U55&gt;20000,"Dời hơn 20 km – kiểm tra lại","OK")))),IF(AND(N55&lt;&gt;"Sửa vị trí",OR(O55&lt;&gt;"",P55&lt;&gt;"")),"Có toạ độ mới nhưng kết quả không phải Sửa vị trí","OK")))</f>
        <v/>
      </c>
    </row>
    <row r="56">
      <c r="A56" s="9" t="n">
        <v>52</v>
      </c>
      <c r="B56" s="9" t="inlineStr">
        <is>
          <t>56bdf188-8d8a-4cae-8874-189b9403842f</t>
        </is>
      </c>
      <c r="C56" s="9" t="inlineStr">
        <is>
          <t>Cao</t>
        </is>
      </c>
      <c r="D56" s="10" t="inlineStr">
        <is>
          <t>Chùa Bửu Minh Pleiku</t>
        </is>
      </c>
      <c r="E56" s="9" t="inlineStr">
        <is>
          <t>Địa danh văn hóa</t>
        </is>
      </c>
      <c r="F56" s="9" t="inlineStr">
        <is>
          <t>Dữ liệu gialai-travel</t>
        </is>
      </c>
      <c r="G56" s="10" t="inlineStr">
        <is>
          <t>54 Trần Hưng Đạo, Tp. Pleiku, Gia Lai</t>
        </is>
      </c>
      <c r="H56" s="9" t="inlineStr">
        <is>
          <t>Phường Pleiku</t>
        </is>
      </c>
      <c r="I56" s="11" t="n">
        <v>13.9837</v>
      </c>
      <c r="J56" s="11" t="n">
        <v>108.0345</v>
      </c>
      <c r="K56" s="9" t="inlineStr">
        <is>
          <t>Chưa đối chiếu</t>
        </is>
      </c>
      <c r="L56" s="10" t="n"/>
      <c r="M56" s="12" t="inlineStr">
        <is>
          <t>Bản đồ</t>
        </is>
      </c>
      <c r="N56" s="13" t="n"/>
      <c r="O56" s="14" t="n"/>
      <c r="P56" s="14" t="n"/>
      <c r="Q56" s="13" t="n"/>
      <c r="R56" s="15" t="n"/>
      <c r="S56" s="13" t="n"/>
      <c r="T56" s="13" t="n"/>
      <c r="U56" s="16">
        <f>IF(AND(ISNUMBER(O56),ISNUMBER(P56)),ROUND(SQRT(((P56-J56)*111320*COS(RADIANS(I56)))^2+((O56-I56)*110540)^2),0),"")</f>
        <v/>
      </c>
      <c r="V56" s="17">
        <f>IF(N56="","",IF(N56="Sửa vị trí",IF(OR(O56="",P56=""),"Thiếu vĩ độ / kinh độ mới",IF(OR(O56&lt;12.5,O56&gt;15,P56&lt;107,P56&gt;109.6),"Toạ độ ngoài Gia Lai (đảo vĩ/kinh độ?)",IF(Q56="","Chọn cách xác định",IF(U56&gt;20000,"Dời hơn 20 km – kiểm tra lại","OK")))),IF(AND(N56&lt;&gt;"Sửa vị trí",OR(O56&lt;&gt;"",P56&lt;&gt;"")),"Có toạ độ mới nhưng kết quả không phải Sửa vị trí","OK")))</f>
        <v/>
      </c>
    </row>
    <row r="57">
      <c r="A57" s="9" t="n">
        <v>53</v>
      </c>
      <c r="B57" s="9" t="inlineStr">
        <is>
          <t>0cc01ede-5e6a-4023-9dfe-d4896843dd30</t>
        </is>
      </c>
      <c r="C57" s="9" t="inlineStr">
        <is>
          <t>Cao</t>
        </is>
      </c>
      <c r="D57" s="10" t="inlineStr">
        <is>
          <t>Chùa Minh Thành</t>
        </is>
      </c>
      <c r="E57" s="9" t="inlineStr">
        <is>
          <t>Địa danh văn hóa</t>
        </is>
      </c>
      <c r="F57" s="9" t="inlineStr">
        <is>
          <t>Dữ liệu gialai-travel</t>
        </is>
      </c>
      <c r="G57" s="10" t="inlineStr">
        <is>
          <t>Số 348 đường Nguyễn Viết Xuân, phường Hội Phú, thành phố Pleiku, tỉnh Gia Lai.</t>
        </is>
      </c>
      <c r="H57" s="9" t="inlineStr">
        <is>
          <t>Phường Pleiku</t>
        </is>
      </c>
      <c r="I57" s="11" t="n">
        <v>13.964964</v>
      </c>
      <c r="J57" s="11" t="n">
        <v>108.006275</v>
      </c>
      <c r="K57" s="9" t="inlineStr">
        <is>
          <t>Chưa đối chiếu</t>
        </is>
      </c>
      <c r="L57" s="10" t="n"/>
      <c r="M57" s="12" t="inlineStr">
        <is>
          <t>Bản đồ</t>
        </is>
      </c>
      <c r="N57" s="13" t="n"/>
      <c r="O57" s="14" t="n"/>
      <c r="P57" s="14" t="n"/>
      <c r="Q57" s="13" t="n"/>
      <c r="R57" s="15" t="n"/>
      <c r="S57" s="13" t="n"/>
      <c r="T57" s="13" t="n"/>
      <c r="U57" s="16">
        <f>IF(AND(ISNUMBER(O57),ISNUMBER(P57)),ROUND(SQRT(((P57-J57)*111320*COS(RADIANS(I57)))^2+((O57-I57)*110540)^2),0),"")</f>
        <v/>
      </c>
      <c r="V57" s="17">
        <f>IF(N57="","",IF(N57="Sửa vị trí",IF(OR(O57="",P57=""),"Thiếu vĩ độ / kinh độ mới",IF(OR(O57&lt;12.5,O57&gt;15,P57&lt;107,P57&gt;109.6),"Toạ độ ngoài Gia Lai (đảo vĩ/kinh độ?)",IF(Q57="","Chọn cách xác định",IF(U57&gt;20000,"Dời hơn 20 km – kiểm tra lại","OK")))),IF(AND(N57&lt;&gt;"Sửa vị trí",OR(O57&lt;&gt;"",P57&lt;&gt;"")),"Có toạ độ mới nhưng kết quả không phải Sửa vị trí","OK")))</f>
        <v/>
      </c>
    </row>
    <row r="58">
      <c r="A58" s="9" t="n">
        <v>54</v>
      </c>
      <c r="B58" s="9" t="inlineStr">
        <is>
          <t>350134b7-1ce5-47fd-97d2-4aaf83ff9ac0</t>
        </is>
      </c>
      <c r="C58" s="9" t="inlineStr">
        <is>
          <t>Cao</t>
        </is>
      </c>
      <c r="D58" s="10" t="inlineStr">
        <is>
          <t>Khu Di Tích Chiến Trường Gia Lai</t>
        </is>
      </c>
      <c r="E58" s="9" t="inlineStr">
        <is>
          <t>Địa danh văn hóa</t>
        </is>
      </c>
      <c r="F58" s="9" t="inlineStr">
        <is>
          <t>Dữ liệu gialai-travel</t>
        </is>
      </c>
      <c r="G58" s="10" t="inlineStr">
        <is>
          <t>Đường Nguyễn Tất Thành, Tp. Pleiku, Gia Lai</t>
        </is>
      </c>
      <c r="H58" s="9" t="inlineStr">
        <is>
          <t>Phường Pleiku</t>
        </is>
      </c>
      <c r="I58" s="11" t="n">
        <v>13.9764</v>
      </c>
      <c r="J58" s="11" t="n">
        <v>108.0082</v>
      </c>
      <c r="K58" s="9" t="inlineStr">
        <is>
          <t>Chưa đối chiếu</t>
        </is>
      </c>
      <c r="L58" s="10" t="n"/>
      <c r="M58" s="12" t="inlineStr">
        <is>
          <t>Bản đồ</t>
        </is>
      </c>
      <c r="N58" s="13" t="n"/>
      <c r="O58" s="14" t="n"/>
      <c r="P58" s="14" t="n"/>
      <c r="Q58" s="13" t="n"/>
      <c r="R58" s="15" t="n"/>
      <c r="S58" s="13" t="n"/>
      <c r="T58" s="13" t="n"/>
      <c r="U58" s="16">
        <f>IF(AND(ISNUMBER(O58),ISNUMBER(P58)),ROUND(SQRT(((P58-J58)*111320*COS(RADIANS(I58)))^2+((O58-I58)*110540)^2),0),"")</f>
        <v/>
      </c>
      <c r="V58" s="17">
        <f>IF(N58="","",IF(N58="Sửa vị trí",IF(OR(O58="",P58=""),"Thiếu vĩ độ / kinh độ mới",IF(OR(O58&lt;12.5,O58&gt;15,P58&lt;107,P58&gt;109.6),"Toạ độ ngoài Gia Lai (đảo vĩ/kinh độ?)",IF(Q58="","Chọn cách xác định",IF(U58&gt;20000,"Dời hơn 20 km – kiểm tra lại","OK")))),IF(AND(N58&lt;&gt;"Sửa vị trí",OR(O58&lt;&gt;"",P58&lt;&gt;"")),"Có toạ độ mới nhưng kết quả không phải Sửa vị trí","OK")))</f>
        <v/>
      </c>
    </row>
    <row r="59">
      <c r="A59" s="9" t="n">
        <v>55</v>
      </c>
      <c r="B59" s="9" t="inlineStr">
        <is>
          <t>34404ba4-89cc-41b8-8bfa-6bae21f6c76f</t>
        </is>
      </c>
      <c r="C59" s="9" t="inlineStr">
        <is>
          <t>Cao</t>
        </is>
      </c>
      <c r="D59" s="10" t="inlineStr">
        <is>
          <t>Nhà thờ Gia Lai (Gia Lai Cathedral)</t>
        </is>
      </c>
      <c r="E59" s="9" t="inlineStr">
        <is>
          <t>Địa danh văn hóa</t>
        </is>
      </c>
      <c r="F59" s="9" t="inlineStr">
        <is>
          <t>Dữ liệu gialai-travel</t>
        </is>
      </c>
      <c r="G59" s="10" t="inlineStr">
        <is>
          <t>123 Trần Phú, Tp. Pleiku, Gia Lai</t>
        </is>
      </c>
      <c r="H59" s="9" t="inlineStr">
        <is>
          <t>Phường Pleiku</t>
        </is>
      </c>
      <c r="I59" s="11" t="n">
        <v>13.9873</v>
      </c>
      <c r="J59" s="11" t="n">
        <v>108.0158</v>
      </c>
      <c r="K59" s="9" t="inlineStr">
        <is>
          <t>Chưa đối chiếu</t>
        </is>
      </c>
      <c r="L59" s="10" t="n"/>
      <c r="M59" s="12" t="inlineStr">
        <is>
          <t>Bản đồ</t>
        </is>
      </c>
      <c r="N59" s="13" t="n"/>
      <c r="O59" s="14" t="n"/>
      <c r="P59" s="14" t="n"/>
      <c r="Q59" s="13" t="n"/>
      <c r="R59" s="15" t="n"/>
      <c r="S59" s="13" t="n"/>
      <c r="T59" s="13" t="n"/>
      <c r="U59" s="16">
        <f>IF(AND(ISNUMBER(O59),ISNUMBER(P59)),ROUND(SQRT(((P59-J59)*111320*COS(RADIANS(I59)))^2+((O59-I59)*110540)^2),0),"")</f>
        <v/>
      </c>
      <c r="V59" s="17">
        <f>IF(N59="","",IF(N59="Sửa vị trí",IF(OR(O59="",P59=""),"Thiếu vĩ độ / kinh độ mới",IF(OR(O59&lt;12.5,O59&gt;15,P59&lt;107,P59&gt;109.6),"Toạ độ ngoài Gia Lai (đảo vĩ/kinh độ?)",IF(Q59="","Chọn cách xác định",IF(U59&gt;20000,"Dời hơn 20 km – kiểm tra lại","OK")))),IF(AND(N59&lt;&gt;"Sửa vị trí",OR(O59&lt;&gt;"",P59&lt;&gt;"")),"Có toạ độ mới nhưng kết quả không phải Sửa vị trí","OK")))</f>
        <v/>
      </c>
    </row>
    <row r="60">
      <c r="A60" s="9" t="n">
        <v>56</v>
      </c>
      <c r="B60" s="9" t="inlineStr">
        <is>
          <t>c6ddcd37-0581-419c-a27a-556a05c43dc1</t>
        </is>
      </c>
      <c r="C60" s="9" t="inlineStr">
        <is>
          <t>Cao</t>
        </is>
      </c>
      <c r="D60" s="10" t="inlineStr">
        <is>
          <t>Thị xã An Khê</t>
        </is>
      </c>
      <c r="E60" s="9" t="inlineStr">
        <is>
          <t>Địa điểm check-in</t>
        </is>
      </c>
      <c r="F60" s="9" t="inlineStr">
        <is>
          <t>Dữ liệu gialai-travel</t>
        </is>
      </c>
      <c r="G60" s="10" t="inlineStr">
        <is>
          <t>TX. An Khê, Gia Lai</t>
        </is>
      </c>
      <c r="H60" s="9" t="inlineStr">
        <is>
          <t>Phường An Khê</t>
        </is>
      </c>
      <c r="I60" s="11" t="n">
        <v>13.9858</v>
      </c>
      <c r="J60" s="11" t="n">
        <v>108.6712</v>
      </c>
      <c r="K60" s="9" t="inlineStr">
        <is>
          <t>Chưa đối chiếu</t>
        </is>
      </c>
      <c r="L60" s="10" t="n"/>
      <c r="M60" s="12" t="inlineStr">
        <is>
          <t>Bản đồ</t>
        </is>
      </c>
      <c r="N60" s="13" t="n"/>
      <c r="O60" s="14" t="n"/>
      <c r="P60" s="14" t="n"/>
      <c r="Q60" s="13" t="n"/>
      <c r="R60" s="15" t="n"/>
      <c r="S60" s="13" t="n"/>
      <c r="T60" s="13" t="n"/>
      <c r="U60" s="16">
        <f>IF(AND(ISNUMBER(O60),ISNUMBER(P60)),ROUND(SQRT(((P60-J60)*111320*COS(RADIANS(I60)))^2+((O60-I60)*110540)^2),0),"")</f>
        <v/>
      </c>
      <c r="V60" s="17">
        <f>IF(N60="","",IF(N60="Sửa vị trí",IF(OR(O60="",P60=""),"Thiếu vĩ độ / kinh độ mới",IF(OR(O60&lt;12.5,O60&gt;15,P60&lt;107,P60&gt;109.6),"Toạ độ ngoài Gia Lai (đảo vĩ/kinh độ?)",IF(Q60="","Chọn cách xác định",IF(U60&gt;20000,"Dời hơn 20 km – kiểm tra lại","OK")))),IF(AND(N60&lt;&gt;"Sửa vị trí",OR(O60&lt;&gt;"",P60&lt;&gt;"")),"Có toạ độ mới nhưng kết quả không phải Sửa vị trí","OK")))</f>
        <v/>
      </c>
    </row>
    <row r="61">
      <c r="A61" s="9" t="n">
        <v>57</v>
      </c>
      <c r="B61" s="9" t="inlineStr">
        <is>
          <t>2f4aa9e6-5545-453f-8868-aafe0c954961</t>
        </is>
      </c>
      <c r="C61" s="9" t="inlineStr">
        <is>
          <t>Cao</t>
        </is>
      </c>
      <c r="D61" s="10" t="inlineStr">
        <is>
          <t>Núi Hồng Lợi</t>
        </is>
      </c>
      <c r="E61" s="9" t="inlineStr">
        <is>
          <t>Địa điểm check-in</t>
        </is>
      </c>
      <c r="F61" s="9" t="inlineStr">
        <is>
          <t>Dữ liệu gialai-travel</t>
        </is>
      </c>
      <c r="G61" s="10" t="inlineStr">
        <is>
          <t>Núi Hồng Lợi, Tp. Pleiku, Gia Lai</t>
        </is>
      </c>
      <c r="H61" s="9" t="inlineStr">
        <is>
          <t>Phường Pleiku</t>
        </is>
      </c>
      <c r="I61" s="11" t="n">
        <v>13.9856</v>
      </c>
      <c r="J61" s="11" t="n">
        <v>108.0098</v>
      </c>
      <c r="K61" s="9" t="inlineStr">
        <is>
          <t>Chưa đối chiếu</t>
        </is>
      </c>
      <c r="L61" s="10" t="n"/>
      <c r="M61" s="12" t="inlineStr">
        <is>
          <t>Bản đồ</t>
        </is>
      </c>
      <c r="N61" s="13" t="n"/>
      <c r="O61" s="14" t="n"/>
      <c r="P61" s="14" t="n"/>
      <c r="Q61" s="13" t="n"/>
      <c r="R61" s="15" t="n"/>
      <c r="S61" s="13" t="n"/>
      <c r="T61" s="13" t="n"/>
      <c r="U61" s="16">
        <f>IF(AND(ISNUMBER(O61),ISNUMBER(P61)),ROUND(SQRT(((P61-J61)*111320*COS(RADIANS(I61)))^2+((O61-I61)*110540)^2),0),"")</f>
        <v/>
      </c>
      <c r="V61" s="17">
        <f>IF(N61="","",IF(N61="Sửa vị trí",IF(OR(O61="",P61=""),"Thiếu vĩ độ / kinh độ mới",IF(OR(O61&lt;12.5,O61&gt;15,P61&lt;107,P61&gt;109.6),"Toạ độ ngoài Gia Lai (đảo vĩ/kinh độ?)",IF(Q61="","Chọn cách xác định",IF(U61&gt;20000,"Dời hơn 20 km – kiểm tra lại","OK")))),IF(AND(N61&lt;&gt;"Sửa vị trí",OR(O61&lt;&gt;"",P61&lt;&gt;"")),"Có toạ độ mới nhưng kết quả không phải Sửa vị trí","OK")))</f>
        <v/>
      </c>
    </row>
    <row r="62">
      <c r="A62" s="9" t="n">
        <v>58</v>
      </c>
      <c r="B62" s="9" t="inlineStr">
        <is>
          <t>0ecd6d4a-512b-47ac-a7ef-519eef670d87</t>
        </is>
      </c>
      <c r="C62" s="9" t="inlineStr">
        <is>
          <t>Cao</t>
        </is>
      </c>
      <c r="D62" s="10" t="inlineStr">
        <is>
          <t>Cánh Đồng Điện Gió Ia Pidong</t>
        </is>
      </c>
      <c r="E62" s="9" t="inlineStr">
        <is>
          <t>Địa điểm check-in</t>
        </is>
      </c>
      <c r="F62" s="9" t="inlineStr">
        <is>
          <t>Dữ liệu gialai-travel</t>
        </is>
      </c>
      <c r="G62" s="10" t="inlineStr">
        <is>
          <t>Xã Chư Prông, huyện Chư Prông, Gia Lai</t>
        </is>
      </c>
      <c r="H62" s="9" t="inlineStr">
        <is>
          <t>Xã Chư Prông</t>
        </is>
      </c>
      <c r="I62" s="11" t="n">
        <v>13.7649</v>
      </c>
      <c r="J62" s="11" t="n">
        <v>107.8958</v>
      </c>
      <c r="K62" s="9" t="inlineStr">
        <is>
          <t>Chưa đối chiếu</t>
        </is>
      </c>
      <c r="L62" s="10" t="n"/>
      <c r="M62" s="12" t="inlineStr">
        <is>
          <t>Bản đồ</t>
        </is>
      </c>
      <c r="N62" s="13" t="n"/>
      <c r="O62" s="14" t="n"/>
      <c r="P62" s="14" t="n"/>
      <c r="Q62" s="13" t="n"/>
      <c r="R62" s="15" t="n"/>
      <c r="S62" s="13" t="n"/>
      <c r="T62" s="13" t="n"/>
      <c r="U62" s="16">
        <f>IF(AND(ISNUMBER(O62),ISNUMBER(P62)),ROUND(SQRT(((P62-J62)*111320*COS(RADIANS(I62)))^2+((O62-I62)*110540)^2),0),"")</f>
        <v/>
      </c>
      <c r="V62" s="17">
        <f>IF(N62="","",IF(N62="Sửa vị trí",IF(OR(O62="",P62=""),"Thiếu vĩ độ / kinh độ mới",IF(OR(O62&lt;12.5,O62&gt;15,P62&lt;107,P62&gt;109.6),"Toạ độ ngoài Gia Lai (đảo vĩ/kinh độ?)",IF(Q62="","Chọn cách xác định",IF(U62&gt;20000,"Dời hơn 20 km – kiểm tra lại","OK")))),IF(AND(N62&lt;&gt;"Sửa vị trí",OR(O62&lt;&gt;"",P62&lt;&gt;"")),"Có toạ độ mới nhưng kết quả không phải Sửa vị trí","OK")))</f>
        <v/>
      </c>
    </row>
    <row r="63">
      <c r="A63" s="9" t="n">
        <v>59</v>
      </c>
      <c r="B63" s="9" t="inlineStr">
        <is>
          <t>8875479e-7c66-4836-ab8e-28e2c0162c3f</t>
        </is>
      </c>
      <c r="C63" s="9" t="inlineStr">
        <is>
          <t>Cao</t>
        </is>
      </c>
      <c r="D63" s="10" t="inlineStr">
        <is>
          <t>Hang Cẩm Lĩnh</t>
        </is>
      </c>
      <c r="E63" s="9" t="inlineStr">
        <is>
          <t>Địa điểm check-in</t>
        </is>
      </c>
      <c r="F63" s="9" t="inlineStr">
        <is>
          <t>Dữ liệu gialai-travel</t>
        </is>
      </c>
      <c r="G63" s="10" t="inlineStr">
        <is>
          <t>Xã Mang Yang, huyện Mang Yang, Gia Lai</t>
        </is>
      </c>
      <c r="H63" s="9" t="inlineStr">
        <is>
          <t>Xã Mang Yang</t>
        </is>
      </c>
      <c r="I63" s="11" t="n">
        <v>14.0315</v>
      </c>
      <c r="J63" s="11" t="n">
        <v>108.2398</v>
      </c>
      <c r="K63" s="9" t="inlineStr">
        <is>
          <t>Chưa đối chiếu</t>
        </is>
      </c>
      <c r="L63" s="10" t="n"/>
      <c r="M63" s="12" t="inlineStr">
        <is>
          <t>Bản đồ</t>
        </is>
      </c>
      <c r="N63" s="13" t="n"/>
      <c r="O63" s="14" t="n"/>
      <c r="P63" s="14" t="n"/>
      <c r="Q63" s="13" t="n"/>
      <c r="R63" s="15" t="n"/>
      <c r="S63" s="13" t="n"/>
      <c r="T63" s="13" t="n"/>
      <c r="U63" s="16">
        <f>IF(AND(ISNUMBER(O63),ISNUMBER(P63)),ROUND(SQRT(((P63-J63)*111320*COS(RADIANS(I63)))^2+((O63-I63)*110540)^2),0),"")</f>
        <v/>
      </c>
      <c r="V63" s="17">
        <f>IF(N63="","",IF(N63="Sửa vị trí",IF(OR(O63="",P63=""),"Thiếu vĩ độ / kinh độ mới",IF(OR(O63&lt;12.5,O63&gt;15,P63&lt;107,P63&gt;109.6),"Toạ độ ngoài Gia Lai (đảo vĩ/kinh độ?)",IF(Q63="","Chọn cách xác định",IF(U63&gt;20000,"Dời hơn 20 km – kiểm tra lại","OK")))),IF(AND(N63&lt;&gt;"Sửa vị trí",OR(O63&lt;&gt;"",P63&lt;&gt;"")),"Có toạ độ mới nhưng kết quả không phải Sửa vị trí","OK")))</f>
        <v/>
      </c>
    </row>
    <row r="64">
      <c r="A64" s="9" t="n">
        <v>60</v>
      </c>
      <c r="B64" s="9" t="inlineStr">
        <is>
          <t>c38d30b9-7435-d487-40c6-bd10bdb17ba6</t>
        </is>
      </c>
      <c r="C64" s="9" t="inlineStr">
        <is>
          <t>Trung bình</t>
        </is>
      </c>
      <c r="D64" s="10" t="inlineStr">
        <is>
          <t>ATM Agribank</t>
        </is>
      </c>
      <c r="E64" s="9" t="inlineStr">
        <is>
          <t>ATM</t>
        </is>
      </c>
      <c r="F64" s="9" t="inlineStr">
        <is>
          <t>OpenStreetMap</t>
        </is>
      </c>
      <c r="G64" s="10" t="inlineStr">
        <is>
          <t>Phường Quy Nhơn, Gia Lai</t>
        </is>
      </c>
      <c r="H64" s="9" t="inlineStr">
        <is>
          <t>Phường Quy Nhơn</t>
        </is>
      </c>
      <c r="I64" s="11" t="n">
        <v>13.779008</v>
      </c>
      <c r="J64" s="11" t="n">
        <v>109.225337</v>
      </c>
      <c r="K64" s="9" t="inlineStr">
        <is>
          <t>Đã đối chiếu</t>
        </is>
      </c>
      <c r="L64" s="10" t="n"/>
      <c r="M64" s="12" t="inlineStr">
        <is>
          <t>Bản đồ</t>
        </is>
      </c>
      <c r="N64" s="13" t="n"/>
      <c r="O64" s="14" t="n"/>
      <c r="P64" s="14" t="n"/>
      <c r="Q64" s="13" t="n"/>
      <c r="R64" s="15" t="n"/>
      <c r="S64" s="13" t="n"/>
      <c r="T64" s="13" t="n"/>
      <c r="U64" s="16">
        <f>IF(AND(ISNUMBER(O64),ISNUMBER(P64)),ROUND(SQRT(((P64-J64)*111320*COS(RADIANS(I64)))^2+((O64-I64)*110540)^2),0),"")</f>
        <v/>
      </c>
      <c r="V64" s="17">
        <f>IF(N64="","",IF(N64="Sửa vị trí",IF(OR(O64="",P64=""),"Thiếu vĩ độ / kinh độ mới",IF(OR(O64&lt;12.5,O64&gt;15,P64&lt;107,P64&gt;109.6),"Toạ độ ngoài Gia Lai (đảo vĩ/kinh độ?)",IF(Q64="","Chọn cách xác định",IF(U64&gt;20000,"Dời hơn 20 km – kiểm tra lại","OK")))),IF(AND(N64&lt;&gt;"Sửa vị trí",OR(O64&lt;&gt;"",P64&lt;&gt;"")),"Có toạ độ mới nhưng kết quả không phải Sửa vị trí","OK")))</f>
        <v/>
      </c>
    </row>
    <row r="65">
      <c r="A65" s="9" t="n">
        <v>61</v>
      </c>
      <c r="B65" s="9" t="inlineStr">
        <is>
          <t>ebfb07c3-b1d4-ac96-0f73-dcff16f3596e</t>
        </is>
      </c>
      <c r="C65" s="9" t="inlineStr">
        <is>
          <t>Trung bình</t>
        </is>
      </c>
      <c r="D65" s="10" t="inlineStr">
        <is>
          <t>AGRIBANK</t>
        </is>
      </c>
      <c r="E65" s="9" t="inlineStr">
        <is>
          <t>ATM</t>
        </is>
      </c>
      <c r="F65" s="9" t="inlineStr">
        <is>
          <t>OpenStreetMap</t>
        </is>
      </c>
      <c r="G65" s="10" t="inlineStr">
        <is>
          <t>Phường Quy Nhơn Nam, Gia Lai</t>
        </is>
      </c>
      <c r="H65" s="9" t="inlineStr">
        <is>
          <t>Phường Quy Nhơn Nam</t>
        </is>
      </c>
      <c r="I65" s="11" t="n">
        <v>13.756939</v>
      </c>
      <c r="J65" s="11" t="n">
        <v>109.218009</v>
      </c>
      <c r="K65" s="9" t="inlineStr">
        <is>
          <t>Đã đối chiếu</t>
        </is>
      </c>
      <c r="L65" s="10" t="n"/>
      <c r="M65" s="12" t="inlineStr">
        <is>
          <t>Bản đồ</t>
        </is>
      </c>
      <c r="N65" s="13" t="n"/>
      <c r="O65" s="14" t="n"/>
      <c r="P65" s="14" t="n"/>
      <c r="Q65" s="13" t="n"/>
      <c r="R65" s="15" t="n"/>
      <c r="S65" s="13" t="n"/>
      <c r="T65" s="13" t="n"/>
      <c r="U65" s="16">
        <f>IF(AND(ISNUMBER(O65),ISNUMBER(P65)),ROUND(SQRT(((P65-J65)*111320*COS(RADIANS(I65)))^2+((O65-I65)*110540)^2),0),"")</f>
        <v/>
      </c>
      <c r="V65" s="17">
        <f>IF(N65="","",IF(N65="Sửa vị trí",IF(OR(O65="",P65=""),"Thiếu vĩ độ / kinh độ mới",IF(OR(O65&lt;12.5,O65&gt;15,P65&lt;107,P65&gt;109.6),"Toạ độ ngoài Gia Lai (đảo vĩ/kinh độ?)",IF(Q65="","Chọn cách xác định",IF(U65&gt;20000,"Dời hơn 20 km – kiểm tra lại","OK")))),IF(AND(N65&lt;&gt;"Sửa vị trí",OR(O65&lt;&gt;"",P65&lt;&gt;"")),"Có toạ độ mới nhưng kết quả không phải Sửa vị trí","OK")))</f>
        <v/>
      </c>
    </row>
    <row r="66">
      <c r="A66" s="9" t="n">
        <v>62</v>
      </c>
      <c r="B66" s="9" t="inlineStr">
        <is>
          <t>4e19b9de-c772-4697-d544-74703b386f04</t>
        </is>
      </c>
      <c r="C66" s="9" t="inlineStr">
        <is>
          <t>Trung bình</t>
        </is>
      </c>
      <c r="D66" s="10" t="inlineStr">
        <is>
          <t>BIDV</t>
        </is>
      </c>
      <c r="E66" s="9" t="inlineStr">
        <is>
          <t>ATM</t>
        </is>
      </c>
      <c r="F66" s="9" t="inlineStr">
        <is>
          <t>OpenStreetMap</t>
        </is>
      </c>
      <c r="G66" s="10" t="inlineStr">
        <is>
          <t>Phường Quy Nhơn Nam, Gia Lai</t>
        </is>
      </c>
      <c r="H66" s="9" t="inlineStr">
        <is>
          <t>Phường Quy Nhơn Nam</t>
        </is>
      </c>
      <c r="I66" s="11" t="n">
        <v>13.757955</v>
      </c>
      <c r="J66" s="11" t="n">
        <v>109.218589</v>
      </c>
      <c r="K66" s="9" t="inlineStr">
        <is>
          <t>Đã đối chiếu</t>
        </is>
      </c>
      <c r="L66" s="10" t="n"/>
      <c r="M66" s="12" t="inlineStr">
        <is>
          <t>Bản đồ</t>
        </is>
      </c>
      <c r="N66" s="13" t="n"/>
      <c r="O66" s="14" t="n"/>
      <c r="P66" s="14" t="n"/>
      <c r="Q66" s="13" t="n"/>
      <c r="R66" s="15" t="n"/>
      <c r="S66" s="13" t="n"/>
      <c r="T66" s="13" t="n"/>
      <c r="U66" s="16">
        <f>IF(AND(ISNUMBER(O66),ISNUMBER(P66)),ROUND(SQRT(((P66-J66)*111320*COS(RADIANS(I66)))^2+((O66-I66)*110540)^2),0),"")</f>
        <v/>
      </c>
      <c r="V66" s="17">
        <f>IF(N66="","",IF(N66="Sửa vị trí",IF(OR(O66="",P66=""),"Thiếu vĩ độ / kinh độ mới",IF(OR(O66&lt;12.5,O66&gt;15,P66&lt;107,P66&gt;109.6),"Toạ độ ngoài Gia Lai (đảo vĩ/kinh độ?)",IF(Q66="","Chọn cách xác định",IF(U66&gt;20000,"Dời hơn 20 km – kiểm tra lại","OK")))),IF(AND(N66&lt;&gt;"Sửa vị trí",OR(O66&lt;&gt;"",P66&lt;&gt;"")),"Có toạ độ mới nhưng kết quả không phải Sửa vị trí","OK")))</f>
        <v/>
      </c>
    </row>
    <row r="67">
      <c r="A67" s="9" t="n">
        <v>63</v>
      </c>
      <c r="B67" s="9" t="inlineStr">
        <is>
          <t>d94a543f-c447-360f-d6ad-152215475965</t>
        </is>
      </c>
      <c r="C67" s="9" t="inlineStr">
        <is>
          <t>Trung bình</t>
        </is>
      </c>
      <c r="D67" s="10" t="inlineStr">
        <is>
          <t>VietinBank</t>
        </is>
      </c>
      <c r="E67" s="9" t="inlineStr">
        <is>
          <t>ATM</t>
        </is>
      </c>
      <c r="F67" s="9" t="inlineStr">
        <is>
          <t>OpenStreetMap</t>
        </is>
      </c>
      <c r="G67" s="10" t="inlineStr">
        <is>
          <t>Phường Quy Nhơn Nam, Gia Lai</t>
        </is>
      </c>
      <c r="H67" s="9" t="inlineStr">
        <is>
          <t>Phường Quy Nhơn Nam</t>
        </is>
      </c>
      <c r="I67" s="11" t="n">
        <v>13.756881</v>
      </c>
      <c r="J67" s="11" t="n">
        <v>109.217981</v>
      </c>
      <c r="K67" s="9" t="inlineStr">
        <is>
          <t>Đã đối chiếu</t>
        </is>
      </c>
      <c r="L67" s="10" t="n"/>
      <c r="M67" s="12" t="inlineStr">
        <is>
          <t>Bản đồ</t>
        </is>
      </c>
      <c r="N67" s="13" t="n"/>
      <c r="O67" s="14" t="n"/>
      <c r="P67" s="14" t="n"/>
      <c r="Q67" s="13" t="n"/>
      <c r="R67" s="15" t="n"/>
      <c r="S67" s="13" t="n"/>
      <c r="T67" s="13" t="n"/>
      <c r="U67" s="16">
        <f>IF(AND(ISNUMBER(O67),ISNUMBER(P67)),ROUND(SQRT(((P67-J67)*111320*COS(RADIANS(I67)))^2+((O67-I67)*110540)^2),0),"")</f>
        <v/>
      </c>
      <c r="V67" s="17">
        <f>IF(N67="","",IF(N67="Sửa vị trí",IF(OR(O67="",P67=""),"Thiếu vĩ độ / kinh độ mới",IF(OR(O67&lt;12.5,O67&gt;15,P67&lt;107,P67&gt;109.6),"Toạ độ ngoài Gia Lai (đảo vĩ/kinh độ?)",IF(Q67="","Chọn cách xác định",IF(U67&gt;20000,"Dời hơn 20 km – kiểm tra lại","OK")))),IF(AND(N67&lt;&gt;"Sửa vị trí",OR(O67&lt;&gt;"",P67&lt;&gt;"")),"Có toạ độ mới nhưng kết quả không phải Sửa vị trí","OK")))</f>
        <v/>
      </c>
    </row>
    <row r="68">
      <c r="A68" s="9" t="n">
        <v>64</v>
      </c>
      <c r="B68" s="9" t="inlineStr">
        <is>
          <t>14dd2be4-0084-c5f9-b34f-081812a3aa5a</t>
        </is>
      </c>
      <c r="C68" s="9" t="inlineStr">
        <is>
          <t>Trung bình</t>
        </is>
      </c>
      <c r="D68" s="10" t="inlineStr">
        <is>
          <t>ATM VietinBank</t>
        </is>
      </c>
      <c r="E68" s="9" t="inlineStr">
        <is>
          <t>ATM</t>
        </is>
      </c>
      <c r="F68" s="9" t="inlineStr">
        <is>
          <t>OpenStreetMap</t>
        </is>
      </c>
      <c r="G68" s="10" t="inlineStr">
        <is>
          <t>Xã Phù Cát, Gia Lai</t>
        </is>
      </c>
      <c r="H68" s="9" t="inlineStr">
        <is>
          <t>Xã Phù Cát</t>
        </is>
      </c>
      <c r="I68" s="11" t="n">
        <v>14.011948</v>
      </c>
      <c r="J68" s="11" t="n">
        <v>109.055956</v>
      </c>
      <c r="K68" s="9" t="inlineStr">
        <is>
          <t>Đã đối chiếu</t>
        </is>
      </c>
      <c r="L68" s="10" t="n"/>
      <c r="M68" s="12" t="inlineStr">
        <is>
          <t>Bản đồ</t>
        </is>
      </c>
      <c r="N68" s="13" t="n"/>
      <c r="O68" s="14" t="n"/>
      <c r="P68" s="14" t="n"/>
      <c r="Q68" s="13" t="n"/>
      <c r="R68" s="15" t="n"/>
      <c r="S68" s="13" t="n"/>
      <c r="T68" s="13" t="n"/>
      <c r="U68" s="16">
        <f>IF(AND(ISNUMBER(O68),ISNUMBER(P68)),ROUND(SQRT(((P68-J68)*111320*COS(RADIANS(I68)))^2+((O68-I68)*110540)^2),0),"")</f>
        <v/>
      </c>
      <c r="V68" s="17">
        <f>IF(N68="","",IF(N68="Sửa vị trí",IF(OR(O68="",P68=""),"Thiếu vĩ độ / kinh độ mới",IF(OR(O68&lt;12.5,O68&gt;15,P68&lt;107,P68&gt;109.6),"Toạ độ ngoài Gia Lai (đảo vĩ/kinh độ?)",IF(Q68="","Chọn cách xác định",IF(U68&gt;20000,"Dời hơn 20 km – kiểm tra lại","OK")))),IF(AND(N68&lt;&gt;"Sửa vị trí",OR(O68&lt;&gt;"",P68&lt;&gt;"")),"Có toạ độ mới nhưng kết quả không phải Sửa vị trí","OK")))</f>
        <v/>
      </c>
    </row>
    <row r="69">
      <c r="A69" s="9" t="n">
        <v>65</v>
      </c>
      <c r="B69" s="9" t="inlineStr">
        <is>
          <t>30d85479-e898-9fc0-1b04-4830fab41946</t>
        </is>
      </c>
      <c r="C69" s="9" t="inlineStr">
        <is>
          <t>Trung bình</t>
        </is>
      </c>
      <c r="D69" s="10" t="inlineStr">
        <is>
          <t>ATM VietinBank</t>
        </is>
      </c>
      <c r="E69" s="9" t="inlineStr">
        <is>
          <t>ATM</t>
        </is>
      </c>
      <c r="F69" s="9" t="inlineStr">
        <is>
          <t>OpenStreetMap</t>
        </is>
      </c>
      <c r="G69" s="10" t="inlineStr">
        <is>
          <t>Xã Phù Mỹ, Gia Lai</t>
        </is>
      </c>
      <c r="H69" s="9" t="inlineStr">
        <is>
          <t>Xã Phù Mỹ</t>
        </is>
      </c>
      <c r="I69" s="11" t="n">
        <v>14.173829</v>
      </c>
      <c r="J69" s="11" t="n">
        <v>109.05087</v>
      </c>
      <c r="K69" s="9" t="inlineStr">
        <is>
          <t>Đã đối chiếu</t>
        </is>
      </c>
      <c r="L69" s="10" t="n"/>
      <c r="M69" s="12" t="inlineStr">
        <is>
          <t>Bản đồ</t>
        </is>
      </c>
      <c r="N69" s="13" t="n"/>
      <c r="O69" s="14" t="n"/>
      <c r="P69" s="14" t="n"/>
      <c r="Q69" s="13" t="n"/>
      <c r="R69" s="15" t="n"/>
      <c r="S69" s="13" t="n"/>
      <c r="T69" s="13" t="n"/>
      <c r="U69" s="16">
        <f>IF(AND(ISNUMBER(O69),ISNUMBER(P69)),ROUND(SQRT(((P69-J69)*111320*COS(RADIANS(I69)))^2+((O69-I69)*110540)^2),0),"")</f>
        <v/>
      </c>
      <c r="V69" s="17">
        <f>IF(N69="","",IF(N69="Sửa vị trí",IF(OR(O69="",P69=""),"Thiếu vĩ độ / kinh độ mới",IF(OR(O69&lt;12.5,O69&gt;15,P69&lt;107,P69&gt;109.6),"Toạ độ ngoài Gia Lai (đảo vĩ/kinh độ?)",IF(Q69="","Chọn cách xác định",IF(U69&gt;20000,"Dời hơn 20 km – kiểm tra lại","OK")))),IF(AND(N69&lt;&gt;"Sửa vị trí",OR(O69&lt;&gt;"",P69&lt;&gt;"")),"Có toạ độ mới nhưng kết quả không phải Sửa vị trí","OK")))</f>
        <v/>
      </c>
    </row>
    <row r="70">
      <c r="A70" s="9" t="n">
        <v>66</v>
      </c>
      <c r="B70" s="9" t="inlineStr">
        <is>
          <t>6d7bfc1c-0ca0-6dff-b89f-b44a41bdb1bc</t>
        </is>
      </c>
      <c r="C70" s="9" t="inlineStr">
        <is>
          <t>Trung bình</t>
        </is>
      </c>
      <c r="D70" s="10" t="inlineStr">
        <is>
          <t>ATM BIDV</t>
        </is>
      </c>
      <c r="E70" s="9" t="inlineStr">
        <is>
          <t>ATM</t>
        </is>
      </c>
      <c r="F70" s="9" t="inlineStr">
        <is>
          <t>OpenStreetMap</t>
        </is>
      </c>
      <c r="G70" s="10" t="inlineStr">
        <is>
          <t>Xã Đức Cơ, Gia Lai</t>
        </is>
      </c>
      <c r="H70" s="9" t="inlineStr">
        <is>
          <t>Xã Đức Cơ</t>
        </is>
      </c>
      <c r="I70" s="11" t="n">
        <v>13.799877</v>
      </c>
      <c r="J70" s="11" t="n">
        <v>107.693566</v>
      </c>
      <c r="K70" s="9" t="inlineStr">
        <is>
          <t>Đã đối chiếu</t>
        </is>
      </c>
      <c r="L70" s="10" t="n"/>
      <c r="M70" s="12" t="inlineStr">
        <is>
          <t>Bản đồ</t>
        </is>
      </c>
      <c r="N70" s="13" t="n"/>
      <c r="O70" s="14" t="n"/>
      <c r="P70" s="14" t="n"/>
      <c r="Q70" s="13" t="n"/>
      <c r="R70" s="15" t="n"/>
      <c r="S70" s="13" t="n"/>
      <c r="T70" s="13" t="n"/>
      <c r="U70" s="16">
        <f>IF(AND(ISNUMBER(O70),ISNUMBER(P70)),ROUND(SQRT(((P70-J70)*111320*COS(RADIANS(I70)))^2+((O70-I70)*110540)^2),0),"")</f>
        <v/>
      </c>
      <c r="V70" s="17">
        <f>IF(N70="","",IF(N70="Sửa vị trí",IF(OR(O70="",P70=""),"Thiếu vĩ độ / kinh độ mới",IF(OR(O70&lt;12.5,O70&gt;15,P70&lt;107,P70&gt;109.6),"Toạ độ ngoài Gia Lai (đảo vĩ/kinh độ?)",IF(Q70="","Chọn cách xác định",IF(U70&gt;20000,"Dời hơn 20 km – kiểm tra lại","OK")))),IF(AND(N70&lt;&gt;"Sửa vị trí",OR(O70&lt;&gt;"",P70&lt;&gt;"")),"Có toạ độ mới nhưng kết quả không phải Sửa vị trí","OK")))</f>
        <v/>
      </c>
    </row>
    <row r="71">
      <c r="A71" s="9" t="n">
        <v>67</v>
      </c>
      <c r="B71" s="9" t="inlineStr">
        <is>
          <t>a5649f11-5648-bd29-052f-9b836821d9f1</t>
        </is>
      </c>
      <c r="C71" s="9" t="inlineStr">
        <is>
          <t>Trung bình</t>
        </is>
      </c>
      <c r="D71" s="10" t="inlineStr">
        <is>
          <t>Petrolimex</t>
        </is>
      </c>
      <c r="E71" s="9" t="inlineStr">
        <is>
          <t>Cây xăng</t>
        </is>
      </c>
      <c r="F71" s="9" t="inlineStr">
        <is>
          <t>OpenStreetMap</t>
        </is>
      </c>
      <c r="G71" s="10" t="inlineStr">
        <is>
          <t>Phường An Khê, Gia Lai</t>
        </is>
      </c>
      <c r="H71" s="9" t="inlineStr">
        <is>
          <t>Phường An Khê</t>
        </is>
      </c>
      <c r="I71" s="11" t="n">
        <v>13.977115</v>
      </c>
      <c r="J71" s="11" t="n">
        <v>108.693188</v>
      </c>
      <c r="K71" s="9" t="inlineStr">
        <is>
          <t>Đã đối chiếu</t>
        </is>
      </c>
      <c r="L71" s="10" t="n"/>
      <c r="M71" s="12" t="inlineStr">
        <is>
          <t>Bản đồ</t>
        </is>
      </c>
      <c r="N71" s="13" t="n"/>
      <c r="O71" s="14" t="n"/>
      <c r="P71" s="14" t="n"/>
      <c r="Q71" s="13" t="n"/>
      <c r="R71" s="15" t="n"/>
      <c r="S71" s="13" t="n"/>
      <c r="T71" s="13" t="n"/>
      <c r="U71" s="16">
        <f>IF(AND(ISNUMBER(O71),ISNUMBER(P71)),ROUND(SQRT(((P71-J71)*111320*COS(RADIANS(I71)))^2+((O71-I71)*110540)^2),0),"")</f>
        <v/>
      </c>
      <c r="V71" s="17">
        <f>IF(N71="","",IF(N71="Sửa vị trí",IF(OR(O71="",P71=""),"Thiếu vĩ độ / kinh độ mới",IF(OR(O71&lt;12.5,O71&gt;15,P71&lt;107,P71&gt;109.6),"Toạ độ ngoài Gia Lai (đảo vĩ/kinh độ?)",IF(Q71="","Chọn cách xác định",IF(U71&gt;20000,"Dời hơn 20 km – kiểm tra lại","OK")))),IF(AND(N71&lt;&gt;"Sửa vị trí",OR(O71&lt;&gt;"",P71&lt;&gt;"")),"Có toạ độ mới nhưng kết quả không phải Sửa vị trí","OK")))</f>
        <v/>
      </c>
    </row>
    <row r="72">
      <c r="A72" s="9" t="n">
        <v>68</v>
      </c>
      <c r="B72" s="9" t="inlineStr">
        <is>
          <t>a98dba59-dad5-838f-83e8-afd5c3c3d341</t>
        </is>
      </c>
      <c r="C72" s="9" t="inlineStr">
        <is>
          <t>Trung bình</t>
        </is>
      </c>
      <c r="D72" s="10" t="inlineStr">
        <is>
          <t>Cây xăng (Phường An Nhơn Nam)</t>
        </is>
      </c>
      <c r="E72" s="9" t="inlineStr">
        <is>
          <t>Cây xăng</t>
        </is>
      </c>
      <c r="F72" s="9" t="inlineStr">
        <is>
          <t>OpenStreetMap</t>
        </is>
      </c>
      <c r="G72" s="10" t="inlineStr">
        <is>
          <t>Phường An Nhơn Nam, Gia Lai</t>
        </is>
      </c>
      <c r="H72" s="9" t="inlineStr">
        <is>
          <t>Phường An Nhơn Nam</t>
        </is>
      </c>
      <c r="I72" s="11" t="n">
        <v>13.853014</v>
      </c>
      <c r="J72" s="11" t="n">
        <v>109.075113</v>
      </c>
      <c r="K72" s="9" t="inlineStr">
        <is>
          <t>Đã đối chiếu</t>
        </is>
      </c>
      <c r="L72" s="10" t="n"/>
      <c r="M72" s="12" t="inlineStr">
        <is>
          <t>Bản đồ</t>
        </is>
      </c>
      <c r="N72" s="13" t="n"/>
      <c r="O72" s="14" t="n"/>
      <c r="P72" s="14" t="n"/>
      <c r="Q72" s="13" t="n"/>
      <c r="R72" s="15" t="n"/>
      <c r="S72" s="13" t="n"/>
      <c r="T72" s="13" t="n"/>
      <c r="U72" s="16">
        <f>IF(AND(ISNUMBER(O72),ISNUMBER(P72)),ROUND(SQRT(((P72-J72)*111320*COS(RADIANS(I72)))^2+((O72-I72)*110540)^2),0),"")</f>
        <v/>
      </c>
      <c r="V72" s="17">
        <f>IF(N72="","",IF(N72="Sửa vị trí",IF(OR(O72="",P72=""),"Thiếu vĩ độ / kinh độ mới",IF(OR(O72&lt;12.5,O72&gt;15,P72&lt;107,P72&gt;109.6),"Toạ độ ngoài Gia Lai (đảo vĩ/kinh độ?)",IF(Q72="","Chọn cách xác định",IF(U72&gt;20000,"Dời hơn 20 km – kiểm tra lại","OK")))),IF(AND(N72&lt;&gt;"Sửa vị trí",OR(O72&lt;&gt;"",P72&lt;&gt;"")),"Có toạ độ mới nhưng kết quả không phải Sửa vị trí","OK")))</f>
        <v/>
      </c>
    </row>
    <row r="73">
      <c r="A73" s="9" t="n">
        <v>69</v>
      </c>
      <c r="B73" s="9" t="inlineStr">
        <is>
          <t>5f9ab352-8fd4-f8a5-1517-5cf34295eddb</t>
        </is>
      </c>
      <c r="C73" s="9" t="inlineStr">
        <is>
          <t>Trung bình</t>
        </is>
      </c>
      <c r="D73" s="10" t="inlineStr">
        <is>
          <t>Cây xăng (Phường An Nhơn Đông)</t>
        </is>
      </c>
      <c r="E73" s="9" t="inlineStr">
        <is>
          <t>Cây xăng</t>
        </is>
      </c>
      <c r="F73" s="9" t="inlineStr">
        <is>
          <t>OpenStreetMap</t>
        </is>
      </c>
      <c r="G73" s="10" t="inlineStr">
        <is>
          <t>Phường An Nhơn Đông, Gia Lai</t>
        </is>
      </c>
      <c r="H73" s="9" t="inlineStr">
        <is>
          <t>Phường An Nhơn Đông</t>
        </is>
      </c>
      <c r="I73" s="11" t="n">
        <v>13.901594</v>
      </c>
      <c r="J73" s="11" t="n">
        <v>109.105798</v>
      </c>
      <c r="K73" s="9" t="inlineStr">
        <is>
          <t>Đã đối chiếu</t>
        </is>
      </c>
      <c r="L73" s="10" t="n"/>
      <c r="M73" s="12" t="inlineStr">
        <is>
          <t>Bản đồ</t>
        </is>
      </c>
      <c r="N73" s="13" t="n"/>
      <c r="O73" s="14" t="n"/>
      <c r="P73" s="14" t="n"/>
      <c r="Q73" s="13" t="n"/>
      <c r="R73" s="15" t="n"/>
      <c r="S73" s="13" t="n"/>
      <c r="T73" s="13" t="n"/>
      <c r="U73" s="16">
        <f>IF(AND(ISNUMBER(O73),ISNUMBER(P73)),ROUND(SQRT(((P73-J73)*111320*COS(RADIANS(I73)))^2+((O73-I73)*110540)^2),0),"")</f>
        <v/>
      </c>
      <c r="V73" s="17">
        <f>IF(N73="","",IF(N73="Sửa vị trí",IF(OR(O73="",P73=""),"Thiếu vĩ độ / kinh độ mới",IF(OR(O73&lt;12.5,O73&gt;15,P73&lt;107,P73&gt;109.6),"Toạ độ ngoài Gia Lai (đảo vĩ/kinh độ?)",IF(Q73="","Chọn cách xác định",IF(U73&gt;20000,"Dời hơn 20 km – kiểm tra lại","OK")))),IF(AND(N73&lt;&gt;"Sửa vị trí",OR(O73&lt;&gt;"",P73&lt;&gt;"")),"Có toạ độ mới nhưng kết quả không phải Sửa vị trí","OK")))</f>
        <v/>
      </c>
    </row>
    <row r="74">
      <c r="A74" s="9" t="n">
        <v>70</v>
      </c>
      <c r="B74" s="9" t="inlineStr">
        <is>
          <t>2e6de550-4910-1d2d-f42e-d441049bc816</t>
        </is>
      </c>
      <c r="C74" s="9" t="inlineStr">
        <is>
          <t>Trung bình</t>
        </is>
      </c>
      <c r="D74" s="10" t="inlineStr">
        <is>
          <t>Cửa hàng Xăng dầu</t>
        </is>
      </c>
      <c r="E74" s="9" t="inlineStr">
        <is>
          <t>Cây xăng</t>
        </is>
      </c>
      <c r="F74" s="9" t="inlineStr">
        <is>
          <t>OpenStreetMap</t>
        </is>
      </c>
      <c r="G74" s="10" t="inlineStr">
        <is>
          <t>Phường An Nhơn Đông, Gia Lai</t>
        </is>
      </c>
      <c r="H74" s="9" t="inlineStr">
        <is>
          <t>Phường An Nhơn Đông</t>
        </is>
      </c>
      <c r="I74" s="11" t="n">
        <v>13.89323</v>
      </c>
      <c r="J74" s="11" t="n">
        <v>109.099507</v>
      </c>
      <c r="K74" s="9" t="inlineStr">
        <is>
          <t>Đã đối chiếu</t>
        </is>
      </c>
      <c r="L74" s="10" t="n"/>
      <c r="M74" s="12" t="inlineStr">
        <is>
          <t>Bản đồ</t>
        </is>
      </c>
      <c r="N74" s="13" t="n"/>
      <c r="O74" s="14" t="n"/>
      <c r="P74" s="14" t="n"/>
      <c r="Q74" s="13" t="n"/>
      <c r="R74" s="15" t="n"/>
      <c r="S74" s="13" t="n"/>
      <c r="T74" s="13" t="n"/>
      <c r="U74" s="16">
        <f>IF(AND(ISNUMBER(O74),ISNUMBER(P74)),ROUND(SQRT(((P74-J74)*111320*COS(RADIANS(I74)))^2+((O74-I74)*110540)^2),0),"")</f>
        <v/>
      </c>
      <c r="V74" s="17">
        <f>IF(N74="","",IF(N74="Sửa vị trí",IF(OR(O74="",P74=""),"Thiếu vĩ độ / kinh độ mới",IF(OR(O74&lt;12.5,O74&gt;15,P74&lt;107,P74&gt;109.6),"Toạ độ ngoài Gia Lai (đảo vĩ/kinh độ?)",IF(Q74="","Chọn cách xác định",IF(U74&gt;20000,"Dời hơn 20 km – kiểm tra lại","OK")))),IF(AND(N74&lt;&gt;"Sửa vị trí",OR(O74&lt;&gt;"",P74&lt;&gt;"")),"Có toạ độ mới nhưng kết quả không phải Sửa vị trí","OK")))</f>
        <v/>
      </c>
    </row>
    <row r="75">
      <c r="A75" s="9" t="n">
        <v>71</v>
      </c>
      <c r="B75" s="9" t="inlineStr">
        <is>
          <t>098aba97-5066-c5ae-a7ee-9de9ddc461e3</t>
        </is>
      </c>
      <c r="C75" s="9" t="inlineStr">
        <is>
          <t>Trung bình</t>
        </is>
      </c>
      <c r="D75" s="10" t="inlineStr">
        <is>
          <t>PV Oil</t>
        </is>
      </c>
      <c r="E75" s="9" t="inlineStr">
        <is>
          <t>Cây xăng</t>
        </is>
      </c>
      <c r="F75" s="9" t="inlineStr">
        <is>
          <t>OpenStreetMap</t>
        </is>
      </c>
      <c r="G75" s="10" t="inlineStr">
        <is>
          <t>Phường Ayun Pa, Gia Lai</t>
        </is>
      </c>
      <c r="H75" s="9" t="inlineStr">
        <is>
          <t>Phường Ayun Pa</t>
        </is>
      </c>
      <c r="I75" s="11" t="n">
        <v>13.427739</v>
      </c>
      <c r="J75" s="11" t="n">
        <v>108.424782</v>
      </c>
      <c r="K75" s="9" t="inlineStr">
        <is>
          <t>Đã đối chiếu</t>
        </is>
      </c>
      <c r="L75" s="10" t="n"/>
      <c r="M75" s="12" t="inlineStr">
        <is>
          <t>Bản đồ</t>
        </is>
      </c>
      <c r="N75" s="13" t="n"/>
      <c r="O75" s="14" t="n"/>
      <c r="P75" s="14" t="n"/>
      <c r="Q75" s="13" t="n"/>
      <c r="R75" s="15" t="n"/>
      <c r="S75" s="13" t="n"/>
      <c r="T75" s="13" t="n"/>
      <c r="U75" s="16">
        <f>IF(AND(ISNUMBER(O75),ISNUMBER(P75)),ROUND(SQRT(((P75-J75)*111320*COS(RADIANS(I75)))^2+((O75-I75)*110540)^2),0),"")</f>
        <v/>
      </c>
      <c r="V75" s="17">
        <f>IF(N75="","",IF(N75="Sửa vị trí",IF(OR(O75="",P75=""),"Thiếu vĩ độ / kinh độ mới",IF(OR(O75&lt;12.5,O75&gt;15,P75&lt;107,P75&gt;109.6),"Toạ độ ngoài Gia Lai (đảo vĩ/kinh độ?)",IF(Q75="","Chọn cách xác định",IF(U75&gt;20000,"Dời hơn 20 km – kiểm tra lại","OK")))),IF(AND(N75&lt;&gt;"Sửa vị trí",OR(O75&lt;&gt;"",P75&lt;&gt;"")),"Có toạ độ mới nhưng kết quả không phải Sửa vị trí","OK")))</f>
        <v/>
      </c>
    </row>
    <row r="76">
      <c r="A76" s="9" t="n">
        <v>72</v>
      </c>
      <c r="B76" s="9" t="inlineStr">
        <is>
          <t>7a8bf344-5eb2-2a80-dc1a-cffbf379f5ad</t>
        </is>
      </c>
      <c r="C76" s="9" t="inlineStr">
        <is>
          <t>Trung bình</t>
        </is>
      </c>
      <c r="D76" s="10" t="inlineStr">
        <is>
          <t>PV Oil</t>
        </is>
      </c>
      <c r="E76" s="9" t="inlineStr">
        <is>
          <t>Cây xăng</t>
        </is>
      </c>
      <c r="F76" s="9" t="inlineStr">
        <is>
          <t>OpenStreetMap</t>
        </is>
      </c>
      <c r="G76" s="10" t="inlineStr">
        <is>
          <t>Phường Ayun Pa, Gia Lai</t>
        </is>
      </c>
      <c r="H76" s="9" t="inlineStr">
        <is>
          <t>Phường Ayun Pa</t>
        </is>
      </c>
      <c r="I76" s="11" t="n">
        <v>13.422649</v>
      </c>
      <c r="J76" s="11" t="n">
        <v>108.428058</v>
      </c>
      <c r="K76" s="9" t="inlineStr">
        <is>
          <t>Đã đối chiếu</t>
        </is>
      </c>
      <c r="L76" s="10" t="n"/>
      <c r="M76" s="12" t="inlineStr">
        <is>
          <t>Bản đồ</t>
        </is>
      </c>
      <c r="N76" s="13" t="n"/>
      <c r="O76" s="14" t="n"/>
      <c r="P76" s="14" t="n"/>
      <c r="Q76" s="13" t="n"/>
      <c r="R76" s="15" t="n"/>
      <c r="S76" s="13" t="n"/>
      <c r="T76" s="13" t="n"/>
      <c r="U76" s="16">
        <f>IF(AND(ISNUMBER(O76),ISNUMBER(P76)),ROUND(SQRT(((P76-J76)*111320*COS(RADIANS(I76)))^2+((O76-I76)*110540)^2),0),"")</f>
        <v/>
      </c>
      <c r="V76" s="17">
        <f>IF(N76="","",IF(N76="Sửa vị trí",IF(OR(O76="",P76=""),"Thiếu vĩ độ / kinh độ mới",IF(OR(O76&lt;12.5,O76&gt;15,P76&lt;107,P76&gt;109.6),"Toạ độ ngoài Gia Lai (đảo vĩ/kinh độ?)",IF(Q76="","Chọn cách xác định",IF(U76&gt;20000,"Dời hơn 20 km – kiểm tra lại","OK")))),IF(AND(N76&lt;&gt;"Sửa vị trí",OR(O76&lt;&gt;"",P76&lt;&gt;"")),"Có toạ độ mới nhưng kết quả không phải Sửa vị trí","OK")))</f>
        <v/>
      </c>
    </row>
    <row r="77">
      <c r="A77" s="9" t="n">
        <v>73</v>
      </c>
      <c r="B77" s="9" t="inlineStr">
        <is>
          <t>06954b74-6c8c-5bdb-f64a-a97f6da8cf94</t>
        </is>
      </c>
      <c r="C77" s="9" t="inlineStr">
        <is>
          <t>Trung bình</t>
        </is>
      </c>
      <c r="D77" s="10" t="inlineStr">
        <is>
          <t>PV Oil</t>
        </is>
      </c>
      <c r="E77" s="9" t="inlineStr">
        <is>
          <t>Cây xăng</t>
        </is>
      </c>
      <c r="F77" s="9" t="inlineStr">
        <is>
          <t>OpenStreetMap</t>
        </is>
      </c>
      <c r="G77" s="10" t="inlineStr">
        <is>
          <t>Phường Ayun Pa, Gia Lai</t>
        </is>
      </c>
      <c r="H77" s="9" t="inlineStr">
        <is>
          <t>Phường Ayun Pa</t>
        </is>
      </c>
      <c r="I77" s="11" t="n">
        <v>13.411438</v>
      </c>
      <c r="J77" s="11" t="n">
        <v>108.437637</v>
      </c>
      <c r="K77" s="9" t="inlineStr">
        <is>
          <t>Đã đối chiếu</t>
        </is>
      </c>
      <c r="L77" s="10" t="n"/>
      <c r="M77" s="12" t="inlineStr">
        <is>
          <t>Bản đồ</t>
        </is>
      </c>
      <c r="N77" s="13" t="n"/>
      <c r="O77" s="14" t="n"/>
      <c r="P77" s="14" t="n"/>
      <c r="Q77" s="13" t="n"/>
      <c r="R77" s="15" t="n"/>
      <c r="S77" s="13" t="n"/>
      <c r="T77" s="13" t="n"/>
      <c r="U77" s="16">
        <f>IF(AND(ISNUMBER(O77),ISNUMBER(P77)),ROUND(SQRT(((P77-J77)*111320*COS(RADIANS(I77)))^2+((O77-I77)*110540)^2),0),"")</f>
        <v/>
      </c>
      <c r="V77" s="17">
        <f>IF(N77="","",IF(N77="Sửa vị trí",IF(OR(O77="",P77=""),"Thiếu vĩ độ / kinh độ mới",IF(OR(O77&lt;12.5,O77&gt;15,P77&lt;107,P77&gt;109.6),"Toạ độ ngoài Gia Lai (đảo vĩ/kinh độ?)",IF(Q77="","Chọn cách xác định",IF(U77&gt;20000,"Dời hơn 20 km – kiểm tra lại","OK")))),IF(AND(N77&lt;&gt;"Sửa vị trí",OR(O77&lt;&gt;"",P77&lt;&gt;"")),"Có toạ độ mới nhưng kết quả không phải Sửa vị trí","OK")))</f>
        <v/>
      </c>
    </row>
    <row r="78">
      <c r="A78" s="9" t="n">
        <v>74</v>
      </c>
      <c r="B78" s="9" t="inlineStr">
        <is>
          <t>3e9015ca-9884-90bc-b7ff-eb02f8e6bcbb</t>
        </is>
      </c>
      <c r="C78" s="9" t="inlineStr">
        <is>
          <t>Trung bình</t>
        </is>
      </c>
      <c r="D78" s="10" t="inlineStr">
        <is>
          <t>PETROLIMEX</t>
        </is>
      </c>
      <c r="E78" s="9" t="inlineStr">
        <is>
          <t>Cây xăng</t>
        </is>
      </c>
      <c r="F78" s="9" t="inlineStr">
        <is>
          <t>OpenStreetMap</t>
        </is>
      </c>
      <c r="G78" s="10" t="inlineStr">
        <is>
          <t>Phường Bình Định, Gia Lai</t>
        </is>
      </c>
      <c r="H78" s="9" t="inlineStr">
        <is>
          <t>Phường Bình Định</t>
        </is>
      </c>
      <c r="I78" s="11" t="n">
        <v>13.892616</v>
      </c>
      <c r="J78" s="11" t="n">
        <v>109.113783</v>
      </c>
      <c r="K78" s="9" t="inlineStr">
        <is>
          <t>Đã đối chiếu</t>
        </is>
      </c>
      <c r="L78" s="10" t="n"/>
      <c r="M78" s="12" t="inlineStr">
        <is>
          <t>Bản đồ</t>
        </is>
      </c>
      <c r="N78" s="13" t="n"/>
      <c r="O78" s="14" t="n"/>
      <c r="P78" s="14" t="n"/>
      <c r="Q78" s="13" t="n"/>
      <c r="R78" s="15" t="n"/>
      <c r="S78" s="13" t="n"/>
      <c r="T78" s="13" t="n"/>
      <c r="U78" s="16">
        <f>IF(AND(ISNUMBER(O78),ISNUMBER(P78)),ROUND(SQRT(((P78-J78)*111320*COS(RADIANS(I78)))^2+((O78-I78)*110540)^2),0),"")</f>
        <v/>
      </c>
      <c r="V78" s="17">
        <f>IF(N78="","",IF(N78="Sửa vị trí",IF(OR(O78="",P78=""),"Thiếu vĩ độ / kinh độ mới",IF(OR(O78&lt;12.5,O78&gt;15,P78&lt;107,P78&gt;109.6),"Toạ độ ngoài Gia Lai (đảo vĩ/kinh độ?)",IF(Q78="","Chọn cách xác định",IF(U78&gt;20000,"Dời hơn 20 km – kiểm tra lại","OK")))),IF(AND(N78&lt;&gt;"Sửa vị trí",OR(O78&lt;&gt;"",P78&lt;&gt;"")),"Có toạ độ mới nhưng kết quả không phải Sửa vị trí","OK")))</f>
        <v/>
      </c>
    </row>
    <row r="79">
      <c r="A79" s="9" t="n">
        <v>75</v>
      </c>
      <c r="B79" s="9" t="inlineStr">
        <is>
          <t>2109ec1b-ac19-4cec-4aba-f42ce69f875c</t>
        </is>
      </c>
      <c r="C79" s="9" t="inlineStr">
        <is>
          <t>Trung bình</t>
        </is>
      </c>
      <c r="D79" s="10" t="inlineStr">
        <is>
          <t>PV OIL</t>
        </is>
      </c>
      <c r="E79" s="9" t="inlineStr">
        <is>
          <t>Cây xăng</t>
        </is>
      </c>
      <c r="F79" s="9" t="inlineStr">
        <is>
          <t>OpenStreetMap</t>
        </is>
      </c>
      <c r="G79" s="10" t="inlineStr">
        <is>
          <t>Phường Bồng Sơn, Gia Lai</t>
        </is>
      </c>
      <c r="H79" s="9" t="inlineStr">
        <is>
          <t>Phường Bồng Sơn</t>
        </is>
      </c>
      <c r="I79" s="11" t="n">
        <v>14.399132</v>
      </c>
      <c r="J79" s="11" t="n">
        <v>109.016684</v>
      </c>
      <c r="K79" s="9" t="inlineStr">
        <is>
          <t>Đã đối chiếu</t>
        </is>
      </c>
      <c r="L79" s="10" t="n"/>
      <c r="M79" s="12" t="inlineStr">
        <is>
          <t>Bản đồ</t>
        </is>
      </c>
      <c r="N79" s="13" t="n"/>
      <c r="O79" s="14" t="n"/>
      <c r="P79" s="14" t="n"/>
      <c r="Q79" s="13" t="n"/>
      <c r="R79" s="15" t="n"/>
      <c r="S79" s="13" t="n"/>
      <c r="T79" s="13" t="n"/>
      <c r="U79" s="16">
        <f>IF(AND(ISNUMBER(O79),ISNUMBER(P79)),ROUND(SQRT(((P79-J79)*111320*COS(RADIANS(I79)))^2+((O79-I79)*110540)^2),0),"")</f>
        <v/>
      </c>
      <c r="V79" s="17">
        <f>IF(N79="","",IF(N79="Sửa vị trí",IF(OR(O79="",P79=""),"Thiếu vĩ độ / kinh độ mới",IF(OR(O79&lt;12.5,O79&gt;15,P79&lt;107,P79&gt;109.6),"Toạ độ ngoài Gia Lai (đảo vĩ/kinh độ?)",IF(Q79="","Chọn cách xác định",IF(U79&gt;20000,"Dời hơn 20 km – kiểm tra lại","OK")))),IF(AND(N79&lt;&gt;"Sửa vị trí",OR(O79&lt;&gt;"",P79&lt;&gt;"")),"Có toạ độ mới nhưng kết quả không phải Sửa vị trí","OK")))</f>
        <v/>
      </c>
    </row>
    <row r="80">
      <c r="A80" s="9" t="n">
        <v>76</v>
      </c>
      <c r="B80" s="9" t="inlineStr">
        <is>
          <t>5878050c-5e20-33eb-0aa5-fc735ac458cc</t>
        </is>
      </c>
      <c r="C80" s="9" t="inlineStr">
        <is>
          <t>Trung bình</t>
        </is>
      </c>
      <c r="D80" s="10" t="inlineStr">
        <is>
          <t>Xăng dầu Bảy Cường 05</t>
        </is>
      </c>
      <c r="E80" s="9" t="inlineStr">
        <is>
          <t>Cây xăng</t>
        </is>
      </c>
      <c r="F80" s="9" t="inlineStr">
        <is>
          <t>OpenStreetMap</t>
        </is>
      </c>
      <c r="G80" s="10" t="inlineStr">
        <is>
          <t>Phường Bồng Sơn, Gia Lai</t>
        </is>
      </c>
      <c r="H80" s="9" t="inlineStr">
        <is>
          <t>Phường Bồng Sơn</t>
        </is>
      </c>
      <c r="I80" s="11" t="n">
        <v>14.427819</v>
      </c>
      <c r="J80" s="11" t="n">
        <v>109.003996</v>
      </c>
      <c r="K80" s="9" t="inlineStr">
        <is>
          <t>Đã đối chiếu</t>
        </is>
      </c>
      <c r="L80" s="10" t="n"/>
      <c r="M80" s="12" t="inlineStr">
        <is>
          <t>Bản đồ</t>
        </is>
      </c>
      <c r="N80" s="13" t="n"/>
      <c r="O80" s="14" t="n"/>
      <c r="P80" s="14" t="n"/>
      <c r="Q80" s="13" t="n"/>
      <c r="R80" s="15" t="n"/>
      <c r="S80" s="13" t="n"/>
      <c r="T80" s="13" t="n"/>
      <c r="U80" s="16">
        <f>IF(AND(ISNUMBER(O80),ISNUMBER(P80)),ROUND(SQRT(((P80-J80)*111320*COS(RADIANS(I80)))^2+((O80-I80)*110540)^2),0),"")</f>
        <v/>
      </c>
      <c r="V80" s="17">
        <f>IF(N80="","",IF(N80="Sửa vị trí",IF(OR(O80="",P80=""),"Thiếu vĩ độ / kinh độ mới",IF(OR(O80&lt;12.5,O80&gt;15,P80&lt;107,P80&gt;109.6),"Toạ độ ngoài Gia Lai (đảo vĩ/kinh độ?)",IF(Q80="","Chọn cách xác định",IF(U80&gt;20000,"Dời hơn 20 km – kiểm tra lại","OK")))),IF(AND(N80&lt;&gt;"Sửa vị trí",OR(O80&lt;&gt;"",P80&lt;&gt;"")),"Có toạ độ mới nhưng kết quả không phải Sửa vị trí","OK")))</f>
        <v/>
      </c>
    </row>
    <row r="81">
      <c r="A81" s="9" t="n">
        <v>77</v>
      </c>
      <c r="B81" s="9" t="inlineStr">
        <is>
          <t>6c42fea5-09fc-bfbd-3e10-c4db51f13792</t>
        </is>
      </c>
      <c r="C81" s="9" t="inlineStr">
        <is>
          <t>Trung bình</t>
        </is>
      </c>
      <c r="D81" s="10" t="inlineStr">
        <is>
          <t>Cây xăng (Phường Diên Hồng)</t>
        </is>
      </c>
      <c r="E81" s="9" t="inlineStr">
        <is>
          <t>Cây xăng</t>
        </is>
      </c>
      <c r="F81" s="9" t="inlineStr">
        <is>
          <t>OpenStreetMap</t>
        </is>
      </c>
      <c r="G81" s="10" t="inlineStr">
        <is>
          <t>Phường Diên Hồng, Gia Lai</t>
        </is>
      </c>
      <c r="H81" s="9" t="inlineStr">
        <is>
          <t>Phường Diên Hồng</t>
        </is>
      </c>
      <c r="I81" s="11" t="n">
        <v>13.977032</v>
      </c>
      <c r="J81" s="11" t="n">
        <v>108.000195</v>
      </c>
      <c r="K81" s="9" t="inlineStr">
        <is>
          <t>Đã đối chiếu</t>
        </is>
      </c>
      <c r="L81" s="10" t="n"/>
      <c r="M81" s="12" t="inlineStr">
        <is>
          <t>Bản đồ</t>
        </is>
      </c>
      <c r="N81" s="13" t="n"/>
      <c r="O81" s="14" t="n"/>
      <c r="P81" s="14" t="n"/>
      <c r="Q81" s="13" t="n"/>
      <c r="R81" s="15" t="n"/>
      <c r="S81" s="13" t="n"/>
      <c r="T81" s="13" t="n"/>
      <c r="U81" s="16">
        <f>IF(AND(ISNUMBER(O81),ISNUMBER(P81)),ROUND(SQRT(((P81-J81)*111320*COS(RADIANS(I81)))^2+((O81-I81)*110540)^2),0),"")</f>
        <v/>
      </c>
      <c r="V81" s="17">
        <f>IF(N81="","",IF(N81="Sửa vị trí",IF(OR(O81="",P81=""),"Thiếu vĩ độ / kinh độ mới",IF(OR(O81&lt;12.5,O81&gt;15,P81&lt;107,P81&gt;109.6),"Toạ độ ngoài Gia Lai (đảo vĩ/kinh độ?)",IF(Q81="","Chọn cách xác định",IF(U81&gt;20000,"Dời hơn 20 km – kiểm tra lại","OK")))),IF(AND(N81&lt;&gt;"Sửa vị trí",OR(O81&lt;&gt;"",P81&lt;&gt;"")),"Có toạ độ mới nhưng kết quả không phải Sửa vị trí","OK")))</f>
        <v/>
      </c>
    </row>
    <row r="82">
      <c r="A82" s="9" t="n">
        <v>78</v>
      </c>
      <c r="B82" s="9" t="inlineStr">
        <is>
          <t>f7b2a9ba-38c0-c06c-a294-b169d3a361c4</t>
        </is>
      </c>
      <c r="C82" s="9" t="inlineStr">
        <is>
          <t>Trung bình</t>
        </is>
      </c>
      <c r="D82" s="10" t="inlineStr">
        <is>
          <t>Cửa hàng xăng dầu Gia lai @ Lý Thái Tổ</t>
        </is>
      </c>
      <c r="E82" s="9" t="inlineStr">
        <is>
          <t>Cây xăng</t>
        </is>
      </c>
      <c r="F82" s="9" t="inlineStr">
        <is>
          <t>OpenStreetMap</t>
        </is>
      </c>
      <c r="G82" s="10" t="inlineStr">
        <is>
          <t>Phường Diên Hồng, Gia Lai</t>
        </is>
      </c>
      <c r="H82" s="9" t="inlineStr">
        <is>
          <t>Phường Diên Hồng</t>
        </is>
      </c>
      <c r="I82" s="11" t="n">
        <v>13.977277</v>
      </c>
      <c r="J82" s="11" t="n">
        <v>107.992914</v>
      </c>
      <c r="K82" s="9" t="inlineStr">
        <is>
          <t>Đã đối chiếu</t>
        </is>
      </c>
      <c r="L82" s="10" t="n"/>
      <c r="M82" s="12" t="inlineStr">
        <is>
          <t>Bản đồ</t>
        </is>
      </c>
      <c r="N82" s="13" t="n"/>
      <c r="O82" s="14" t="n"/>
      <c r="P82" s="14" t="n"/>
      <c r="Q82" s="13" t="n"/>
      <c r="R82" s="15" t="n"/>
      <c r="S82" s="13" t="n"/>
      <c r="T82" s="13" t="n"/>
      <c r="U82" s="16">
        <f>IF(AND(ISNUMBER(O82),ISNUMBER(P82)),ROUND(SQRT(((P82-J82)*111320*COS(RADIANS(I82)))^2+((O82-I82)*110540)^2),0),"")</f>
        <v/>
      </c>
      <c r="V82" s="17">
        <f>IF(N82="","",IF(N82="Sửa vị trí",IF(OR(O82="",P82=""),"Thiếu vĩ độ / kinh độ mới",IF(OR(O82&lt;12.5,O82&gt;15,P82&lt;107,P82&gt;109.6),"Toạ độ ngoài Gia Lai (đảo vĩ/kinh độ?)",IF(Q82="","Chọn cách xác định",IF(U82&gt;20000,"Dời hơn 20 km – kiểm tra lại","OK")))),IF(AND(N82&lt;&gt;"Sửa vị trí",OR(O82&lt;&gt;"",P82&lt;&gt;"")),"Có toạ độ mới nhưng kết quả không phải Sửa vị trí","OK")))</f>
        <v/>
      </c>
    </row>
    <row r="83">
      <c r="A83" s="9" t="n">
        <v>79</v>
      </c>
      <c r="B83" s="9" t="inlineStr">
        <is>
          <t>e5eeae32-9775-7bcc-83dc-57b041dae0a9</t>
        </is>
      </c>
      <c r="C83" s="9" t="inlineStr">
        <is>
          <t>Trung bình</t>
        </is>
      </c>
      <c r="D83" s="10" t="inlineStr">
        <is>
          <t>Cây xăng (Phường Hoài Nhơn)</t>
        </is>
      </c>
      <c r="E83" s="9" t="inlineStr">
        <is>
          <t>Cây xăng</t>
        </is>
      </c>
      <c r="F83" s="9" t="inlineStr">
        <is>
          <t>OpenStreetMap</t>
        </is>
      </c>
      <c r="G83" s="10" t="inlineStr">
        <is>
          <t>Phường Hoài Nhơn, Gia Lai</t>
        </is>
      </c>
      <c r="H83" s="9" t="inlineStr">
        <is>
          <t>Phường Hoài Nhơn</t>
        </is>
      </c>
      <c r="I83" s="11" t="n">
        <v>14.515977</v>
      </c>
      <c r="J83" s="11" t="n">
        <v>109.077656</v>
      </c>
      <c r="K83" s="9" t="inlineStr">
        <is>
          <t>Đã đối chiếu</t>
        </is>
      </c>
      <c r="L83" s="10" t="n"/>
      <c r="M83" s="12" t="inlineStr">
        <is>
          <t>Bản đồ</t>
        </is>
      </c>
      <c r="N83" s="13" t="n"/>
      <c r="O83" s="14" t="n"/>
      <c r="P83" s="14" t="n"/>
      <c r="Q83" s="13" t="n"/>
      <c r="R83" s="15" t="n"/>
      <c r="S83" s="13" t="n"/>
      <c r="T83" s="13" t="n"/>
      <c r="U83" s="16">
        <f>IF(AND(ISNUMBER(O83),ISNUMBER(P83)),ROUND(SQRT(((P83-J83)*111320*COS(RADIANS(I83)))^2+((O83-I83)*110540)^2),0),"")</f>
        <v/>
      </c>
      <c r="V83" s="17">
        <f>IF(N83="","",IF(N83="Sửa vị trí",IF(OR(O83="",P83=""),"Thiếu vĩ độ / kinh độ mới",IF(OR(O83&lt;12.5,O83&gt;15,P83&lt;107,P83&gt;109.6),"Toạ độ ngoài Gia Lai (đảo vĩ/kinh độ?)",IF(Q83="","Chọn cách xác định",IF(U83&gt;20000,"Dời hơn 20 km – kiểm tra lại","OK")))),IF(AND(N83&lt;&gt;"Sửa vị trí",OR(O83&lt;&gt;"",P83&lt;&gt;"")),"Có toạ độ mới nhưng kết quả không phải Sửa vị trí","OK")))</f>
        <v/>
      </c>
    </row>
    <row r="84">
      <c r="A84" s="9" t="n">
        <v>80</v>
      </c>
      <c r="B84" s="9" t="inlineStr">
        <is>
          <t>00deca27-8509-2b0f-8af0-94dc2ea64691</t>
        </is>
      </c>
      <c r="C84" s="9" t="inlineStr">
        <is>
          <t>Trung bình</t>
        </is>
      </c>
      <c r="D84" s="10" t="inlineStr">
        <is>
          <t>PV Oil</t>
        </is>
      </c>
      <c r="E84" s="9" t="inlineStr">
        <is>
          <t>Cây xăng</t>
        </is>
      </c>
      <c r="F84" s="9" t="inlineStr">
        <is>
          <t>OpenStreetMap</t>
        </is>
      </c>
      <c r="G84" s="10" t="inlineStr">
        <is>
          <t>Phường Hoài Nhơn, Gia Lai</t>
        </is>
      </c>
      <c r="H84" s="9" t="inlineStr">
        <is>
          <t>Phường Hoài Nhơn</t>
        </is>
      </c>
      <c r="I84" s="11" t="n">
        <v>14.543372</v>
      </c>
      <c r="J84" s="11" t="n">
        <v>109.07106</v>
      </c>
      <c r="K84" s="9" t="inlineStr">
        <is>
          <t>Đã đối chiếu</t>
        </is>
      </c>
      <c r="L84" s="10" t="n"/>
      <c r="M84" s="12" t="inlineStr">
        <is>
          <t>Bản đồ</t>
        </is>
      </c>
      <c r="N84" s="13" t="n"/>
      <c r="O84" s="14" t="n"/>
      <c r="P84" s="14" t="n"/>
      <c r="Q84" s="13" t="n"/>
      <c r="R84" s="15" t="n"/>
      <c r="S84" s="13" t="n"/>
      <c r="T84" s="13" t="n"/>
      <c r="U84" s="16">
        <f>IF(AND(ISNUMBER(O84),ISNUMBER(P84)),ROUND(SQRT(((P84-J84)*111320*COS(RADIANS(I84)))^2+((O84-I84)*110540)^2),0),"")</f>
        <v/>
      </c>
      <c r="V84" s="17">
        <f>IF(N84="","",IF(N84="Sửa vị trí",IF(OR(O84="",P84=""),"Thiếu vĩ độ / kinh độ mới",IF(OR(O84&lt;12.5,O84&gt;15,P84&lt;107,P84&gt;109.6),"Toạ độ ngoài Gia Lai (đảo vĩ/kinh độ?)",IF(Q84="","Chọn cách xác định",IF(U84&gt;20000,"Dời hơn 20 km – kiểm tra lại","OK")))),IF(AND(N84&lt;&gt;"Sửa vị trí",OR(O84&lt;&gt;"",P84&lt;&gt;"")),"Có toạ độ mới nhưng kết quả không phải Sửa vị trí","OK")))</f>
        <v/>
      </c>
    </row>
    <row r="85">
      <c r="A85" s="9" t="n">
        <v>81</v>
      </c>
      <c r="B85" s="9" t="inlineStr">
        <is>
          <t>38bf03ad-ab2e-bc4a-afb7-d19e2beeb8e2</t>
        </is>
      </c>
      <c r="C85" s="9" t="inlineStr">
        <is>
          <t>Trung bình</t>
        </is>
      </c>
      <c r="D85" s="10" t="inlineStr">
        <is>
          <t>Caltex Station</t>
        </is>
      </c>
      <c r="E85" s="9" t="inlineStr">
        <is>
          <t>Cây xăng</t>
        </is>
      </c>
      <c r="F85" s="9" t="inlineStr">
        <is>
          <t>OpenStreetMap</t>
        </is>
      </c>
      <c r="G85" s="10" t="inlineStr">
        <is>
          <t>Phường Hoài Nhơn Bắc, Gia Lai</t>
        </is>
      </c>
      <c r="H85" s="9" t="inlineStr">
        <is>
          <t>Phường Hoài Nhơn Bắc</t>
        </is>
      </c>
      <c r="I85" s="11" t="n">
        <v>14.557905</v>
      </c>
      <c r="J85" s="11" t="n">
        <v>109.049076</v>
      </c>
      <c r="K85" s="9" t="inlineStr">
        <is>
          <t>Đã đối chiếu</t>
        </is>
      </c>
      <c r="L85" s="10" t="n"/>
      <c r="M85" s="12" t="inlineStr">
        <is>
          <t>Bản đồ</t>
        </is>
      </c>
      <c r="N85" s="13" t="n"/>
      <c r="O85" s="14" t="n"/>
      <c r="P85" s="14" t="n"/>
      <c r="Q85" s="13" t="n"/>
      <c r="R85" s="15" t="n"/>
      <c r="S85" s="13" t="n"/>
      <c r="T85" s="13" t="n"/>
      <c r="U85" s="16">
        <f>IF(AND(ISNUMBER(O85),ISNUMBER(P85)),ROUND(SQRT(((P85-J85)*111320*COS(RADIANS(I85)))^2+((O85-I85)*110540)^2),0),"")</f>
        <v/>
      </c>
      <c r="V85" s="17">
        <f>IF(N85="","",IF(N85="Sửa vị trí",IF(OR(O85="",P85=""),"Thiếu vĩ độ / kinh độ mới",IF(OR(O85&lt;12.5,O85&gt;15,P85&lt;107,P85&gt;109.6),"Toạ độ ngoài Gia Lai (đảo vĩ/kinh độ?)",IF(Q85="","Chọn cách xác định",IF(U85&gt;20000,"Dời hơn 20 km – kiểm tra lại","OK")))),IF(AND(N85&lt;&gt;"Sửa vị trí",OR(O85&lt;&gt;"",P85&lt;&gt;"")),"Có toạ độ mới nhưng kết quả không phải Sửa vị trí","OK")))</f>
        <v/>
      </c>
    </row>
    <row r="86">
      <c r="A86" s="9" t="n">
        <v>82</v>
      </c>
      <c r="B86" s="9" t="inlineStr">
        <is>
          <t>b7923437-7ce4-c237-483d-a61f21af1dc9</t>
        </is>
      </c>
      <c r="C86" s="9" t="inlineStr">
        <is>
          <t>Trung bình</t>
        </is>
      </c>
      <c r="D86" s="10" t="inlineStr">
        <is>
          <t>Cây xăng (Phường Hoài Nhơn Bắc)</t>
        </is>
      </c>
      <c r="E86" s="9" t="inlineStr">
        <is>
          <t>Cây xăng</t>
        </is>
      </c>
      <c r="F86" s="9" t="inlineStr">
        <is>
          <t>OpenStreetMap</t>
        </is>
      </c>
      <c r="G86" s="10" t="inlineStr">
        <is>
          <t>Phường Hoài Nhơn Bắc, Gia Lai</t>
        </is>
      </c>
      <c r="H86" s="9" t="inlineStr">
        <is>
          <t>Phường Hoài Nhơn Bắc</t>
        </is>
      </c>
      <c r="I86" s="11" t="n">
        <v>14.559445</v>
      </c>
      <c r="J86" s="11" t="n">
        <v>109.066338</v>
      </c>
      <c r="K86" s="9" t="inlineStr">
        <is>
          <t>Đã đối chiếu</t>
        </is>
      </c>
      <c r="L86" s="10" t="n"/>
      <c r="M86" s="12" t="inlineStr">
        <is>
          <t>Bản đồ</t>
        </is>
      </c>
      <c r="N86" s="13" t="n"/>
      <c r="O86" s="14" t="n"/>
      <c r="P86" s="14" t="n"/>
      <c r="Q86" s="13" t="n"/>
      <c r="R86" s="15" t="n"/>
      <c r="S86" s="13" t="n"/>
      <c r="T86" s="13" t="n"/>
      <c r="U86" s="16">
        <f>IF(AND(ISNUMBER(O86),ISNUMBER(P86)),ROUND(SQRT(((P86-J86)*111320*COS(RADIANS(I86)))^2+((O86-I86)*110540)^2),0),"")</f>
        <v/>
      </c>
      <c r="V86" s="17">
        <f>IF(N86="","",IF(N86="Sửa vị trí",IF(OR(O86="",P86=""),"Thiếu vĩ độ / kinh độ mới",IF(OR(O86&lt;12.5,O86&gt;15,P86&lt;107,P86&gt;109.6),"Toạ độ ngoài Gia Lai (đảo vĩ/kinh độ?)",IF(Q86="","Chọn cách xác định",IF(U86&gt;20000,"Dời hơn 20 km – kiểm tra lại","OK")))),IF(AND(N86&lt;&gt;"Sửa vị trí",OR(O86&lt;&gt;"",P86&lt;&gt;"")),"Có toạ độ mới nhưng kết quả không phải Sửa vị trí","OK")))</f>
        <v/>
      </c>
    </row>
    <row r="87">
      <c r="A87" s="9" t="n">
        <v>83</v>
      </c>
      <c r="B87" s="9" t="inlineStr">
        <is>
          <t>e34e7ddb-7de4-0e48-2570-bf1404b7a243</t>
        </is>
      </c>
      <c r="C87" s="9" t="inlineStr">
        <is>
          <t>Trung bình</t>
        </is>
      </c>
      <c r="D87" s="10" t="inlineStr">
        <is>
          <t>PV Oil</t>
        </is>
      </c>
      <c r="E87" s="9" t="inlineStr">
        <is>
          <t>Cây xăng</t>
        </is>
      </c>
      <c r="F87" s="9" t="inlineStr">
        <is>
          <t>OpenStreetMap</t>
        </is>
      </c>
      <c r="G87" s="10" t="inlineStr">
        <is>
          <t>Phường Hoài Nhơn Bắc, Gia Lai</t>
        </is>
      </c>
      <c r="H87" s="9" t="inlineStr">
        <is>
          <t>Phường Hoài Nhơn Bắc</t>
        </is>
      </c>
      <c r="I87" s="11" t="n">
        <v>14.574763</v>
      </c>
      <c r="J87" s="11" t="n">
        <v>109.058025</v>
      </c>
      <c r="K87" s="9" t="inlineStr">
        <is>
          <t>Đã đối chiếu</t>
        </is>
      </c>
      <c r="L87" s="10" t="n"/>
      <c r="M87" s="12" t="inlineStr">
        <is>
          <t>Bản đồ</t>
        </is>
      </c>
      <c r="N87" s="13" t="n"/>
      <c r="O87" s="14" t="n"/>
      <c r="P87" s="14" t="n"/>
      <c r="Q87" s="13" t="n"/>
      <c r="R87" s="15" t="n"/>
      <c r="S87" s="13" t="n"/>
      <c r="T87" s="13" t="n"/>
      <c r="U87" s="16">
        <f>IF(AND(ISNUMBER(O87),ISNUMBER(P87)),ROUND(SQRT(((P87-J87)*111320*COS(RADIANS(I87)))^2+((O87-I87)*110540)^2),0),"")</f>
        <v/>
      </c>
      <c r="V87" s="17">
        <f>IF(N87="","",IF(N87="Sửa vị trí",IF(OR(O87="",P87=""),"Thiếu vĩ độ / kinh độ mới",IF(OR(O87&lt;12.5,O87&gt;15,P87&lt;107,P87&gt;109.6),"Toạ độ ngoài Gia Lai (đảo vĩ/kinh độ?)",IF(Q87="","Chọn cách xác định",IF(U87&gt;20000,"Dời hơn 20 km – kiểm tra lại","OK")))),IF(AND(N87&lt;&gt;"Sửa vị trí",OR(O87&lt;&gt;"",P87&lt;&gt;"")),"Có toạ độ mới nhưng kết quả không phải Sửa vị trí","OK")))</f>
        <v/>
      </c>
    </row>
    <row r="88">
      <c r="A88" s="9" t="n">
        <v>84</v>
      </c>
      <c r="B88" s="9" t="inlineStr">
        <is>
          <t>ba633141-f0de-215a-f684-0aff04be9017</t>
        </is>
      </c>
      <c r="C88" s="9" t="inlineStr">
        <is>
          <t>Trung bình</t>
        </is>
      </c>
      <c r="D88" s="10" t="inlineStr">
        <is>
          <t>Cửa hàng xăng dầu Hoài Nhơn 9</t>
        </is>
      </c>
      <c r="E88" s="9" t="inlineStr">
        <is>
          <t>Cây xăng</t>
        </is>
      </c>
      <c r="F88" s="9" t="inlineStr">
        <is>
          <t>OpenStreetMap</t>
        </is>
      </c>
      <c r="G88" s="10" t="inlineStr">
        <is>
          <t>Phường Hoài Nhơn Nam, Gia Lai</t>
        </is>
      </c>
      <c r="H88" s="9" t="inlineStr">
        <is>
          <t>Phường Hoài Nhơn Nam</t>
        </is>
      </c>
      <c r="I88" s="11" t="n">
        <v>14.470206</v>
      </c>
      <c r="J88" s="11" t="n">
        <v>109.030525</v>
      </c>
      <c r="K88" s="9" t="inlineStr">
        <is>
          <t>Đã đối chiếu</t>
        </is>
      </c>
      <c r="L88" s="10" t="n"/>
      <c r="M88" s="12" t="inlineStr">
        <is>
          <t>Bản đồ</t>
        </is>
      </c>
      <c r="N88" s="13" t="n"/>
      <c r="O88" s="14" t="n"/>
      <c r="P88" s="14" t="n"/>
      <c r="Q88" s="13" t="n"/>
      <c r="R88" s="15" t="n"/>
      <c r="S88" s="13" t="n"/>
      <c r="T88" s="13" t="n"/>
      <c r="U88" s="16">
        <f>IF(AND(ISNUMBER(O88),ISNUMBER(P88)),ROUND(SQRT(((P88-J88)*111320*COS(RADIANS(I88)))^2+((O88-I88)*110540)^2),0),"")</f>
        <v/>
      </c>
      <c r="V88" s="17">
        <f>IF(N88="","",IF(N88="Sửa vị trí",IF(OR(O88="",P88=""),"Thiếu vĩ độ / kinh độ mới",IF(OR(O88&lt;12.5,O88&gt;15,P88&lt;107,P88&gt;109.6),"Toạ độ ngoài Gia Lai (đảo vĩ/kinh độ?)",IF(Q88="","Chọn cách xác định",IF(U88&gt;20000,"Dời hơn 20 km – kiểm tra lại","OK")))),IF(AND(N88&lt;&gt;"Sửa vị trí",OR(O88&lt;&gt;"",P88&lt;&gt;"")),"Có toạ độ mới nhưng kết quả không phải Sửa vị trí","OK")))</f>
        <v/>
      </c>
    </row>
    <row r="89">
      <c r="A89" s="9" t="n">
        <v>85</v>
      </c>
      <c r="B89" s="9" t="inlineStr">
        <is>
          <t>fdf85586-caf1-c7cf-164b-92af686e3c5e</t>
        </is>
      </c>
      <c r="C89" s="9" t="inlineStr">
        <is>
          <t>Trung bình</t>
        </is>
      </c>
      <c r="D89" s="10" t="inlineStr">
        <is>
          <t>Cây xăng (Phường Hoài Nhơn Đông)</t>
        </is>
      </c>
      <c r="E89" s="9" t="inlineStr">
        <is>
          <t>Cây xăng</t>
        </is>
      </c>
      <c r="F89" s="9" t="inlineStr">
        <is>
          <t>OpenStreetMap</t>
        </is>
      </c>
      <c r="G89" s="10" t="inlineStr">
        <is>
          <t>Phường Hoài Nhơn Đông, Gia Lai</t>
        </is>
      </c>
      <c r="H89" s="9" t="inlineStr">
        <is>
          <t>Phường Hoài Nhơn Đông</t>
        </is>
      </c>
      <c r="I89" s="11" t="n">
        <v>14.493691</v>
      </c>
      <c r="J89" s="11" t="n">
        <v>109.088726</v>
      </c>
      <c r="K89" s="9" t="inlineStr">
        <is>
          <t>Đã đối chiếu</t>
        </is>
      </c>
      <c r="L89" s="10" t="n"/>
      <c r="M89" s="12" t="inlineStr">
        <is>
          <t>Bản đồ</t>
        </is>
      </c>
      <c r="N89" s="13" t="n"/>
      <c r="O89" s="14" t="n"/>
      <c r="P89" s="14" t="n"/>
      <c r="Q89" s="13" t="n"/>
      <c r="R89" s="15" t="n"/>
      <c r="S89" s="13" t="n"/>
      <c r="T89" s="13" t="n"/>
      <c r="U89" s="16">
        <f>IF(AND(ISNUMBER(O89),ISNUMBER(P89)),ROUND(SQRT(((P89-J89)*111320*COS(RADIANS(I89)))^2+((O89-I89)*110540)^2),0),"")</f>
        <v/>
      </c>
      <c r="V89" s="17">
        <f>IF(N89="","",IF(N89="Sửa vị trí",IF(OR(O89="",P89=""),"Thiếu vĩ độ / kinh độ mới",IF(OR(O89&lt;12.5,O89&gt;15,P89&lt;107,P89&gt;109.6),"Toạ độ ngoài Gia Lai (đảo vĩ/kinh độ?)",IF(Q89="","Chọn cách xác định",IF(U89&gt;20000,"Dời hơn 20 km – kiểm tra lại","OK")))),IF(AND(N89&lt;&gt;"Sửa vị trí",OR(O89&lt;&gt;"",P89&lt;&gt;"")),"Có toạ độ mới nhưng kết quả không phải Sửa vị trí","OK")))</f>
        <v/>
      </c>
    </row>
    <row r="90">
      <c r="A90" s="9" t="n">
        <v>86</v>
      </c>
      <c r="B90" s="9" t="inlineStr">
        <is>
          <t>7e3c4d22-8d5d-d476-3ab8-dc2f9754b012</t>
        </is>
      </c>
      <c r="C90" s="9" t="inlineStr">
        <is>
          <t>Trung bình</t>
        </is>
      </c>
      <c r="D90" s="10" t="inlineStr">
        <is>
          <t>Petrolimex</t>
        </is>
      </c>
      <c r="E90" s="9" t="inlineStr">
        <is>
          <t>Cây xăng</t>
        </is>
      </c>
      <c r="F90" s="9" t="inlineStr">
        <is>
          <t>OpenStreetMap</t>
        </is>
      </c>
      <c r="G90" s="10" t="inlineStr">
        <is>
          <t>Phường Hoài Nhơn Đông, Gia Lai</t>
        </is>
      </c>
      <c r="H90" s="9" t="inlineStr">
        <is>
          <t>Phường Hoài Nhơn Đông</t>
        </is>
      </c>
      <c r="I90" s="11" t="n">
        <v>14.462668</v>
      </c>
      <c r="J90" s="11" t="n">
        <v>109.099145</v>
      </c>
      <c r="K90" s="9" t="inlineStr">
        <is>
          <t>Đã đối chiếu</t>
        </is>
      </c>
      <c r="L90" s="10" t="n"/>
      <c r="M90" s="12" t="inlineStr">
        <is>
          <t>Bản đồ</t>
        </is>
      </c>
      <c r="N90" s="13" t="n"/>
      <c r="O90" s="14" t="n"/>
      <c r="P90" s="14" t="n"/>
      <c r="Q90" s="13" t="n"/>
      <c r="R90" s="15" t="n"/>
      <c r="S90" s="13" t="n"/>
      <c r="T90" s="13" t="n"/>
      <c r="U90" s="16">
        <f>IF(AND(ISNUMBER(O90),ISNUMBER(P90)),ROUND(SQRT(((P90-J90)*111320*COS(RADIANS(I90)))^2+((O90-I90)*110540)^2),0),"")</f>
        <v/>
      </c>
      <c r="V90" s="17">
        <f>IF(N90="","",IF(N90="Sửa vị trí",IF(OR(O90="",P90=""),"Thiếu vĩ độ / kinh độ mới",IF(OR(O90&lt;12.5,O90&gt;15,P90&lt;107,P90&gt;109.6),"Toạ độ ngoài Gia Lai (đảo vĩ/kinh độ?)",IF(Q90="","Chọn cách xác định",IF(U90&gt;20000,"Dời hơn 20 km – kiểm tra lại","OK")))),IF(AND(N90&lt;&gt;"Sửa vị trí",OR(O90&lt;&gt;"",P90&lt;&gt;"")),"Có toạ độ mới nhưng kết quả không phải Sửa vị trí","OK")))</f>
        <v/>
      </c>
    </row>
    <row r="91">
      <c r="A91" s="9" t="n">
        <v>87</v>
      </c>
      <c r="B91" s="9" t="inlineStr">
        <is>
          <t>d2f7c270-50ad-9ac6-c968-34b058478f7d</t>
        </is>
      </c>
      <c r="C91" s="9" t="inlineStr">
        <is>
          <t>Trung bình</t>
        </is>
      </c>
      <c r="D91" s="10" t="inlineStr">
        <is>
          <t>Cây xăng (Phường Hội Phú)</t>
        </is>
      </c>
      <c r="E91" s="9" t="inlineStr">
        <is>
          <t>Cây xăng</t>
        </is>
      </c>
      <c r="F91" s="9" t="inlineStr">
        <is>
          <t>OpenStreetMap</t>
        </is>
      </c>
      <c r="G91" s="10" t="inlineStr">
        <is>
          <t>Phường Hội Phú, Gia Lai</t>
        </is>
      </c>
      <c r="H91" s="9" t="inlineStr">
        <is>
          <t>Phường Hội Phú</t>
        </is>
      </c>
      <c r="I91" s="11" t="n">
        <v>13.940143</v>
      </c>
      <c r="J91" s="11" t="n">
        <v>108.010153</v>
      </c>
      <c r="K91" s="9" t="inlineStr">
        <is>
          <t>Đã đối chiếu</t>
        </is>
      </c>
      <c r="L91" s="10" t="n"/>
      <c r="M91" s="12" t="inlineStr">
        <is>
          <t>Bản đồ</t>
        </is>
      </c>
      <c r="N91" s="13" t="n"/>
      <c r="O91" s="14" t="n"/>
      <c r="P91" s="14" t="n"/>
      <c r="Q91" s="13" t="n"/>
      <c r="R91" s="15" t="n"/>
      <c r="S91" s="13" t="n"/>
      <c r="T91" s="13" t="n"/>
      <c r="U91" s="16">
        <f>IF(AND(ISNUMBER(O91),ISNUMBER(P91)),ROUND(SQRT(((P91-J91)*111320*COS(RADIANS(I91)))^2+((O91-I91)*110540)^2),0),"")</f>
        <v/>
      </c>
      <c r="V91" s="17">
        <f>IF(N91="","",IF(N91="Sửa vị trí",IF(OR(O91="",P91=""),"Thiếu vĩ độ / kinh độ mới",IF(OR(O91&lt;12.5,O91&gt;15,P91&lt;107,P91&gt;109.6),"Toạ độ ngoài Gia Lai (đảo vĩ/kinh độ?)",IF(Q91="","Chọn cách xác định",IF(U91&gt;20000,"Dời hơn 20 km – kiểm tra lại","OK")))),IF(AND(N91&lt;&gt;"Sửa vị trí",OR(O91&lt;&gt;"",P91&lt;&gt;"")),"Có toạ độ mới nhưng kết quả không phải Sửa vị trí","OK")))</f>
        <v/>
      </c>
    </row>
    <row r="92">
      <c r="A92" s="9" t="n">
        <v>88</v>
      </c>
      <c r="B92" s="9" t="inlineStr">
        <is>
          <t>eb04c228-5339-02ff-e211-dd33c3fc9895</t>
        </is>
      </c>
      <c r="C92" s="9" t="inlineStr">
        <is>
          <t>Trung bình</t>
        </is>
      </c>
      <c r="D92" s="10" t="inlineStr">
        <is>
          <t>Cây xăng (Phường Hội Phú)</t>
        </is>
      </c>
      <c r="E92" s="9" t="inlineStr">
        <is>
          <t>Cây xăng</t>
        </is>
      </c>
      <c r="F92" s="9" t="inlineStr">
        <is>
          <t>OpenStreetMap</t>
        </is>
      </c>
      <c r="G92" s="10" t="inlineStr">
        <is>
          <t>Phường Hội Phú, Gia Lai</t>
        </is>
      </c>
      <c r="H92" s="9" t="inlineStr">
        <is>
          <t>Phường Hội Phú</t>
        </is>
      </c>
      <c r="I92" s="11" t="n">
        <v>13.959062</v>
      </c>
      <c r="J92" s="11" t="n">
        <v>108.016094</v>
      </c>
      <c r="K92" s="9" t="inlineStr">
        <is>
          <t>Đã đối chiếu</t>
        </is>
      </c>
      <c r="L92" s="10" t="n"/>
      <c r="M92" s="12" t="inlineStr">
        <is>
          <t>Bản đồ</t>
        </is>
      </c>
      <c r="N92" s="13" t="n"/>
      <c r="O92" s="14" t="n"/>
      <c r="P92" s="14" t="n"/>
      <c r="Q92" s="13" t="n"/>
      <c r="R92" s="15" t="n"/>
      <c r="S92" s="13" t="n"/>
      <c r="T92" s="13" t="n"/>
      <c r="U92" s="16">
        <f>IF(AND(ISNUMBER(O92),ISNUMBER(P92)),ROUND(SQRT(((P92-J92)*111320*COS(RADIANS(I92)))^2+((O92-I92)*110540)^2),0),"")</f>
        <v/>
      </c>
      <c r="V92" s="17">
        <f>IF(N92="","",IF(N92="Sửa vị trí",IF(OR(O92="",P92=""),"Thiếu vĩ độ / kinh độ mới",IF(OR(O92&lt;12.5,O92&gt;15,P92&lt;107,P92&gt;109.6),"Toạ độ ngoài Gia Lai (đảo vĩ/kinh độ?)",IF(Q92="","Chọn cách xác định",IF(U92&gt;20000,"Dời hơn 20 km – kiểm tra lại","OK")))),IF(AND(N92&lt;&gt;"Sửa vị trí",OR(O92&lt;&gt;"",P92&lt;&gt;"")),"Có toạ độ mới nhưng kết quả không phải Sửa vị trí","OK")))</f>
        <v/>
      </c>
    </row>
    <row r="93">
      <c r="A93" s="9" t="n">
        <v>89</v>
      </c>
      <c r="B93" s="9" t="inlineStr">
        <is>
          <t>7469235e-1aa2-e378-21cf-f9f2009a8b83</t>
        </is>
      </c>
      <c r="C93" s="9" t="inlineStr">
        <is>
          <t>Trung bình</t>
        </is>
      </c>
      <c r="D93" s="10" t="inlineStr">
        <is>
          <t>PV Oil</t>
        </is>
      </c>
      <c r="E93" s="9" t="inlineStr">
        <is>
          <t>Cây xăng</t>
        </is>
      </c>
      <c r="F93" s="9" t="inlineStr">
        <is>
          <t>OpenStreetMap</t>
        </is>
      </c>
      <c r="G93" s="10" t="inlineStr">
        <is>
          <t>Phường Hội Phú, Gia Lai</t>
        </is>
      </c>
      <c r="H93" s="9" t="inlineStr">
        <is>
          <t>Phường Hội Phú</t>
        </is>
      </c>
      <c r="I93" s="11" t="n">
        <v>13.938404</v>
      </c>
      <c r="J93" s="11" t="n">
        <v>108.00928</v>
      </c>
      <c r="K93" s="9" t="inlineStr">
        <is>
          <t>Đã đối chiếu</t>
        </is>
      </c>
      <c r="L93" s="10" t="n"/>
      <c r="M93" s="12" t="inlineStr">
        <is>
          <t>Bản đồ</t>
        </is>
      </c>
      <c r="N93" s="13" t="n"/>
      <c r="O93" s="14" t="n"/>
      <c r="P93" s="14" t="n"/>
      <c r="Q93" s="13" t="n"/>
      <c r="R93" s="15" t="n"/>
      <c r="S93" s="13" t="n"/>
      <c r="T93" s="13" t="n"/>
      <c r="U93" s="16">
        <f>IF(AND(ISNUMBER(O93),ISNUMBER(P93)),ROUND(SQRT(((P93-J93)*111320*COS(RADIANS(I93)))^2+((O93-I93)*110540)^2),0),"")</f>
        <v/>
      </c>
      <c r="V93" s="17">
        <f>IF(N93="","",IF(N93="Sửa vị trí",IF(OR(O93="",P93=""),"Thiếu vĩ độ / kinh độ mới",IF(OR(O93&lt;12.5,O93&gt;15,P93&lt;107,P93&gt;109.6),"Toạ độ ngoài Gia Lai (đảo vĩ/kinh độ?)",IF(Q93="","Chọn cách xác định",IF(U93&gt;20000,"Dời hơn 20 km – kiểm tra lại","OK")))),IF(AND(N93&lt;&gt;"Sửa vị trí",OR(O93&lt;&gt;"",P93&lt;&gt;"")),"Có toạ độ mới nhưng kết quả không phải Sửa vị trí","OK")))</f>
        <v/>
      </c>
    </row>
    <row r="94">
      <c r="A94" s="9" t="n">
        <v>90</v>
      </c>
      <c r="B94" s="9" t="inlineStr">
        <is>
          <t>85631470-3634-ee65-9a23-3b8ec8d11f55</t>
        </is>
      </c>
      <c r="C94" s="9" t="inlineStr">
        <is>
          <t>Trung bình</t>
        </is>
      </c>
      <c r="D94" s="10" t="inlineStr">
        <is>
          <t>PV Oil</t>
        </is>
      </c>
      <c r="E94" s="9" t="inlineStr">
        <is>
          <t>Cây xăng</t>
        </is>
      </c>
      <c r="F94" s="9" t="inlineStr">
        <is>
          <t>OpenStreetMap</t>
        </is>
      </c>
      <c r="G94" s="10" t="inlineStr">
        <is>
          <t>Phường Hội Phú, Gia Lai</t>
        </is>
      </c>
      <c r="H94" s="9" t="inlineStr">
        <is>
          <t>Phường Hội Phú</t>
        </is>
      </c>
      <c r="I94" s="11" t="n">
        <v>13.90262</v>
      </c>
      <c r="J94" s="11" t="n">
        <v>108.017526</v>
      </c>
      <c r="K94" s="9" t="inlineStr">
        <is>
          <t>Đã đối chiếu</t>
        </is>
      </c>
      <c r="L94" s="10" t="n"/>
      <c r="M94" s="12" t="inlineStr">
        <is>
          <t>Bản đồ</t>
        </is>
      </c>
      <c r="N94" s="13" t="n"/>
      <c r="O94" s="14" t="n"/>
      <c r="P94" s="14" t="n"/>
      <c r="Q94" s="13" t="n"/>
      <c r="R94" s="15" t="n"/>
      <c r="S94" s="13" t="n"/>
      <c r="T94" s="13" t="n"/>
      <c r="U94" s="16">
        <f>IF(AND(ISNUMBER(O94),ISNUMBER(P94)),ROUND(SQRT(((P94-J94)*111320*COS(RADIANS(I94)))^2+((O94-I94)*110540)^2),0),"")</f>
        <v/>
      </c>
      <c r="V94" s="17">
        <f>IF(N94="","",IF(N94="Sửa vị trí",IF(OR(O94="",P94=""),"Thiếu vĩ độ / kinh độ mới",IF(OR(O94&lt;12.5,O94&gt;15,P94&lt;107,P94&gt;109.6),"Toạ độ ngoài Gia Lai (đảo vĩ/kinh độ?)",IF(Q94="","Chọn cách xác định",IF(U94&gt;20000,"Dời hơn 20 km – kiểm tra lại","OK")))),IF(AND(N94&lt;&gt;"Sửa vị trí",OR(O94&lt;&gt;"",P94&lt;&gt;"")),"Có toạ độ mới nhưng kết quả không phải Sửa vị trí","OK")))</f>
        <v/>
      </c>
    </row>
    <row r="95">
      <c r="A95" s="9" t="n">
        <v>91</v>
      </c>
      <c r="B95" s="9" t="inlineStr">
        <is>
          <t>97befa43-4044-d79e-e310-bc3536dbba64</t>
        </is>
      </c>
      <c r="C95" s="9" t="inlineStr">
        <is>
          <t>Trung bình</t>
        </is>
      </c>
      <c r="D95" s="10" t="inlineStr">
        <is>
          <t>PV Oil</t>
        </is>
      </c>
      <c r="E95" s="9" t="inlineStr">
        <is>
          <t>Cây xăng</t>
        </is>
      </c>
      <c r="F95" s="9" t="inlineStr">
        <is>
          <t>OpenStreetMap</t>
        </is>
      </c>
      <c r="G95" s="10" t="inlineStr">
        <is>
          <t>Phường Hội Phú, Gia Lai</t>
        </is>
      </c>
      <c r="H95" s="9" t="inlineStr">
        <is>
          <t>Phường Hội Phú</t>
        </is>
      </c>
      <c r="I95" s="11" t="n">
        <v>13.906643</v>
      </c>
      <c r="J95" s="11" t="n">
        <v>108.015942</v>
      </c>
      <c r="K95" s="9" t="inlineStr">
        <is>
          <t>Đã đối chiếu</t>
        </is>
      </c>
      <c r="L95" s="10" t="n"/>
      <c r="M95" s="12" t="inlineStr">
        <is>
          <t>Bản đồ</t>
        </is>
      </c>
      <c r="N95" s="13" t="n"/>
      <c r="O95" s="14" t="n"/>
      <c r="P95" s="14" t="n"/>
      <c r="Q95" s="13" t="n"/>
      <c r="R95" s="15" t="n"/>
      <c r="S95" s="13" t="n"/>
      <c r="T95" s="13" t="n"/>
      <c r="U95" s="16">
        <f>IF(AND(ISNUMBER(O95),ISNUMBER(P95)),ROUND(SQRT(((P95-J95)*111320*COS(RADIANS(I95)))^2+((O95-I95)*110540)^2),0),"")</f>
        <v/>
      </c>
      <c r="V95" s="17">
        <f>IF(N95="","",IF(N95="Sửa vị trí",IF(OR(O95="",P95=""),"Thiếu vĩ độ / kinh độ mới",IF(OR(O95&lt;12.5,O95&gt;15,P95&lt;107,P95&gt;109.6),"Toạ độ ngoài Gia Lai (đảo vĩ/kinh độ?)",IF(Q95="","Chọn cách xác định",IF(U95&gt;20000,"Dời hơn 20 km – kiểm tra lại","OK")))),IF(AND(N95&lt;&gt;"Sửa vị trí",OR(O95&lt;&gt;"",P95&lt;&gt;"")),"Có toạ độ mới nhưng kết quả không phải Sửa vị trí","OK")))</f>
        <v/>
      </c>
    </row>
    <row r="96">
      <c r="A96" s="9" t="n">
        <v>92</v>
      </c>
      <c r="B96" s="9" t="inlineStr">
        <is>
          <t>2790866d-7c76-3ce2-d3aa-63d78f7df0de</t>
        </is>
      </c>
      <c r="C96" s="9" t="inlineStr">
        <is>
          <t>Trung bình</t>
        </is>
      </c>
      <c r="D96" s="10" t="inlineStr">
        <is>
          <t>PV Oil</t>
        </is>
      </c>
      <c r="E96" s="9" t="inlineStr">
        <is>
          <t>Cây xăng</t>
        </is>
      </c>
      <c r="F96" s="9" t="inlineStr">
        <is>
          <t>OpenStreetMap</t>
        </is>
      </c>
      <c r="G96" s="10" t="inlineStr">
        <is>
          <t>Phường Hội Phú, Gia Lai</t>
        </is>
      </c>
      <c r="H96" s="9" t="inlineStr">
        <is>
          <t>Phường Hội Phú</t>
        </is>
      </c>
      <c r="I96" s="11" t="n">
        <v>13.924707</v>
      </c>
      <c r="J96" s="11" t="n">
        <v>108.006163</v>
      </c>
      <c r="K96" s="9" t="inlineStr">
        <is>
          <t>Đã đối chiếu</t>
        </is>
      </c>
      <c r="L96" s="10" t="n"/>
      <c r="M96" s="12" t="inlineStr">
        <is>
          <t>Bản đồ</t>
        </is>
      </c>
      <c r="N96" s="13" t="n"/>
      <c r="O96" s="14" t="n"/>
      <c r="P96" s="14" t="n"/>
      <c r="Q96" s="13" t="n"/>
      <c r="R96" s="15" t="n"/>
      <c r="S96" s="13" t="n"/>
      <c r="T96" s="13" t="n"/>
      <c r="U96" s="16">
        <f>IF(AND(ISNUMBER(O96),ISNUMBER(P96)),ROUND(SQRT(((P96-J96)*111320*COS(RADIANS(I96)))^2+((O96-I96)*110540)^2),0),"")</f>
        <v/>
      </c>
      <c r="V96" s="17">
        <f>IF(N96="","",IF(N96="Sửa vị trí",IF(OR(O96="",P96=""),"Thiếu vĩ độ / kinh độ mới",IF(OR(O96&lt;12.5,O96&gt;15,P96&lt;107,P96&gt;109.6),"Toạ độ ngoài Gia Lai (đảo vĩ/kinh độ?)",IF(Q96="","Chọn cách xác định",IF(U96&gt;20000,"Dời hơn 20 km – kiểm tra lại","OK")))),IF(AND(N96&lt;&gt;"Sửa vị trí",OR(O96&lt;&gt;"",P96&lt;&gt;"")),"Có toạ độ mới nhưng kết quả không phải Sửa vị trí","OK")))</f>
        <v/>
      </c>
    </row>
    <row r="97">
      <c r="A97" s="9" t="n">
        <v>93</v>
      </c>
      <c r="B97" s="9" t="inlineStr">
        <is>
          <t>f31252fe-e0a7-4f3f-dc2a-7c70352993e0</t>
        </is>
      </c>
      <c r="C97" s="9" t="inlineStr">
        <is>
          <t>Trung bình</t>
        </is>
      </c>
      <c r="D97" s="10" t="inlineStr">
        <is>
          <t>Petrolimex</t>
        </is>
      </c>
      <c r="E97" s="9" t="inlineStr">
        <is>
          <t>Cây xăng</t>
        </is>
      </c>
      <c r="F97" s="9" t="inlineStr">
        <is>
          <t>OpenStreetMap</t>
        </is>
      </c>
      <c r="G97" s="10" t="inlineStr">
        <is>
          <t>Phường Hội Phú, Gia Lai</t>
        </is>
      </c>
      <c r="H97" s="9" t="inlineStr">
        <is>
          <t>Phường Hội Phú</t>
        </is>
      </c>
      <c r="I97" s="11" t="n">
        <v>13.957503</v>
      </c>
      <c r="J97" s="11" t="n">
        <v>108.015526</v>
      </c>
      <c r="K97" s="9" t="inlineStr">
        <is>
          <t>Đã đối chiếu</t>
        </is>
      </c>
      <c r="L97" s="10" t="n"/>
      <c r="M97" s="12" t="inlineStr">
        <is>
          <t>Bản đồ</t>
        </is>
      </c>
      <c r="N97" s="13" t="n"/>
      <c r="O97" s="14" t="n"/>
      <c r="P97" s="14" t="n"/>
      <c r="Q97" s="13" t="n"/>
      <c r="R97" s="15" t="n"/>
      <c r="S97" s="13" t="n"/>
      <c r="T97" s="13" t="n"/>
      <c r="U97" s="16">
        <f>IF(AND(ISNUMBER(O97),ISNUMBER(P97)),ROUND(SQRT(((P97-J97)*111320*COS(RADIANS(I97)))^2+((O97-I97)*110540)^2),0),"")</f>
        <v/>
      </c>
      <c r="V97" s="17">
        <f>IF(N97="","",IF(N97="Sửa vị trí",IF(OR(O97="",P97=""),"Thiếu vĩ độ / kinh độ mới",IF(OR(O97&lt;12.5,O97&gt;15,P97&lt;107,P97&gt;109.6),"Toạ độ ngoài Gia Lai (đảo vĩ/kinh độ?)",IF(Q97="","Chọn cách xác định",IF(U97&gt;20000,"Dời hơn 20 km – kiểm tra lại","OK")))),IF(AND(N97&lt;&gt;"Sửa vị trí",OR(O97&lt;&gt;"",P97&lt;&gt;"")),"Có toạ độ mới nhưng kết quả không phải Sửa vị trí","OK")))</f>
        <v/>
      </c>
    </row>
    <row r="98">
      <c r="A98" s="9" t="n">
        <v>94</v>
      </c>
      <c r="B98" s="9" t="inlineStr">
        <is>
          <t>ff47f258-b256-ebc3-afb3-50fed1013e0c</t>
        </is>
      </c>
      <c r="C98" s="9" t="inlineStr">
        <is>
          <t>Trung bình</t>
        </is>
      </c>
      <c r="D98" s="10" t="inlineStr">
        <is>
          <t>Petrolimex</t>
        </is>
      </c>
      <c r="E98" s="9" t="inlineStr">
        <is>
          <t>Cây xăng</t>
        </is>
      </c>
      <c r="F98" s="9" t="inlineStr">
        <is>
          <t>OpenStreetMap</t>
        </is>
      </c>
      <c r="G98" s="10" t="inlineStr">
        <is>
          <t>Phường Hội Phú, Gia Lai</t>
        </is>
      </c>
      <c r="H98" s="9" t="inlineStr">
        <is>
          <t>Phường Hội Phú</t>
        </is>
      </c>
      <c r="I98" s="11" t="n">
        <v>13.914047</v>
      </c>
      <c r="J98" s="11" t="n">
        <v>108.005668</v>
      </c>
      <c r="K98" s="9" t="inlineStr">
        <is>
          <t>Đã đối chiếu</t>
        </is>
      </c>
      <c r="L98" s="10" t="n"/>
      <c r="M98" s="12" t="inlineStr">
        <is>
          <t>Bản đồ</t>
        </is>
      </c>
      <c r="N98" s="13" t="n"/>
      <c r="O98" s="14" t="n"/>
      <c r="P98" s="14" t="n"/>
      <c r="Q98" s="13" t="n"/>
      <c r="R98" s="15" t="n"/>
      <c r="S98" s="13" t="n"/>
      <c r="T98" s="13" t="n"/>
      <c r="U98" s="16">
        <f>IF(AND(ISNUMBER(O98),ISNUMBER(P98)),ROUND(SQRT(((P98-J98)*111320*COS(RADIANS(I98)))^2+((O98-I98)*110540)^2),0),"")</f>
        <v/>
      </c>
      <c r="V98" s="17">
        <f>IF(N98="","",IF(N98="Sửa vị trí",IF(OR(O98="",P98=""),"Thiếu vĩ độ / kinh độ mới",IF(OR(O98&lt;12.5,O98&gt;15,P98&lt;107,P98&gt;109.6),"Toạ độ ngoài Gia Lai (đảo vĩ/kinh độ?)",IF(Q98="","Chọn cách xác định",IF(U98&gt;20000,"Dời hơn 20 km – kiểm tra lại","OK")))),IF(AND(N98&lt;&gt;"Sửa vị trí",OR(O98&lt;&gt;"",P98&lt;&gt;"")),"Có toạ độ mới nhưng kết quả không phải Sửa vị trí","OK")))</f>
        <v/>
      </c>
    </row>
    <row r="99">
      <c r="A99" s="9" t="n">
        <v>95</v>
      </c>
      <c r="B99" s="9" t="inlineStr">
        <is>
          <t>1972658e-951c-1bb4-9c09-22bb6e834a98</t>
        </is>
      </c>
      <c r="C99" s="9" t="inlineStr">
        <is>
          <t>Trung bình</t>
        </is>
      </c>
      <c r="D99" s="10" t="inlineStr">
        <is>
          <t>Petrolimex</t>
        </is>
      </c>
      <c r="E99" s="9" t="inlineStr">
        <is>
          <t>Cây xăng</t>
        </is>
      </c>
      <c r="F99" s="9" t="inlineStr">
        <is>
          <t>OpenStreetMap</t>
        </is>
      </c>
      <c r="G99" s="10" t="inlineStr">
        <is>
          <t>Phường Hội Phú, Gia Lai</t>
        </is>
      </c>
      <c r="H99" s="9" t="inlineStr">
        <is>
          <t>Phường Hội Phú</t>
        </is>
      </c>
      <c r="I99" s="11" t="n">
        <v>13.929572</v>
      </c>
      <c r="J99" s="11" t="n">
        <v>108.007448</v>
      </c>
      <c r="K99" s="9" t="inlineStr">
        <is>
          <t>Đã đối chiếu</t>
        </is>
      </c>
      <c r="L99" s="10" t="n"/>
      <c r="M99" s="12" t="inlineStr">
        <is>
          <t>Bản đồ</t>
        </is>
      </c>
      <c r="N99" s="13" t="n"/>
      <c r="O99" s="14" t="n"/>
      <c r="P99" s="14" t="n"/>
      <c r="Q99" s="13" t="n"/>
      <c r="R99" s="15" t="n"/>
      <c r="S99" s="13" t="n"/>
      <c r="T99" s="13" t="n"/>
      <c r="U99" s="16">
        <f>IF(AND(ISNUMBER(O99),ISNUMBER(P99)),ROUND(SQRT(((P99-J99)*111320*COS(RADIANS(I99)))^2+((O99-I99)*110540)^2),0),"")</f>
        <v/>
      </c>
      <c r="V99" s="17">
        <f>IF(N99="","",IF(N99="Sửa vị trí",IF(OR(O99="",P99=""),"Thiếu vĩ độ / kinh độ mới",IF(OR(O99&lt;12.5,O99&gt;15,P99&lt;107,P99&gt;109.6),"Toạ độ ngoài Gia Lai (đảo vĩ/kinh độ?)",IF(Q99="","Chọn cách xác định",IF(U99&gt;20000,"Dời hơn 20 km – kiểm tra lại","OK")))),IF(AND(N99&lt;&gt;"Sửa vị trí",OR(O99&lt;&gt;"",P99&lt;&gt;"")),"Có toạ độ mới nhưng kết quả không phải Sửa vị trí","OK")))</f>
        <v/>
      </c>
    </row>
    <row r="100">
      <c r="A100" s="9" t="n">
        <v>96</v>
      </c>
      <c r="B100" s="9" t="inlineStr">
        <is>
          <t>56c0b8ce-6d3d-ea0c-de75-643c037a2096</t>
        </is>
      </c>
      <c r="C100" s="9" t="inlineStr">
        <is>
          <t>Trung bình</t>
        </is>
      </c>
      <c r="D100" s="10" t="inlineStr">
        <is>
          <t>Shell Station</t>
        </is>
      </c>
      <c r="E100" s="9" t="inlineStr">
        <is>
          <t>Cây xăng</t>
        </is>
      </c>
      <c r="F100" s="9" t="inlineStr">
        <is>
          <t>OpenStreetMap</t>
        </is>
      </c>
      <c r="G100" s="10" t="inlineStr">
        <is>
          <t>Phường Hội Phú, Gia Lai</t>
        </is>
      </c>
      <c r="H100" s="9" t="inlineStr">
        <is>
          <t>Phường Hội Phú</t>
        </is>
      </c>
      <c r="I100" s="11" t="n">
        <v>13.947055</v>
      </c>
      <c r="J100" s="11" t="n">
        <v>108.011929</v>
      </c>
      <c r="K100" s="9" t="inlineStr">
        <is>
          <t>Đã đối chiếu</t>
        </is>
      </c>
      <c r="L100" s="10" t="n"/>
      <c r="M100" s="12" t="inlineStr">
        <is>
          <t>Bản đồ</t>
        </is>
      </c>
      <c r="N100" s="13" t="n"/>
      <c r="O100" s="14" t="n"/>
      <c r="P100" s="14" t="n"/>
      <c r="Q100" s="13" t="n"/>
      <c r="R100" s="15" t="n"/>
      <c r="S100" s="13" t="n"/>
      <c r="T100" s="13" t="n"/>
      <c r="U100" s="16">
        <f>IF(AND(ISNUMBER(O100),ISNUMBER(P100)),ROUND(SQRT(((P100-J100)*111320*COS(RADIANS(I100)))^2+((O100-I100)*110540)^2),0),"")</f>
        <v/>
      </c>
      <c r="V100" s="17">
        <f>IF(N100="","",IF(N100="Sửa vị trí",IF(OR(O100="",P100=""),"Thiếu vĩ độ / kinh độ mới",IF(OR(O100&lt;12.5,O100&gt;15,P100&lt;107,P100&gt;109.6),"Toạ độ ngoài Gia Lai (đảo vĩ/kinh độ?)",IF(Q100="","Chọn cách xác định",IF(U100&gt;20000,"Dời hơn 20 km – kiểm tra lại","OK")))),IF(AND(N100&lt;&gt;"Sửa vị trí",OR(O100&lt;&gt;"",P100&lt;&gt;"")),"Có toạ độ mới nhưng kết quả không phải Sửa vị trí","OK")))</f>
        <v/>
      </c>
    </row>
    <row r="101">
      <c r="A101" s="9" t="n">
        <v>97</v>
      </c>
      <c r="B101" s="9" t="inlineStr">
        <is>
          <t>cfae2114-747d-428d-d2e5-5d27b8691131</t>
        </is>
      </c>
      <c r="C101" s="9" t="inlineStr">
        <is>
          <t>Trung bình</t>
        </is>
      </c>
      <c r="D101" s="10" t="inlineStr">
        <is>
          <t>Cây xăng (Phường Pleiku)</t>
        </is>
      </c>
      <c r="E101" s="9" t="inlineStr">
        <is>
          <t>Cây xăng</t>
        </is>
      </c>
      <c r="F101" s="9" t="inlineStr">
        <is>
          <t>OpenStreetMap</t>
        </is>
      </c>
      <c r="G101" s="10" t="inlineStr">
        <is>
          <t>Phường Pleiku, Gia Lai</t>
        </is>
      </c>
      <c r="H101" s="9" t="inlineStr">
        <is>
          <t>Phường Pleiku</t>
        </is>
      </c>
      <c r="I101" s="11" t="n">
        <v>13.978069</v>
      </c>
      <c r="J101" s="11" t="n">
        <v>108.025781</v>
      </c>
      <c r="K101" s="9" t="inlineStr">
        <is>
          <t>Đã đối chiếu</t>
        </is>
      </c>
      <c r="L101" s="10" t="n"/>
      <c r="M101" s="12" t="inlineStr">
        <is>
          <t>Bản đồ</t>
        </is>
      </c>
      <c r="N101" s="13" t="n"/>
      <c r="O101" s="14" t="n"/>
      <c r="P101" s="14" t="n"/>
      <c r="Q101" s="13" t="n"/>
      <c r="R101" s="15" t="n"/>
      <c r="S101" s="13" t="n"/>
      <c r="T101" s="13" t="n"/>
      <c r="U101" s="16">
        <f>IF(AND(ISNUMBER(O101),ISNUMBER(P101)),ROUND(SQRT(((P101-J101)*111320*COS(RADIANS(I101)))^2+((O101-I101)*110540)^2),0),"")</f>
        <v/>
      </c>
      <c r="V101" s="17">
        <f>IF(N101="","",IF(N101="Sửa vị trí",IF(OR(O101="",P101=""),"Thiếu vĩ độ / kinh độ mới",IF(OR(O101&lt;12.5,O101&gt;15,P101&lt;107,P101&gt;109.6),"Toạ độ ngoài Gia Lai (đảo vĩ/kinh độ?)",IF(Q101="","Chọn cách xác định",IF(U101&gt;20000,"Dời hơn 20 km – kiểm tra lại","OK")))),IF(AND(N101&lt;&gt;"Sửa vị trí",OR(O101&lt;&gt;"",P101&lt;&gt;"")),"Có toạ độ mới nhưng kết quả không phải Sửa vị trí","OK")))</f>
        <v/>
      </c>
    </row>
    <row r="102">
      <c r="A102" s="9" t="n">
        <v>98</v>
      </c>
      <c r="B102" s="9" t="inlineStr">
        <is>
          <t>179ade37-4d38-da21-fd98-1bcd8d24e5ee</t>
        </is>
      </c>
      <c r="C102" s="9" t="inlineStr">
        <is>
          <t>Trung bình</t>
        </is>
      </c>
      <c r="D102" s="10" t="inlineStr">
        <is>
          <t>Petrolimex</t>
        </is>
      </c>
      <c r="E102" s="9" t="inlineStr">
        <is>
          <t>Cây xăng</t>
        </is>
      </c>
      <c r="F102" s="9" t="inlineStr">
        <is>
          <t>OpenStreetMap</t>
        </is>
      </c>
      <c r="G102" s="10" t="inlineStr">
        <is>
          <t>Phạm Văn Đồng, Phường Pleiku, Gia Lai</t>
        </is>
      </c>
      <c r="H102" s="9" t="inlineStr">
        <is>
          <t>Phường Pleiku</t>
        </is>
      </c>
      <c r="I102" s="11" t="n">
        <v>13.991702</v>
      </c>
      <c r="J102" s="11" t="n">
        <v>108.002739</v>
      </c>
      <c r="K102" s="9" t="inlineStr">
        <is>
          <t>Đã đối chiếu</t>
        </is>
      </c>
      <c r="L102" s="10" t="n"/>
      <c r="M102" s="12" t="inlineStr">
        <is>
          <t>Bản đồ</t>
        </is>
      </c>
      <c r="N102" s="13" t="n"/>
      <c r="O102" s="14" t="n"/>
      <c r="P102" s="14" t="n"/>
      <c r="Q102" s="13" t="n"/>
      <c r="R102" s="15" t="n"/>
      <c r="S102" s="13" t="n"/>
      <c r="T102" s="13" t="n"/>
      <c r="U102" s="16">
        <f>IF(AND(ISNUMBER(O102),ISNUMBER(P102)),ROUND(SQRT(((P102-J102)*111320*COS(RADIANS(I102)))^2+((O102-I102)*110540)^2),0),"")</f>
        <v/>
      </c>
      <c r="V102" s="17">
        <f>IF(N102="","",IF(N102="Sửa vị trí",IF(OR(O102="",P102=""),"Thiếu vĩ độ / kinh độ mới",IF(OR(O102&lt;12.5,O102&gt;15,P102&lt;107,P102&gt;109.6),"Toạ độ ngoài Gia Lai (đảo vĩ/kinh độ?)",IF(Q102="","Chọn cách xác định",IF(U102&gt;20000,"Dời hơn 20 km – kiểm tra lại","OK")))),IF(AND(N102&lt;&gt;"Sửa vị trí",OR(O102&lt;&gt;"",P102&lt;&gt;"")),"Có toạ độ mới nhưng kết quả không phải Sửa vị trí","OK")))</f>
        <v/>
      </c>
    </row>
    <row r="103">
      <c r="A103" s="9" t="n">
        <v>99</v>
      </c>
      <c r="B103" s="9" t="inlineStr">
        <is>
          <t>4c2eda27-7ab8-d562-29b8-3c8be21e6e97</t>
        </is>
      </c>
      <c r="C103" s="9" t="inlineStr">
        <is>
          <t>Trung bình</t>
        </is>
      </c>
      <c r="D103" s="10" t="inlineStr">
        <is>
          <t>Petrolimex</t>
        </is>
      </c>
      <c r="E103" s="9" t="inlineStr">
        <is>
          <t>Cây xăng</t>
        </is>
      </c>
      <c r="F103" s="9" t="inlineStr">
        <is>
          <t>OpenStreetMap</t>
        </is>
      </c>
      <c r="G103" s="10" t="inlineStr">
        <is>
          <t>Phường Quy Nhơn, Gia Lai</t>
        </is>
      </c>
      <c r="H103" s="9" t="inlineStr">
        <is>
          <t>Phường Quy Nhơn</t>
        </is>
      </c>
      <c r="I103" s="11" t="n">
        <v>13.779355</v>
      </c>
      <c r="J103" s="11" t="n">
        <v>109.22527</v>
      </c>
      <c r="K103" s="9" t="inlineStr">
        <is>
          <t>Đã đối chiếu</t>
        </is>
      </c>
      <c r="L103" s="10" t="n"/>
      <c r="M103" s="12" t="inlineStr">
        <is>
          <t>Bản đồ</t>
        </is>
      </c>
      <c r="N103" s="13" t="n"/>
      <c r="O103" s="14" t="n"/>
      <c r="P103" s="14" t="n"/>
      <c r="Q103" s="13" t="n"/>
      <c r="R103" s="15" t="n"/>
      <c r="S103" s="13" t="n"/>
      <c r="T103" s="13" t="n"/>
      <c r="U103" s="16">
        <f>IF(AND(ISNUMBER(O103),ISNUMBER(P103)),ROUND(SQRT(((P103-J103)*111320*COS(RADIANS(I103)))^2+((O103-I103)*110540)^2),0),"")</f>
        <v/>
      </c>
      <c r="V103" s="17">
        <f>IF(N103="","",IF(N103="Sửa vị trí",IF(OR(O103="",P103=""),"Thiếu vĩ độ / kinh độ mới",IF(OR(O103&lt;12.5,O103&gt;15,P103&lt;107,P103&gt;109.6),"Toạ độ ngoài Gia Lai (đảo vĩ/kinh độ?)",IF(Q103="","Chọn cách xác định",IF(U103&gt;20000,"Dời hơn 20 km – kiểm tra lại","OK")))),IF(AND(N103&lt;&gt;"Sửa vị trí",OR(O103&lt;&gt;"",P103&lt;&gt;"")),"Có toạ độ mới nhưng kết quả không phải Sửa vị trí","OK")))</f>
        <v/>
      </c>
    </row>
    <row r="104">
      <c r="A104" s="9" t="n">
        <v>100</v>
      </c>
      <c r="B104" s="9" t="inlineStr">
        <is>
          <t>6d3a1db4-b627-8731-33b8-fab203c0bcf8</t>
        </is>
      </c>
      <c r="C104" s="9" t="inlineStr">
        <is>
          <t>Trung bình</t>
        </is>
      </c>
      <c r="D104" s="10" t="inlineStr">
        <is>
          <t>Cây xăng (Phường Quy Nhơn Bắc)</t>
        </is>
      </c>
      <c r="E104" s="9" t="inlineStr">
        <is>
          <t>Cây xăng</t>
        </is>
      </c>
      <c r="F104" s="9" t="inlineStr">
        <is>
          <t>OpenStreetMap</t>
        </is>
      </c>
      <c r="G104" s="10" t="inlineStr">
        <is>
          <t>Phường Quy Nhơn Bắc, Gia Lai</t>
        </is>
      </c>
      <c r="H104" s="9" t="inlineStr">
        <is>
          <t>Phường Quy Nhơn Bắc</t>
        </is>
      </c>
      <c r="I104" s="11" t="n">
        <v>13.793768</v>
      </c>
      <c r="J104" s="11" t="n">
        <v>109.163365</v>
      </c>
      <c r="K104" s="9" t="inlineStr">
        <is>
          <t>Đã đối chiếu</t>
        </is>
      </c>
      <c r="L104" s="10" t="n"/>
      <c r="M104" s="12" t="inlineStr">
        <is>
          <t>Bản đồ</t>
        </is>
      </c>
      <c r="N104" s="13" t="n"/>
      <c r="O104" s="14" t="n"/>
      <c r="P104" s="14" t="n"/>
      <c r="Q104" s="13" t="n"/>
      <c r="R104" s="15" t="n"/>
      <c r="S104" s="13" t="n"/>
      <c r="T104" s="13" t="n"/>
      <c r="U104" s="16">
        <f>IF(AND(ISNUMBER(O104),ISNUMBER(P104)),ROUND(SQRT(((P104-J104)*111320*COS(RADIANS(I104)))^2+((O104-I104)*110540)^2),0),"")</f>
        <v/>
      </c>
      <c r="V104" s="17">
        <f>IF(N104="","",IF(N104="Sửa vị trí",IF(OR(O104="",P104=""),"Thiếu vĩ độ / kinh độ mới",IF(OR(O104&lt;12.5,O104&gt;15,P104&lt;107,P104&gt;109.6),"Toạ độ ngoài Gia Lai (đảo vĩ/kinh độ?)",IF(Q104="","Chọn cách xác định",IF(U104&gt;20000,"Dời hơn 20 km – kiểm tra lại","OK")))),IF(AND(N104&lt;&gt;"Sửa vị trí",OR(O104&lt;&gt;"",P104&lt;&gt;"")),"Có toạ độ mới nhưng kết quả không phải Sửa vị trí","OK")))</f>
        <v/>
      </c>
    </row>
    <row r="105">
      <c r="A105" s="9" t="n">
        <v>101</v>
      </c>
      <c r="B105" s="9" t="inlineStr">
        <is>
          <t>7f88ac0b-8d3b-589e-1291-2b8c198a18e2</t>
        </is>
      </c>
      <c r="C105" s="9" t="inlineStr">
        <is>
          <t>Trung bình</t>
        </is>
      </c>
      <c r="D105" s="10" t="inlineStr">
        <is>
          <t>Cây xăng (Phường Quy Nhơn Bắc)</t>
        </is>
      </c>
      <c r="E105" s="9" t="inlineStr">
        <is>
          <t>Cây xăng</t>
        </is>
      </c>
      <c r="F105" s="9" t="inlineStr">
        <is>
          <t>OpenStreetMap</t>
        </is>
      </c>
      <c r="G105" s="10" t="inlineStr">
        <is>
          <t>Phường Quy Nhơn Bắc, Gia Lai</t>
        </is>
      </c>
      <c r="H105" s="9" t="inlineStr">
        <is>
          <t>Phường Quy Nhơn Bắc</t>
        </is>
      </c>
      <c r="I105" s="11" t="n">
        <v>13.794262</v>
      </c>
      <c r="J105" s="11" t="n">
        <v>109.16054</v>
      </c>
      <c r="K105" s="9" t="inlineStr">
        <is>
          <t>Đã đối chiếu</t>
        </is>
      </c>
      <c r="L105" s="10" t="n"/>
      <c r="M105" s="12" t="inlineStr">
        <is>
          <t>Bản đồ</t>
        </is>
      </c>
      <c r="N105" s="13" t="n"/>
      <c r="O105" s="14" t="n"/>
      <c r="P105" s="14" t="n"/>
      <c r="Q105" s="13" t="n"/>
      <c r="R105" s="15" t="n"/>
      <c r="S105" s="13" t="n"/>
      <c r="T105" s="13" t="n"/>
      <c r="U105" s="16">
        <f>IF(AND(ISNUMBER(O105),ISNUMBER(P105)),ROUND(SQRT(((P105-J105)*111320*COS(RADIANS(I105)))^2+((O105-I105)*110540)^2),0),"")</f>
        <v/>
      </c>
      <c r="V105" s="17">
        <f>IF(N105="","",IF(N105="Sửa vị trí",IF(OR(O105="",P105=""),"Thiếu vĩ độ / kinh độ mới",IF(OR(O105&lt;12.5,O105&gt;15,P105&lt;107,P105&gt;109.6),"Toạ độ ngoài Gia Lai (đảo vĩ/kinh độ?)",IF(Q105="","Chọn cách xác định",IF(U105&gt;20000,"Dời hơn 20 km – kiểm tra lại","OK")))),IF(AND(N105&lt;&gt;"Sửa vị trí",OR(O105&lt;&gt;"",P105&lt;&gt;"")),"Có toạ độ mới nhưng kết quả không phải Sửa vị trí","OK")))</f>
        <v/>
      </c>
    </row>
    <row r="106">
      <c r="A106" s="9" t="n">
        <v>102</v>
      </c>
      <c r="B106" s="9" t="inlineStr">
        <is>
          <t>570093a7-fbd0-b53b-1055-20dc453da6b9</t>
        </is>
      </c>
      <c r="C106" s="9" t="inlineStr">
        <is>
          <t>Trung bình</t>
        </is>
      </c>
      <c r="D106" s="10" t="inlineStr">
        <is>
          <t>Cây xăng (Phường Quy Nhơn Bắc)</t>
        </is>
      </c>
      <c r="E106" s="9" t="inlineStr">
        <is>
          <t>Cây xăng</t>
        </is>
      </c>
      <c r="F106" s="9" t="inlineStr">
        <is>
          <t>OpenStreetMap</t>
        </is>
      </c>
      <c r="G106" s="10" t="inlineStr">
        <is>
          <t>Phường Quy Nhơn Bắc, Gia Lai</t>
        </is>
      </c>
      <c r="H106" s="9" t="inlineStr">
        <is>
          <t>Phường Quy Nhơn Bắc</t>
        </is>
      </c>
      <c r="I106" s="11" t="n">
        <v>13.794198</v>
      </c>
      <c r="J106" s="11" t="n">
        <v>109.159308</v>
      </c>
      <c r="K106" s="9" t="inlineStr">
        <is>
          <t>Đã đối chiếu</t>
        </is>
      </c>
      <c r="L106" s="10" t="n"/>
      <c r="M106" s="12" t="inlineStr">
        <is>
          <t>Bản đồ</t>
        </is>
      </c>
      <c r="N106" s="13" t="n"/>
      <c r="O106" s="14" t="n"/>
      <c r="P106" s="14" t="n"/>
      <c r="Q106" s="13" t="n"/>
      <c r="R106" s="15" t="n"/>
      <c r="S106" s="13" t="n"/>
      <c r="T106" s="13" t="n"/>
      <c r="U106" s="16">
        <f>IF(AND(ISNUMBER(O106),ISNUMBER(P106)),ROUND(SQRT(((P106-J106)*111320*COS(RADIANS(I106)))^2+((O106-I106)*110540)^2),0),"")</f>
        <v/>
      </c>
      <c r="V106" s="17">
        <f>IF(N106="","",IF(N106="Sửa vị trí",IF(OR(O106="",P106=""),"Thiếu vĩ độ / kinh độ mới",IF(OR(O106&lt;12.5,O106&gt;15,P106&lt;107,P106&gt;109.6),"Toạ độ ngoài Gia Lai (đảo vĩ/kinh độ?)",IF(Q106="","Chọn cách xác định",IF(U106&gt;20000,"Dời hơn 20 km – kiểm tra lại","OK")))),IF(AND(N106&lt;&gt;"Sửa vị trí",OR(O106&lt;&gt;"",P106&lt;&gt;"")),"Có toạ độ mới nhưng kết quả không phải Sửa vị trí","OK")))</f>
        <v/>
      </c>
    </row>
    <row r="107">
      <c r="A107" s="9" t="n">
        <v>103</v>
      </c>
      <c r="B107" s="9" t="inlineStr">
        <is>
          <t>e60ab836-bd2e-a2d6-570f-6d30b7b4c6ff</t>
        </is>
      </c>
      <c r="C107" s="9" t="inlineStr">
        <is>
          <t>Trung bình</t>
        </is>
      </c>
      <c r="D107" s="10" t="inlineStr">
        <is>
          <t>Petrolimex</t>
        </is>
      </c>
      <c r="E107" s="9" t="inlineStr">
        <is>
          <t>Cây xăng</t>
        </is>
      </c>
      <c r="F107" s="9" t="inlineStr">
        <is>
          <t>OpenStreetMap</t>
        </is>
      </c>
      <c r="G107" s="10" t="inlineStr">
        <is>
          <t>Phường Quy Nhơn Bắc, Gia Lai</t>
        </is>
      </c>
      <c r="H107" s="9" t="inlineStr">
        <is>
          <t>Phường Quy Nhơn Bắc</t>
        </is>
      </c>
      <c r="I107" s="11" t="n">
        <v>13.795608</v>
      </c>
      <c r="J107" s="11" t="n">
        <v>109.147887</v>
      </c>
      <c r="K107" s="9" t="inlineStr">
        <is>
          <t>Đã đối chiếu</t>
        </is>
      </c>
      <c r="L107" s="10" t="n"/>
      <c r="M107" s="12" t="inlineStr">
        <is>
          <t>Bản đồ</t>
        </is>
      </c>
      <c r="N107" s="13" t="n"/>
      <c r="O107" s="14" t="n"/>
      <c r="P107" s="14" t="n"/>
      <c r="Q107" s="13" t="n"/>
      <c r="R107" s="15" t="n"/>
      <c r="S107" s="13" t="n"/>
      <c r="T107" s="13" t="n"/>
      <c r="U107" s="16">
        <f>IF(AND(ISNUMBER(O107),ISNUMBER(P107)),ROUND(SQRT(((P107-J107)*111320*COS(RADIANS(I107)))^2+((O107-I107)*110540)^2),0),"")</f>
        <v/>
      </c>
      <c r="V107" s="17">
        <f>IF(N107="","",IF(N107="Sửa vị trí",IF(OR(O107="",P107=""),"Thiếu vĩ độ / kinh độ mới",IF(OR(O107&lt;12.5,O107&gt;15,P107&lt;107,P107&gt;109.6),"Toạ độ ngoài Gia Lai (đảo vĩ/kinh độ?)",IF(Q107="","Chọn cách xác định",IF(U107&gt;20000,"Dời hơn 20 km – kiểm tra lại","OK")))),IF(AND(N107&lt;&gt;"Sửa vị trí",OR(O107&lt;&gt;"",P107&lt;&gt;"")),"Có toạ độ mới nhưng kết quả không phải Sửa vị trí","OK")))</f>
        <v/>
      </c>
    </row>
    <row r="108">
      <c r="A108" s="9" t="n">
        <v>104</v>
      </c>
      <c r="B108" s="9" t="inlineStr">
        <is>
          <t>afc67eae-1194-76fc-2743-dc3f91cf0aaa</t>
        </is>
      </c>
      <c r="C108" s="9" t="inlineStr">
        <is>
          <t>Trung bình</t>
        </is>
      </c>
      <c r="D108" s="10" t="inlineStr">
        <is>
          <t>Cây xăng (Phường Quy Nhơn Nam)</t>
        </is>
      </c>
      <c r="E108" s="9" t="inlineStr">
        <is>
          <t>Cây xăng</t>
        </is>
      </c>
      <c r="F108" s="9" t="inlineStr">
        <is>
          <t>OpenStreetMap</t>
        </is>
      </c>
      <c r="G108" s="10" t="inlineStr">
        <is>
          <t>Phường Quy Nhơn Nam, Gia Lai</t>
        </is>
      </c>
      <c r="H108" s="9" t="inlineStr">
        <is>
          <t>Phường Quy Nhơn Nam</t>
        </is>
      </c>
      <c r="I108" s="11" t="n">
        <v>13.76744</v>
      </c>
      <c r="J108" s="11" t="n">
        <v>109.197455</v>
      </c>
      <c r="K108" s="9" t="inlineStr">
        <is>
          <t>Đã đối chiếu</t>
        </is>
      </c>
      <c r="L108" s="10" t="n"/>
      <c r="M108" s="12" t="inlineStr">
        <is>
          <t>Bản đồ</t>
        </is>
      </c>
      <c r="N108" s="13" t="n"/>
      <c r="O108" s="14" t="n"/>
      <c r="P108" s="14" t="n"/>
      <c r="Q108" s="13" t="n"/>
      <c r="R108" s="15" t="n"/>
      <c r="S108" s="13" t="n"/>
      <c r="T108" s="13" t="n"/>
      <c r="U108" s="16">
        <f>IF(AND(ISNUMBER(O108),ISNUMBER(P108)),ROUND(SQRT(((P108-J108)*111320*COS(RADIANS(I108)))^2+((O108-I108)*110540)^2),0),"")</f>
        <v/>
      </c>
      <c r="V108" s="17">
        <f>IF(N108="","",IF(N108="Sửa vị trí",IF(OR(O108="",P108=""),"Thiếu vĩ độ / kinh độ mới",IF(OR(O108&lt;12.5,O108&gt;15,P108&lt;107,P108&gt;109.6),"Toạ độ ngoài Gia Lai (đảo vĩ/kinh độ?)",IF(Q108="","Chọn cách xác định",IF(U108&gt;20000,"Dời hơn 20 km – kiểm tra lại","OK")))),IF(AND(N108&lt;&gt;"Sửa vị trí",OR(O108&lt;&gt;"",P108&lt;&gt;"")),"Có toạ độ mới nhưng kết quả không phải Sửa vị trí","OK")))</f>
        <v/>
      </c>
    </row>
    <row r="109">
      <c r="A109" s="9" t="n">
        <v>105</v>
      </c>
      <c r="B109" s="9" t="inlineStr">
        <is>
          <t>e61c1017-29d2-32c1-3404-4052c30d9212</t>
        </is>
      </c>
      <c r="C109" s="9" t="inlineStr">
        <is>
          <t>Trung bình</t>
        </is>
      </c>
      <c r="D109" s="10" t="inlineStr">
        <is>
          <t>Cây xăng (Phường Quy Nhơn Nam)</t>
        </is>
      </c>
      <c r="E109" s="9" t="inlineStr">
        <is>
          <t>Cây xăng</t>
        </is>
      </c>
      <c r="F109" s="9" t="inlineStr">
        <is>
          <t>OpenStreetMap</t>
        </is>
      </c>
      <c r="G109" s="10" t="inlineStr">
        <is>
          <t>Phường Quy Nhơn Nam, Gia Lai</t>
        </is>
      </c>
      <c r="H109" s="9" t="inlineStr">
        <is>
          <t>Phường Quy Nhơn Nam</t>
        </is>
      </c>
      <c r="I109" s="11" t="n">
        <v>13.755269</v>
      </c>
      <c r="J109" s="11" t="n">
        <v>109.20899</v>
      </c>
      <c r="K109" s="9" t="inlineStr">
        <is>
          <t>Đã đối chiếu</t>
        </is>
      </c>
      <c r="L109" s="10" t="n"/>
      <c r="M109" s="12" t="inlineStr">
        <is>
          <t>Bản đồ</t>
        </is>
      </c>
      <c r="N109" s="13" t="n"/>
      <c r="O109" s="14" t="n"/>
      <c r="P109" s="14" t="n"/>
      <c r="Q109" s="13" t="n"/>
      <c r="R109" s="15" t="n"/>
      <c r="S109" s="13" t="n"/>
      <c r="T109" s="13" t="n"/>
      <c r="U109" s="16">
        <f>IF(AND(ISNUMBER(O109),ISNUMBER(P109)),ROUND(SQRT(((P109-J109)*111320*COS(RADIANS(I109)))^2+((O109-I109)*110540)^2),0),"")</f>
        <v/>
      </c>
      <c r="V109" s="17">
        <f>IF(N109="","",IF(N109="Sửa vị trí",IF(OR(O109="",P109=""),"Thiếu vĩ độ / kinh độ mới",IF(OR(O109&lt;12.5,O109&gt;15,P109&lt;107,P109&gt;109.6),"Toạ độ ngoài Gia Lai (đảo vĩ/kinh độ?)",IF(Q109="","Chọn cách xác định",IF(U109&gt;20000,"Dời hơn 20 km – kiểm tra lại","OK")))),IF(AND(N109&lt;&gt;"Sửa vị trí",OR(O109&lt;&gt;"",P109&lt;&gt;"")),"Có toạ độ mới nhưng kết quả không phải Sửa vị trí","OK")))</f>
        <v/>
      </c>
    </row>
    <row r="110">
      <c r="A110" s="9" t="n">
        <v>106</v>
      </c>
      <c r="B110" s="9" t="inlineStr">
        <is>
          <t>dbe65c08-e64e-c3e4-314d-59409a223be2</t>
        </is>
      </c>
      <c r="C110" s="9" t="inlineStr">
        <is>
          <t>Trung bình</t>
        </is>
      </c>
      <c r="D110" s="10" t="inlineStr">
        <is>
          <t>Cây xăng (Phường Quy Nhơn Nam)</t>
        </is>
      </c>
      <c r="E110" s="9" t="inlineStr">
        <is>
          <t>Cây xăng</t>
        </is>
      </c>
      <c r="F110" s="9" t="inlineStr">
        <is>
          <t>OpenStreetMap</t>
        </is>
      </c>
      <c r="G110" s="10" t="inlineStr">
        <is>
          <t>Phường Quy Nhơn Nam, Gia Lai</t>
        </is>
      </c>
      <c r="H110" s="9" t="inlineStr">
        <is>
          <t>Phường Quy Nhơn Nam</t>
        </is>
      </c>
      <c r="I110" s="11" t="n">
        <v>13.751449</v>
      </c>
      <c r="J110" s="11" t="n">
        <v>109.208334</v>
      </c>
      <c r="K110" s="9" t="inlineStr">
        <is>
          <t>Đã đối chiếu</t>
        </is>
      </c>
      <c r="L110" s="10" t="n"/>
      <c r="M110" s="12" t="inlineStr">
        <is>
          <t>Bản đồ</t>
        </is>
      </c>
      <c r="N110" s="13" t="n"/>
      <c r="O110" s="14" t="n"/>
      <c r="P110" s="14" t="n"/>
      <c r="Q110" s="13" t="n"/>
      <c r="R110" s="15" t="n"/>
      <c r="S110" s="13" t="n"/>
      <c r="T110" s="13" t="n"/>
      <c r="U110" s="16">
        <f>IF(AND(ISNUMBER(O110),ISNUMBER(P110)),ROUND(SQRT(((P110-J110)*111320*COS(RADIANS(I110)))^2+((O110-I110)*110540)^2),0),"")</f>
        <v/>
      </c>
      <c r="V110" s="17">
        <f>IF(N110="","",IF(N110="Sửa vị trí",IF(OR(O110="",P110=""),"Thiếu vĩ độ / kinh độ mới",IF(OR(O110&lt;12.5,O110&gt;15,P110&lt;107,P110&gt;109.6),"Toạ độ ngoài Gia Lai (đảo vĩ/kinh độ?)",IF(Q110="","Chọn cách xác định",IF(U110&gt;20000,"Dời hơn 20 km – kiểm tra lại","OK")))),IF(AND(N110&lt;&gt;"Sửa vị trí",OR(O110&lt;&gt;"",P110&lt;&gt;"")),"Có toạ độ mới nhưng kết quả không phải Sửa vị trí","OK")))</f>
        <v/>
      </c>
    </row>
    <row r="111">
      <c r="A111" s="9" t="n">
        <v>107</v>
      </c>
      <c r="B111" s="9" t="inlineStr">
        <is>
          <t>a8309159-b269-0afa-de2e-8dbc26c59927</t>
        </is>
      </c>
      <c r="C111" s="9" t="inlineStr">
        <is>
          <t>Trung bình</t>
        </is>
      </c>
      <c r="D111" s="10" t="inlineStr">
        <is>
          <t>Cây xăng (Phường Quy Nhơn Tây)</t>
        </is>
      </c>
      <c r="E111" s="9" t="inlineStr">
        <is>
          <t>Cây xăng</t>
        </is>
      </c>
      <c r="F111" s="9" t="inlineStr">
        <is>
          <t>OpenStreetMap</t>
        </is>
      </c>
      <c r="G111" s="10" t="inlineStr">
        <is>
          <t>Phường Quy Nhơn Tây, Gia Lai</t>
        </is>
      </c>
      <c r="H111" s="9" t="inlineStr">
        <is>
          <t>Phường Quy Nhơn Tây</t>
        </is>
      </c>
      <c r="I111" s="11" t="n">
        <v>13.723991</v>
      </c>
      <c r="J111" s="11" t="n">
        <v>109.16073</v>
      </c>
      <c r="K111" s="9" t="inlineStr">
        <is>
          <t>Đã đối chiếu</t>
        </is>
      </c>
      <c r="L111" s="10" t="n"/>
      <c r="M111" s="12" t="inlineStr">
        <is>
          <t>Bản đồ</t>
        </is>
      </c>
      <c r="N111" s="13" t="n"/>
      <c r="O111" s="14" t="n"/>
      <c r="P111" s="14" t="n"/>
      <c r="Q111" s="13" t="n"/>
      <c r="R111" s="15" t="n"/>
      <c r="S111" s="13" t="n"/>
      <c r="T111" s="13" t="n"/>
      <c r="U111" s="16">
        <f>IF(AND(ISNUMBER(O111),ISNUMBER(P111)),ROUND(SQRT(((P111-J111)*111320*COS(RADIANS(I111)))^2+((O111-I111)*110540)^2),0),"")</f>
        <v/>
      </c>
      <c r="V111" s="17">
        <f>IF(N111="","",IF(N111="Sửa vị trí",IF(OR(O111="",P111=""),"Thiếu vĩ độ / kinh độ mới",IF(OR(O111&lt;12.5,O111&gt;15,P111&lt;107,P111&gt;109.6),"Toạ độ ngoài Gia Lai (đảo vĩ/kinh độ?)",IF(Q111="","Chọn cách xác định",IF(U111&gt;20000,"Dời hơn 20 km – kiểm tra lại","OK")))),IF(AND(N111&lt;&gt;"Sửa vị trí",OR(O111&lt;&gt;"",P111&lt;&gt;"")),"Có toạ độ mới nhưng kết quả không phải Sửa vị trí","OK")))</f>
        <v/>
      </c>
    </row>
    <row r="112">
      <c r="A112" s="9" t="n">
        <v>108</v>
      </c>
      <c r="B112" s="9" t="inlineStr">
        <is>
          <t>b9af440a-6b56-b24e-5b13-eb0e30d46929</t>
        </is>
      </c>
      <c r="C112" s="9" t="inlineStr">
        <is>
          <t>Trung bình</t>
        </is>
      </c>
      <c r="D112" s="10" t="inlineStr">
        <is>
          <t>Cây xăng (Phường Quy Nhơn Đông)</t>
        </is>
      </c>
      <c r="E112" s="9" t="inlineStr">
        <is>
          <t>Cây xăng</t>
        </is>
      </c>
      <c r="F112" s="9" t="inlineStr">
        <is>
          <t>OpenStreetMap</t>
        </is>
      </c>
      <c r="G112" s="10" t="inlineStr">
        <is>
          <t>Phường Quy Nhơn Đông, Gia Lai</t>
        </is>
      </c>
      <c r="H112" s="9" t="inlineStr">
        <is>
          <t>Phường Quy Nhơn Đông</t>
        </is>
      </c>
      <c r="I112" s="11" t="n">
        <v>13.791481</v>
      </c>
      <c r="J112" s="11" t="n">
        <v>109.192372</v>
      </c>
      <c r="K112" s="9" t="inlineStr">
        <is>
          <t>Đã đối chiếu</t>
        </is>
      </c>
      <c r="L112" s="10" t="n"/>
      <c r="M112" s="12" t="inlineStr">
        <is>
          <t>Bản đồ</t>
        </is>
      </c>
      <c r="N112" s="13" t="n"/>
      <c r="O112" s="14" t="n"/>
      <c r="P112" s="14" t="n"/>
      <c r="Q112" s="13" t="n"/>
      <c r="R112" s="15" t="n"/>
      <c r="S112" s="13" t="n"/>
      <c r="T112" s="13" t="n"/>
      <c r="U112" s="16">
        <f>IF(AND(ISNUMBER(O112),ISNUMBER(P112)),ROUND(SQRT(((P112-J112)*111320*COS(RADIANS(I112)))^2+((O112-I112)*110540)^2),0),"")</f>
        <v/>
      </c>
      <c r="V112" s="17">
        <f>IF(N112="","",IF(N112="Sửa vị trí",IF(OR(O112="",P112=""),"Thiếu vĩ độ / kinh độ mới",IF(OR(O112&lt;12.5,O112&gt;15,P112&lt;107,P112&gt;109.6),"Toạ độ ngoài Gia Lai (đảo vĩ/kinh độ?)",IF(Q112="","Chọn cách xác định",IF(U112&gt;20000,"Dời hơn 20 km – kiểm tra lại","OK")))),IF(AND(N112&lt;&gt;"Sửa vị trí",OR(O112&lt;&gt;"",P112&lt;&gt;"")),"Có toạ độ mới nhưng kết quả không phải Sửa vị trí","OK")))</f>
        <v/>
      </c>
    </row>
    <row r="113">
      <c r="A113" s="9" t="n">
        <v>109</v>
      </c>
      <c r="B113" s="9" t="inlineStr">
        <is>
          <t>cb1526ae-505f-7a1c-bff1-0d62fc5e27f6</t>
        </is>
      </c>
      <c r="C113" s="9" t="inlineStr">
        <is>
          <t>Trung bình</t>
        </is>
      </c>
      <c r="D113" s="10" t="inlineStr">
        <is>
          <t>Cây xăng (Phường Quy Nhơn Đông)</t>
        </is>
      </c>
      <c r="E113" s="9" t="inlineStr">
        <is>
          <t>Cây xăng</t>
        </is>
      </c>
      <c r="F113" s="9" t="inlineStr">
        <is>
          <t>OpenStreetMap</t>
        </is>
      </c>
      <c r="G113" s="10" t="inlineStr">
        <is>
          <t>Phường Quy Nhơn Đông, Gia Lai</t>
        </is>
      </c>
      <c r="H113" s="9" t="inlineStr">
        <is>
          <t>Phường Quy Nhơn Đông</t>
        </is>
      </c>
      <c r="I113" s="11" t="n">
        <v>13.772334</v>
      </c>
      <c r="J113" s="11" t="n">
        <v>109.290517</v>
      </c>
      <c r="K113" s="9" t="inlineStr">
        <is>
          <t>Đã đối chiếu</t>
        </is>
      </c>
      <c r="L113" s="10" t="n"/>
      <c r="M113" s="12" t="inlineStr">
        <is>
          <t>Bản đồ</t>
        </is>
      </c>
      <c r="N113" s="13" t="n"/>
      <c r="O113" s="14" t="n"/>
      <c r="P113" s="14" t="n"/>
      <c r="Q113" s="13" t="n"/>
      <c r="R113" s="15" t="n"/>
      <c r="S113" s="13" t="n"/>
      <c r="T113" s="13" t="n"/>
      <c r="U113" s="16">
        <f>IF(AND(ISNUMBER(O113),ISNUMBER(P113)),ROUND(SQRT(((P113-J113)*111320*COS(RADIANS(I113)))^2+((O113-I113)*110540)^2),0),"")</f>
        <v/>
      </c>
      <c r="V113" s="17">
        <f>IF(N113="","",IF(N113="Sửa vị trí",IF(OR(O113="",P113=""),"Thiếu vĩ độ / kinh độ mới",IF(OR(O113&lt;12.5,O113&gt;15,P113&lt;107,P113&gt;109.6),"Toạ độ ngoài Gia Lai (đảo vĩ/kinh độ?)",IF(Q113="","Chọn cách xác định",IF(U113&gt;20000,"Dời hơn 20 km – kiểm tra lại","OK")))),IF(AND(N113&lt;&gt;"Sửa vị trí",OR(O113&lt;&gt;"",P113&lt;&gt;"")),"Có toạ độ mới nhưng kết quả không phải Sửa vị trí","OK")))</f>
        <v/>
      </c>
    </row>
    <row r="114">
      <c r="A114" s="9" t="n">
        <v>110</v>
      </c>
      <c r="B114" s="9" t="inlineStr">
        <is>
          <t>349696f3-b5d9-a041-34c6-b3b83e6cd022</t>
        </is>
      </c>
      <c r="C114" s="9" t="inlineStr">
        <is>
          <t>Trung bình</t>
        </is>
      </c>
      <c r="D114" s="10" t="inlineStr">
        <is>
          <t>Cây xăng (Phường Quy Nhơn Đông)</t>
        </is>
      </c>
      <c r="E114" s="9" t="inlineStr">
        <is>
          <t>Cây xăng</t>
        </is>
      </c>
      <c r="F114" s="9" t="inlineStr">
        <is>
          <t>OpenStreetMap</t>
        </is>
      </c>
      <c r="G114" s="10" t="inlineStr">
        <is>
          <t>Phường Quy Nhơn Đông, Gia Lai</t>
        </is>
      </c>
      <c r="H114" s="9" t="inlineStr">
        <is>
          <t>Phường Quy Nhơn Đông</t>
        </is>
      </c>
      <c r="I114" s="11" t="n">
        <v>13.885583</v>
      </c>
      <c r="J114" s="11" t="n">
        <v>109.258953</v>
      </c>
      <c r="K114" s="9" t="inlineStr">
        <is>
          <t>Đã đối chiếu</t>
        </is>
      </c>
      <c r="L114" s="10" t="n"/>
      <c r="M114" s="12" t="inlineStr">
        <is>
          <t>Bản đồ</t>
        </is>
      </c>
      <c r="N114" s="13" t="n"/>
      <c r="O114" s="14" t="n"/>
      <c r="P114" s="14" t="n"/>
      <c r="Q114" s="13" t="n"/>
      <c r="R114" s="15" t="n"/>
      <c r="S114" s="13" t="n"/>
      <c r="T114" s="13" t="n"/>
      <c r="U114" s="16">
        <f>IF(AND(ISNUMBER(O114),ISNUMBER(P114)),ROUND(SQRT(((P114-J114)*111320*COS(RADIANS(I114)))^2+((O114-I114)*110540)^2),0),"")</f>
        <v/>
      </c>
      <c r="V114" s="17">
        <f>IF(N114="","",IF(N114="Sửa vị trí",IF(OR(O114="",P114=""),"Thiếu vĩ độ / kinh độ mới",IF(OR(O114&lt;12.5,O114&gt;15,P114&lt;107,P114&gt;109.6),"Toạ độ ngoài Gia Lai (đảo vĩ/kinh độ?)",IF(Q114="","Chọn cách xác định",IF(U114&gt;20000,"Dời hơn 20 km – kiểm tra lại","OK")))),IF(AND(N114&lt;&gt;"Sửa vị trí",OR(O114&lt;&gt;"",P114&lt;&gt;"")),"Có toạ độ mới nhưng kết quả không phải Sửa vị trí","OK")))</f>
        <v/>
      </c>
    </row>
    <row r="115">
      <c r="A115" s="9" t="n">
        <v>111</v>
      </c>
      <c r="B115" s="9" t="inlineStr">
        <is>
          <t>691ffc1c-2d46-4c1a-a17a-c84d53c16820</t>
        </is>
      </c>
      <c r="C115" s="9" t="inlineStr">
        <is>
          <t>Trung bình</t>
        </is>
      </c>
      <c r="D115" s="10" t="inlineStr">
        <is>
          <t>Petrolimex</t>
        </is>
      </c>
      <c r="E115" s="9" t="inlineStr">
        <is>
          <t>Cây xăng</t>
        </is>
      </c>
      <c r="F115" s="9" t="inlineStr">
        <is>
          <t>OpenStreetMap</t>
        </is>
      </c>
      <c r="G115" s="10" t="inlineStr">
        <is>
          <t>Phường Quy Nhơn Đông, Gia Lai</t>
        </is>
      </c>
      <c r="H115" s="9" t="inlineStr">
        <is>
          <t>Phường Quy Nhơn Đông</t>
        </is>
      </c>
      <c r="I115" s="11" t="n">
        <v>13.816458</v>
      </c>
      <c r="J115" s="11" t="n">
        <v>109.256592</v>
      </c>
      <c r="K115" s="9" t="inlineStr">
        <is>
          <t>Đã đối chiếu</t>
        </is>
      </c>
      <c r="L115" s="10" t="n"/>
      <c r="M115" s="12" t="inlineStr">
        <is>
          <t>Bản đồ</t>
        </is>
      </c>
      <c r="N115" s="13" t="n"/>
      <c r="O115" s="14" t="n"/>
      <c r="P115" s="14" t="n"/>
      <c r="Q115" s="13" t="n"/>
      <c r="R115" s="15" t="n"/>
      <c r="S115" s="13" t="n"/>
      <c r="T115" s="13" t="n"/>
      <c r="U115" s="16">
        <f>IF(AND(ISNUMBER(O115),ISNUMBER(P115)),ROUND(SQRT(((P115-J115)*111320*COS(RADIANS(I115)))^2+((O115-I115)*110540)^2),0),"")</f>
        <v/>
      </c>
      <c r="V115" s="17">
        <f>IF(N115="","",IF(N115="Sửa vị trí",IF(OR(O115="",P115=""),"Thiếu vĩ độ / kinh độ mới",IF(OR(O115&lt;12.5,O115&gt;15,P115&lt;107,P115&gt;109.6),"Toạ độ ngoài Gia Lai (đảo vĩ/kinh độ?)",IF(Q115="","Chọn cách xác định",IF(U115&gt;20000,"Dời hơn 20 km – kiểm tra lại","OK")))),IF(AND(N115&lt;&gt;"Sửa vị trí",OR(O115&lt;&gt;"",P115&lt;&gt;"")),"Có toạ độ mới nhưng kết quả không phải Sửa vị trí","OK")))</f>
        <v/>
      </c>
    </row>
    <row r="116">
      <c r="A116" s="9" t="n">
        <v>112</v>
      </c>
      <c r="B116" s="9" t="inlineStr">
        <is>
          <t>4db858fa-8a83-5ba2-224a-289af5f8b37e</t>
        </is>
      </c>
      <c r="C116" s="9" t="inlineStr">
        <is>
          <t>Trung bình</t>
        </is>
      </c>
      <c r="D116" s="10" t="inlineStr">
        <is>
          <t>Cây xăng (Phường Tam Quan)</t>
        </is>
      </c>
      <c r="E116" s="9" t="inlineStr">
        <is>
          <t>Cây xăng</t>
        </is>
      </c>
      <c r="F116" s="9" t="inlineStr">
        <is>
          <t>OpenStreetMap</t>
        </is>
      </c>
      <c r="G116" s="10" t="inlineStr">
        <is>
          <t>Phường Tam Quan, Gia Lai</t>
        </is>
      </c>
      <c r="H116" s="9" t="inlineStr">
        <is>
          <t>Phường Tam Quan</t>
        </is>
      </c>
      <c r="I116" s="11" t="n">
        <v>14.561966</v>
      </c>
      <c r="J116" s="11" t="n">
        <v>109.045847</v>
      </c>
      <c r="K116" s="9" t="inlineStr">
        <is>
          <t>Đã đối chiếu</t>
        </is>
      </c>
      <c r="L116" s="10" t="n"/>
      <c r="M116" s="12" t="inlineStr">
        <is>
          <t>Bản đồ</t>
        </is>
      </c>
      <c r="N116" s="13" t="n"/>
      <c r="O116" s="14" t="n"/>
      <c r="P116" s="14" t="n"/>
      <c r="Q116" s="13" t="n"/>
      <c r="R116" s="15" t="n"/>
      <c r="S116" s="13" t="n"/>
      <c r="T116" s="13" t="n"/>
      <c r="U116" s="16">
        <f>IF(AND(ISNUMBER(O116),ISNUMBER(P116)),ROUND(SQRT(((P116-J116)*111320*COS(RADIANS(I116)))^2+((O116-I116)*110540)^2),0),"")</f>
        <v/>
      </c>
      <c r="V116" s="17">
        <f>IF(N116="","",IF(N116="Sửa vị trí",IF(OR(O116="",P116=""),"Thiếu vĩ độ / kinh độ mới",IF(OR(O116&lt;12.5,O116&gt;15,P116&lt;107,P116&gt;109.6),"Toạ độ ngoài Gia Lai (đảo vĩ/kinh độ?)",IF(Q116="","Chọn cách xác định",IF(U116&gt;20000,"Dời hơn 20 km – kiểm tra lại","OK")))),IF(AND(N116&lt;&gt;"Sửa vị trí",OR(O116&lt;&gt;"",P116&lt;&gt;"")),"Có toạ độ mới nhưng kết quả không phải Sửa vị trí","OK")))</f>
        <v/>
      </c>
    </row>
    <row r="117">
      <c r="A117" s="9" t="n">
        <v>113</v>
      </c>
      <c r="B117" s="9" t="inlineStr">
        <is>
          <t>f2105eef-6af0-1259-3623-da61b7f55ce9</t>
        </is>
      </c>
      <c r="C117" s="9" t="inlineStr">
        <is>
          <t>Trung bình</t>
        </is>
      </c>
      <c r="D117" s="10" t="inlineStr">
        <is>
          <t>Petrolimex</t>
        </is>
      </c>
      <c r="E117" s="9" t="inlineStr">
        <is>
          <t>Cây xăng</t>
        </is>
      </c>
      <c r="F117" s="9" t="inlineStr">
        <is>
          <t>OpenStreetMap</t>
        </is>
      </c>
      <c r="G117" s="10" t="inlineStr">
        <is>
          <t>Phường Tam Quan, Gia Lai</t>
        </is>
      </c>
      <c r="H117" s="9" t="inlineStr">
        <is>
          <t>Phường Tam Quan</t>
        </is>
      </c>
      <c r="I117" s="11" t="n">
        <v>14.553922</v>
      </c>
      <c r="J117" s="11" t="n">
        <v>109.042895</v>
      </c>
      <c r="K117" s="9" t="inlineStr">
        <is>
          <t>Đã đối chiếu</t>
        </is>
      </c>
      <c r="L117" s="10" t="n"/>
      <c r="M117" s="12" t="inlineStr">
        <is>
          <t>Bản đồ</t>
        </is>
      </c>
      <c r="N117" s="13" t="n"/>
      <c r="O117" s="14" t="n"/>
      <c r="P117" s="14" t="n"/>
      <c r="Q117" s="13" t="n"/>
      <c r="R117" s="15" t="n"/>
      <c r="S117" s="13" t="n"/>
      <c r="T117" s="13" t="n"/>
      <c r="U117" s="16">
        <f>IF(AND(ISNUMBER(O117),ISNUMBER(P117)),ROUND(SQRT(((P117-J117)*111320*COS(RADIANS(I117)))^2+((O117-I117)*110540)^2),0),"")</f>
        <v/>
      </c>
      <c r="V117" s="17">
        <f>IF(N117="","",IF(N117="Sửa vị trí",IF(OR(O117="",P117=""),"Thiếu vĩ độ / kinh độ mới",IF(OR(O117&lt;12.5,O117&gt;15,P117&lt;107,P117&gt;109.6),"Toạ độ ngoài Gia Lai (đảo vĩ/kinh độ?)",IF(Q117="","Chọn cách xác định",IF(U117&gt;20000,"Dời hơn 20 km – kiểm tra lại","OK")))),IF(AND(N117&lt;&gt;"Sửa vị trí",OR(O117&lt;&gt;"",P117&lt;&gt;"")),"Có toạ độ mới nhưng kết quả không phải Sửa vị trí","OK")))</f>
        <v/>
      </c>
    </row>
    <row r="118">
      <c r="A118" s="9" t="n">
        <v>114</v>
      </c>
      <c r="B118" s="9" t="inlineStr">
        <is>
          <t>5df18b73-99e9-b77f-ea21-3d637ae4493f</t>
        </is>
      </c>
      <c r="C118" s="9" t="inlineStr">
        <is>
          <t>Trung bình</t>
        </is>
      </c>
      <c r="D118" s="10" t="inlineStr">
        <is>
          <t>Cây xăng (Phường Thống Nhất)</t>
        </is>
      </c>
      <c r="E118" s="9" t="inlineStr">
        <is>
          <t>Cây xăng</t>
        </is>
      </c>
      <c r="F118" s="9" t="inlineStr">
        <is>
          <t>OpenStreetMap</t>
        </is>
      </c>
      <c r="G118" s="10" t="inlineStr">
        <is>
          <t>Phường Thống Nhất, Gia Lai</t>
        </is>
      </c>
      <c r="H118" s="9" t="inlineStr">
        <is>
          <t>Phường Thống Nhất</t>
        </is>
      </c>
      <c r="I118" s="11" t="n">
        <v>13.993392</v>
      </c>
      <c r="J118" s="11" t="n">
        <v>108.000955</v>
      </c>
      <c r="K118" s="9" t="inlineStr">
        <is>
          <t>Đã đối chiếu</t>
        </is>
      </c>
      <c r="L118" s="10" t="n"/>
      <c r="M118" s="12" t="inlineStr">
        <is>
          <t>Bản đồ</t>
        </is>
      </c>
      <c r="N118" s="13" t="n"/>
      <c r="O118" s="14" t="n"/>
      <c r="P118" s="14" t="n"/>
      <c r="Q118" s="13" t="n"/>
      <c r="R118" s="15" t="n"/>
      <c r="S118" s="13" t="n"/>
      <c r="T118" s="13" t="n"/>
      <c r="U118" s="16">
        <f>IF(AND(ISNUMBER(O118),ISNUMBER(P118)),ROUND(SQRT(((P118-J118)*111320*COS(RADIANS(I118)))^2+((O118-I118)*110540)^2),0),"")</f>
        <v/>
      </c>
      <c r="V118" s="17">
        <f>IF(N118="","",IF(N118="Sửa vị trí",IF(OR(O118="",P118=""),"Thiếu vĩ độ / kinh độ mới",IF(OR(O118&lt;12.5,O118&gt;15,P118&lt;107,P118&gt;109.6),"Toạ độ ngoài Gia Lai (đảo vĩ/kinh độ?)",IF(Q118="","Chọn cách xác định",IF(U118&gt;20000,"Dời hơn 20 km – kiểm tra lại","OK")))),IF(AND(N118&lt;&gt;"Sửa vị trí",OR(O118&lt;&gt;"",P118&lt;&gt;"")),"Có toạ độ mới nhưng kết quả không phải Sửa vị trí","OK")))</f>
        <v/>
      </c>
    </row>
    <row r="119">
      <c r="A119" s="9" t="n">
        <v>115</v>
      </c>
      <c r="B119" s="9" t="inlineStr">
        <is>
          <t>53ba0faf-dc5b-17df-75a3-337ac445b74c</t>
        </is>
      </c>
      <c r="C119" s="9" t="inlineStr">
        <is>
          <t>Trung bình</t>
        </is>
      </c>
      <c r="D119" s="10" t="inlineStr">
        <is>
          <t>Mipecorp</t>
        </is>
      </c>
      <c r="E119" s="9" t="inlineStr">
        <is>
          <t>Cây xăng</t>
        </is>
      </c>
      <c r="F119" s="9" t="inlineStr">
        <is>
          <t>OpenStreetMap</t>
        </is>
      </c>
      <c r="G119" s="10" t="inlineStr">
        <is>
          <t>Phường Thống Nhất, Gia Lai</t>
        </is>
      </c>
      <c r="H119" s="9" t="inlineStr">
        <is>
          <t>Phường Thống Nhất</t>
        </is>
      </c>
      <c r="I119" s="11" t="n">
        <v>14.015716</v>
      </c>
      <c r="J119" s="11" t="n">
        <v>107.991876</v>
      </c>
      <c r="K119" s="9" t="inlineStr">
        <is>
          <t>Đã đối chiếu</t>
        </is>
      </c>
      <c r="L119" s="10" t="n"/>
      <c r="M119" s="12" t="inlineStr">
        <is>
          <t>Bản đồ</t>
        </is>
      </c>
      <c r="N119" s="13" t="n"/>
      <c r="O119" s="14" t="n"/>
      <c r="P119" s="14" t="n"/>
      <c r="Q119" s="13" t="n"/>
      <c r="R119" s="15" t="n"/>
      <c r="S119" s="13" t="n"/>
      <c r="T119" s="13" t="n"/>
      <c r="U119" s="16">
        <f>IF(AND(ISNUMBER(O119),ISNUMBER(P119)),ROUND(SQRT(((P119-J119)*111320*COS(RADIANS(I119)))^2+((O119-I119)*110540)^2),0),"")</f>
        <v/>
      </c>
      <c r="V119" s="17">
        <f>IF(N119="","",IF(N119="Sửa vị trí",IF(OR(O119="",P119=""),"Thiếu vĩ độ / kinh độ mới",IF(OR(O119&lt;12.5,O119&gt;15,P119&lt;107,P119&gt;109.6),"Toạ độ ngoài Gia Lai (đảo vĩ/kinh độ?)",IF(Q119="","Chọn cách xác định",IF(U119&gt;20000,"Dời hơn 20 km – kiểm tra lại","OK")))),IF(AND(N119&lt;&gt;"Sửa vị trí",OR(O119&lt;&gt;"",P119&lt;&gt;"")),"Có toạ độ mới nhưng kết quả không phải Sửa vị trí","OK")))</f>
        <v/>
      </c>
    </row>
    <row r="120">
      <c r="A120" s="9" t="n">
        <v>116</v>
      </c>
      <c r="B120" s="9" t="inlineStr">
        <is>
          <t>f0bef03e-19d3-9525-78a1-ece75263ddda</t>
        </is>
      </c>
      <c r="C120" s="9" t="inlineStr">
        <is>
          <t>Trung bình</t>
        </is>
      </c>
      <c r="D120" s="10" t="inlineStr">
        <is>
          <t>PV Oil</t>
        </is>
      </c>
      <c r="E120" s="9" t="inlineStr">
        <is>
          <t>Cây xăng</t>
        </is>
      </c>
      <c r="F120" s="9" t="inlineStr">
        <is>
          <t>OpenStreetMap</t>
        </is>
      </c>
      <c r="G120" s="10" t="inlineStr">
        <is>
          <t>Phường Thống Nhất, Gia Lai</t>
        </is>
      </c>
      <c r="H120" s="9" t="inlineStr">
        <is>
          <t>Phường Thống Nhất</t>
        </is>
      </c>
      <c r="I120" s="11" t="n">
        <v>14.041971</v>
      </c>
      <c r="J120" s="11" t="n">
        <v>107.987605</v>
      </c>
      <c r="K120" s="9" t="inlineStr">
        <is>
          <t>Đã đối chiếu</t>
        </is>
      </c>
      <c r="L120" s="10" t="n"/>
      <c r="M120" s="12" t="inlineStr">
        <is>
          <t>Bản đồ</t>
        </is>
      </c>
      <c r="N120" s="13" t="n"/>
      <c r="O120" s="14" t="n"/>
      <c r="P120" s="14" t="n"/>
      <c r="Q120" s="13" t="n"/>
      <c r="R120" s="15" t="n"/>
      <c r="S120" s="13" t="n"/>
      <c r="T120" s="13" t="n"/>
      <c r="U120" s="16">
        <f>IF(AND(ISNUMBER(O120),ISNUMBER(P120)),ROUND(SQRT(((P120-J120)*111320*COS(RADIANS(I120)))^2+((O120-I120)*110540)^2),0),"")</f>
        <v/>
      </c>
      <c r="V120" s="17">
        <f>IF(N120="","",IF(N120="Sửa vị trí",IF(OR(O120="",P120=""),"Thiếu vĩ độ / kinh độ mới",IF(OR(O120&lt;12.5,O120&gt;15,P120&lt;107,P120&gt;109.6),"Toạ độ ngoài Gia Lai (đảo vĩ/kinh độ?)",IF(Q120="","Chọn cách xác định",IF(U120&gt;20000,"Dời hơn 20 km – kiểm tra lại","OK")))),IF(AND(N120&lt;&gt;"Sửa vị trí",OR(O120&lt;&gt;"",P120&lt;&gt;"")),"Có toạ độ mới nhưng kết quả không phải Sửa vị trí","OK")))</f>
        <v/>
      </c>
    </row>
    <row r="121">
      <c r="A121" s="9" t="n">
        <v>117</v>
      </c>
      <c r="B121" s="9" t="inlineStr">
        <is>
          <t>0988b35e-6344-8f23-83e3-6b28a88da322</t>
        </is>
      </c>
      <c r="C121" s="9" t="inlineStr">
        <is>
          <t>Trung bình</t>
        </is>
      </c>
      <c r="D121" s="10" t="inlineStr">
        <is>
          <t>PV Oil</t>
        </is>
      </c>
      <c r="E121" s="9" t="inlineStr">
        <is>
          <t>Cây xăng</t>
        </is>
      </c>
      <c r="F121" s="9" t="inlineStr">
        <is>
          <t>OpenStreetMap</t>
        </is>
      </c>
      <c r="G121" s="10" t="inlineStr">
        <is>
          <t>Phường Thống Nhất, Gia Lai</t>
        </is>
      </c>
      <c r="H121" s="9" t="inlineStr">
        <is>
          <t>Phường Thống Nhất</t>
        </is>
      </c>
      <c r="I121" s="11" t="n">
        <v>14.034438</v>
      </c>
      <c r="J121" s="11" t="n">
        <v>107.988002</v>
      </c>
      <c r="K121" s="9" t="inlineStr">
        <is>
          <t>Đã đối chiếu</t>
        </is>
      </c>
      <c r="L121" s="10" t="n"/>
      <c r="M121" s="12" t="inlineStr">
        <is>
          <t>Bản đồ</t>
        </is>
      </c>
      <c r="N121" s="13" t="n"/>
      <c r="O121" s="14" t="n"/>
      <c r="P121" s="14" t="n"/>
      <c r="Q121" s="13" t="n"/>
      <c r="R121" s="15" t="n"/>
      <c r="S121" s="13" t="n"/>
      <c r="T121" s="13" t="n"/>
      <c r="U121" s="16">
        <f>IF(AND(ISNUMBER(O121),ISNUMBER(P121)),ROUND(SQRT(((P121-J121)*111320*COS(RADIANS(I121)))^2+((O121-I121)*110540)^2),0),"")</f>
        <v/>
      </c>
      <c r="V121" s="17">
        <f>IF(N121="","",IF(N121="Sửa vị trí",IF(OR(O121="",P121=""),"Thiếu vĩ độ / kinh độ mới",IF(OR(O121&lt;12.5,O121&gt;15,P121&lt;107,P121&gt;109.6),"Toạ độ ngoài Gia Lai (đảo vĩ/kinh độ?)",IF(Q121="","Chọn cách xác định",IF(U121&gt;20000,"Dời hơn 20 km – kiểm tra lại","OK")))),IF(AND(N121&lt;&gt;"Sửa vị trí",OR(O121&lt;&gt;"",P121&lt;&gt;"")),"Có toạ độ mới nhưng kết quả không phải Sửa vị trí","OK")))</f>
        <v/>
      </c>
    </row>
    <row r="122">
      <c r="A122" s="9" t="n">
        <v>118</v>
      </c>
      <c r="B122" s="9" t="inlineStr">
        <is>
          <t>40d87443-3846-6ac8-3ac8-30675bc3e6de</t>
        </is>
      </c>
      <c r="C122" s="9" t="inlineStr">
        <is>
          <t>Trung bình</t>
        </is>
      </c>
      <c r="D122" s="10" t="inlineStr">
        <is>
          <t>Petrolimex</t>
        </is>
      </c>
      <c r="E122" s="9" t="inlineStr">
        <is>
          <t>Cây xăng</t>
        </is>
      </c>
      <c r="F122" s="9" t="inlineStr">
        <is>
          <t>OpenStreetMap</t>
        </is>
      </c>
      <c r="G122" s="10" t="inlineStr">
        <is>
          <t>Phường Thống Nhất, Gia Lai</t>
        </is>
      </c>
      <c r="H122" s="9" t="inlineStr">
        <is>
          <t>Phường Thống Nhất</t>
        </is>
      </c>
      <c r="I122" s="11" t="n">
        <v>14.02768</v>
      </c>
      <c r="J122" s="11" t="n">
        <v>107.989579</v>
      </c>
      <c r="K122" s="9" t="inlineStr">
        <is>
          <t>Đã đối chiếu</t>
        </is>
      </c>
      <c r="L122" s="10" t="n"/>
      <c r="M122" s="12" t="inlineStr">
        <is>
          <t>Bản đồ</t>
        </is>
      </c>
      <c r="N122" s="13" t="n"/>
      <c r="O122" s="14" t="n"/>
      <c r="P122" s="14" t="n"/>
      <c r="Q122" s="13" t="n"/>
      <c r="R122" s="15" t="n"/>
      <c r="S122" s="13" t="n"/>
      <c r="T122" s="13" t="n"/>
      <c r="U122" s="16">
        <f>IF(AND(ISNUMBER(O122),ISNUMBER(P122)),ROUND(SQRT(((P122-J122)*111320*COS(RADIANS(I122)))^2+((O122-I122)*110540)^2),0),"")</f>
        <v/>
      </c>
      <c r="V122" s="17">
        <f>IF(N122="","",IF(N122="Sửa vị trí",IF(OR(O122="",P122=""),"Thiếu vĩ độ / kinh độ mới",IF(OR(O122&lt;12.5,O122&gt;15,P122&lt;107,P122&gt;109.6),"Toạ độ ngoài Gia Lai (đảo vĩ/kinh độ?)",IF(Q122="","Chọn cách xác định",IF(U122&gt;20000,"Dời hơn 20 km – kiểm tra lại","OK")))),IF(AND(N122&lt;&gt;"Sửa vị trí",OR(O122&lt;&gt;"",P122&lt;&gt;"")),"Có toạ độ mới nhưng kết quả không phải Sửa vị trí","OK")))</f>
        <v/>
      </c>
    </row>
    <row r="123">
      <c r="A123" s="9" t="n">
        <v>119</v>
      </c>
      <c r="B123" s="9" t="inlineStr">
        <is>
          <t>cb1d61f4-58d6-2cb7-c636-26d51412ab33</t>
        </is>
      </c>
      <c r="C123" s="9" t="inlineStr">
        <is>
          <t>Trung bình</t>
        </is>
      </c>
      <c r="D123" s="10" t="inlineStr">
        <is>
          <t>Cửa Hàng Xăng Dầu Số 22</t>
        </is>
      </c>
      <c r="E123" s="9" t="inlineStr">
        <is>
          <t>Cây xăng</t>
        </is>
      </c>
      <c r="F123" s="9" t="inlineStr">
        <is>
          <t>OpenStreetMap</t>
        </is>
      </c>
      <c r="G123" s="10" t="inlineStr">
        <is>
          <t>Xã An Lão, Gia Lai</t>
        </is>
      </c>
      <c r="H123" s="9" t="inlineStr">
        <is>
          <t>Xã An Lão</t>
        </is>
      </c>
      <c r="I123" s="11" t="n">
        <v>14.607595</v>
      </c>
      <c r="J123" s="11" t="n">
        <v>108.893125</v>
      </c>
      <c r="K123" s="9" t="inlineStr">
        <is>
          <t>Đã đối chiếu</t>
        </is>
      </c>
      <c r="L123" s="10" t="n"/>
      <c r="M123" s="12" t="inlineStr">
        <is>
          <t>Bản đồ</t>
        </is>
      </c>
      <c r="N123" s="13" t="n"/>
      <c r="O123" s="14" t="n"/>
      <c r="P123" s="14" t="n"/>
      <c r="Q123" s="13" t="n"/>
      <c r="R123" s="15" t="n"/>
      <c r="S123" s="13" t="n"/>
      <c r="T123" s="13" t="n"/>
      <c r="U123" s="16">
        <f>IF(AND(ISNUMBER(O123),ISNUMBER(P123)),ROUND(SQRT(((P123-J123)*111320*COS(RADIANS(I123)))^2+((O123-I123)*110540)^2),0),"")</f>
        <v/>
      </c>
      <c r="V123" s="17">
        <f>IF(N123="","",IF(N123="Sửa vị trí",IF(OR(O123="",P123=""),"Thiếu vĩ độ / kinh độ mới",IF(OR(O123&lt;12.5,O123&gt;15,P123&lt;107,P123&gt;109.6),"Toạ độ ngoài Gia Lai (đảo vĩ/kinh độ?)",IF(Q123="","Chọn cách xác định",IF(U123&gt;20000,"Dời hơn 20 km – kiểm tra lại","OK")))),IF(AND(N123&lt;&gt;"Sửa vị trí",OR(O123&lt;&gt;"",P123&lt;&gt;"")),"Có toạ độ mới nhưng kết quả không phải Sửa vị trí","OK")))</f>
        <v/>
      </c>
    </row>
    <row r="124">
      <c r="A124" s="9" t="n">
        <v>120</v>
      </c>
      <c r="B124" s="9" t="inlineStr">
        <is>
          <t>2994fdea-9348-2934-d766-c212f439b0ae</t>
        </is>
      </c>
      <c r="C124" s="9" t="inlineStr">
        <is>
          <t>Trung bình</t>
        </is>
      </c>
      <c r="D124" s="10" t="inlineStr">
        <is>
          <t>Cây xăng (Xã An Lương)</t>
        </is>
      </c>
      <c r="E124" s="9" t="inlineStr">
        <is>
          <t>Cây xăng</t>
        </is>
      </c>
      <c r="F124" s="9" t="inlineStr">
        <is>
          <t>OpenStreetMap</t>
        </is>
      </c>
      <c r="G124" s="10" t="inlineStr">
        <is>
          <t>Xã An Lương, Gia Lai</t>
        </is>
      </c>
      <c r="H124" s="9" t="inlineStr">
        <is>
          <t>Xã An Lương</t>
        </is>
      </c>
      <c r="I124" s="11" t="n">
        <v>14.152006</v>
      </c>
      <c r="J124" s="11" t="n">
        <v>109.153568</v>
      </c>
      <c r="K124" s="9" t="inlineStr">
        <is>
          <t>Đã đối chiếu</t>
        </is>
      </c>
      <c r="L124" s="10" t="n"/>
      <c r="M124" s="12" t="inlineStr">
        <is>
          <t>Bản đồ</t>
        </is>
      </c>
      <c r="N124" s="13" t="n"/>
      <c r="O124" s="14" t="n"/>
      <c r="P124" s="14" t="n"/>
      <c r="Q124" s="13" t="n"/>
      <c r="R124" s="15" t="n"/>
      <c r="S124" s="13" t="n"/>
      <c r="T124" s="13" t="n"/>
      <c r="U124" s="16">
        <f>IF(AND(ISNUMBER(O124),ISNUMBER(P124)),ROUND(SQRT(((P124-J124)*111320*COS(RADIANS(I124)))^2+((O124-I124)*110540)^2),0),"")</f>
        <v/>
      </c>
      <c r="V124" s="17">
        <f>IF(N124="","",IF(N124="Sửa vị trí",IF(OR(O124="",P124=""),"Thiếu vĩ độ / kinh độ mới",IF(OR(O124&lt;12.5,O124&gt;15,P124&lt;107,P124&gt;109.6),"Toạ độ ngoài Gia Lai (đảo vĩ/kinh độ?)",IF(Q124="","Chọn cách xác định",IF(U124&gt;20000,"Dời hơn 20 km – kiểm tra lại","OK")))),IF(AND(N124&lt;&gt;"Sửa vị trí",OR(O124&lt;&gt;"",P124&lt;&gt;"")),"Có toạ độ mới nhưng kết quả không phải Sửa vị trí","OK")))</f>
        <v/>
      </c>
    </row>
    <row r="125">
      <c r="A125" s="9" t="n">
        <v>121</v>
      </c>
      <c r="B125" s="9" t="inlineStr">
        <is>
          <t>f602e1af-5f95-379b-779c-2eaa22afb163</t>
        </is>
      </c>
      <c r="C125" s="9" t="inlineStr">
        <is>
          <t>Trung bình</t>
        </is>
      </c>
      <c r="D125" s="10" t="inlineStr">
        <is>
          <t>Petrolimex</t>
        </is>
      </c>
      <c r="E125" s="9" t="inlineStr">
        <is>
          <t>Cây xăng</t>
        </is>
      </c>
      <c r="F125" s="9" t="inlineStr">
        <is>
          <t>OpenStreetMap</t>
        </is>
      </c>
      <c r="G125" s="10" t="inlineStr">
        <is>
          <t>Xã An Lương, Gia Lai</t>
        </is>
      </c>
      <c r="H125" s="9" t="inlineStr">
        <is>
          <t>Xã An Lương</t>
        </is>
      </c>
      <c r="I125" s="11" t="n">
        <v>14.174694</v>
      </c>
      <c r="J125" s="11" t="n">
        <v>109.147507</v>
      </c>
      <c r="K125" s="9" t="inlineStr">
        <is>
          <t>Đã đối chiếu</t>
        </is>
      </c>
      <c r="L125" s="10" t="n"/>
      <c r="M125" s="12" t="inlineStr">
        <is>
          <t>Bản đồ</t>
        </is>
      </c>
      <c r="N125" s="13" t="n"/>
      <c r="O125" s="14" t="n"/>
      <c r="P125" s="14" t="n"/>
      <c r="Q125" s="13" t="n"/>
      <c r="R125" s="15" t="n"/>
      <c r="S125" s="13" t="n"/>
      <c r="T125" s="13" t="n"/>
      <c r="U125" s="16">
        <f>IF(AND(ISNUMBER(O125),ISNUMBER(P125)),ROUND(SQRT(((P125-J125)*111320*COS(RADIANS(I125)))^2+((O125-I125)*110540)^2),0),"")</f>
        <v/>
      </c>
      <c r="V125" s="17">
        <f>IF(N125="","",IF(N125="Sửa vị trí",IF(OR(O125="",P125=""),"Thiếu vĩ độ / kinh độ mới",IF(OR(O125&lt;12.5,O125&gt;15,P125&lt;107,P125&gt;109.6),"Toạ độ ngoài Gia Lai (đảo vĩ/kinh độ?)",IF(Q125="","Chọn cách xác định",IF(U125&gt;20000,"Dời hơn 20 km – kiểm tra lại","OK")))),IF(AND(N125&lt;&gt;"Sửa vị trí",OR(O125&lt;&gt;"",P125&lt;&gt;"")),"Có toạ độ mới nhưng kết quả không phải Sửa vị trí","OK")))</f>
        <v/>
      </c>
    </row>
    <row r="126">
      <c r="A126" s="9" t="n">
        <v>122</v>
      </c>
      <c r="B126" s="9" t="inlineStr">
        <is>
          <t>6fa06c8d-bac5-1908-64c0-950a0485d9b5</t>
        </is>
      </c>
      <c r="C126" s="9" t="inlineStr">
        <is>
          <t>Trung bình</t>
        </is>
      </c>
      <c r="D126" s="10" t="inlineStr">
        <is>
          <t>Petrolimex</t>
        </is>
      </c>
      <c r="E126" s="9" t="inlineStr">
        <is>
          <t>Cây xăng</t>
        </is>
      </c>
      <c r="F126" s="9" t="inlineStr">
        <is>
          <t>OpenStreetMap</t>
        </is>
      </c>
      <c r="G126" s="10" t="inlineStr">
        <is>
          <t>Xã An Lương, Gia Lai</t>
        </is>
      </c>
      <c r="H126" s="9" t="inlineStr">
        <is>
          <t>Xã An Lương</t>
        </is>
      </c>
      <c r="I126" s="11" t="n">
        <v>14.170282</v>
      </c>
      <c r="J126" s="11" t="n">
        <v>109.138158</v>
      </c>
      <c r="K126" s="9" t="inlineStr">
        <is>
          <t>Đã đối chiếu</t>
        </is>
      </c>
      <c r="L126" s="10" t="n"/>
      <c r="M126" s="12" t="inlineStr">
        <is>
          <t>Bản đồ</t>
        </is>
      </c>
      <c r="N126" s="13" t="n"/>
      <c r="O126" s="14" t="n"/>
      <c r="P126" s="14" t="n"/>
      <c r="Q126" s="13" t="n"/>
      <c r="R126" s="15" t="n"/>
      <c r="S126" s="13" t="n"/>
      <c r="T126" s="13" t="n"/>
      <c r="U126" s="16">
        <f>IF(AND(ISNUMBER(O126),ISNUMBER(P126)),ROUND(SQRT(((P126-J126)*111320*COS(RADIANS(I126)))^2+((O126-I126)*110540)^2),0),"")</f>
        <v/>
      </c>
      <c r="V126" s="17">
        <f>IF(N126="","",IF(N126="Sửa vị trí",IF(OR(O126="",P126=""),"Thiếu vĩ độ / kinh độ mới",IF(OR(O126&lt;12.5,O126&gt;15,P126&lt;107,P126&gt;109.6),"Toạ độ ngoài Gia Lai (đảo vĩ/kinh độ?)",IF(Q126="","Chọn cách xác định",IF(U126&gt;20000,"Dời hơn 20 km – kiểm tra lại","OK")))),IF(AND(N126&lt;&gt;"Sửa vị trí",OR(O126&lt;&gt;"",P126&lt;&gt;"")),"Có toạ độ mới nhưng kết quả không phải Sửa vị trí","OK")))</f>
        <v/>
      </c>
    </row>
    <row r="127">
      <c r="A127" s="9" t="n">
        <v>123</v>
      </c>
      <c r="B127" s="9" t="inlineStr">
        <is>
          <t>031b7944-2702-ec47-dc0d-3d035f74d2c4</t>
        </is>
      </c>
      <c r="C127" s="9" t="inlineStr">
        <is>
          <t>Trung bình</t>
        </is>
      </c>
      <c r="D127" s="10" t="inlineStr">
        <is>
          <t>Quốc Bảo</t>
        </is>
      </c>
      <c r="E127" s="9" t="inlineStr">
        <is>
          <t>Cây xăng</t>
        </is>
      </c>
      <c r="F127" s="9" t="inlineStr">
        <is>
          <t>OpenStreetMap</t>
        </is>
      </c>
      <c r="G127" s="10" t="inlineStr">
        <is>
          <t>Xã An Nhơn Tây, Gia Lai</t>
        </is>
      </c>
      <c r="H127" s="9" t="inlineStr">
        <is>
          <t>Xã An Nhơn Tây</t>
        </is>
      </c>
      <c r="I127" s="11" t="n">
        <v>13.86531</v>
      </c>
      <c r="J127" s="11" t="n">
        <v>109.012026</v>
      </c>
      <c r="K127" s="9" t="inlineStr">
        <is>
          <t>Đã đối chiếu</t>
        </is>
      </c>
      <c r="L127" s="10" t="n"/>
      <c r="M127" s="12" t="inlineStr">
        <is>
          <t>Bản đồ</t>
        </is>
      </c>
      <c r="N127" s="13" t="n"/>
      <c r="O127" s="14" t="n"/>
      <c r="P127" s="14" t="n"/>
      <c r="Q127" s="13" t="n"/>
      <c r="R127" s="15" t="n"/>
      <c r="S127" s="13" t="n"/>
      <c r="T127" s="13" t="n"/>
      <c r="U127" s="16">
        <f>IF(AND(ISNUMBER(O127),ISNUMBER(P127)),ROUND(SQRT(((P127-J127)*111320*COS(RADIANS(I127)))^2+((O127-I127)*110540)^2),0),"")</f>
        <v/>
      </c>
      <c r="V127" s="17">
        <f>IF(N127="","",IF(N127="Sửa vị trí",IF(OR(O127="",P127=""),"Thiếu vĩ độ / kinh độ mới",IF(OR(O127&lt;12.5,O127&gt;15,P127&lt;107,P127&gt;109.6),"Toạ độ ngoài Gia Lai (đảo vĩ/kinh độ?)",IF(Q127="","Chọn cách xác định",IF(U127&gt;20000,"Dời hơn 20 km – kiểm tra lại","OK")))),IF(AND(N127&lt;&gt;"Sửa vị trí",OR(O127&lt;&gt;"",P127&lt;&gt;"")),"Có toạ độ mới nhưng kết quả không phải Sửa vị trí","OK")))</f>
        <v/>
      </c>
    </row>
    <row r="128">
      <c r="A128" s="9" t="n">
        <v>124</v>
      </c>
      <c r="B128" s="9" t="inlineStr">
        <is>
          <t>e9d20e49-4671-a785-b5aa-610caa8bfde9</t>
        </is>
      </c>
      <c r="C128" s="9" t="inlineStr">
        <is>
          <t>Trung bình</t>
        </is>
      </c>
      <c r="D128" s="10" t="inlineStr">
        <is>
          <t>Cửa hàng Xăng dầu</t>
        </is>
      </c>
      <c r="E128" s="9" t="inlineStr">
        <is>
          <t>Cây xăng</t>
        </is>
      </c>
      <c r="F128" s="9" t="inlineStr">
        <is>
          <t>OpenStreetMap</t>
        </is>
      </c>
      <c r="G128" s="10" t="inlineStr">
        <is>
          <t>Xã Biển Hồ, Gia Lai</t>
        </is>
      </c>
      <c r="H128" s="9" t="inlineStr">
        <is>
          <t>Xã Biển Hồ</t>
        </is>
      </c>
      <c r="I128" s="11" t="n">
        <v>14.089625</v>
      </c>
      <c r="J128" s="11" t="n">
        <v>107.981072</v>
      </c>
      <c r="K128" s="9" t="inlineStr">
        <is>
          <t>Đã đối chiếu</t>
        </is>
      </c>
      <c r="L128" s="10" t="n"/>
      <c r="M128" s="12" t="inlineStr">
        <is>
          <t>Bản đồ</t>
        </is>
      </c>
      <c r="N128" s="13" t="n"/>
      <c r="O128" s="14" t="n"/>
      <c r="P128" s="14" t="n"/>
      <c r="Q128" s="13" t="n"/>
      <c r="R128" s="15" t="n"/>
      <c r="S128" s="13" t="n"/>
      <c r="T128" s="13" t="n"/>
      <c r="U128" s="16">
        <f>IF(AND(ISNUMBER(O128),ISNUMBER(P128)),ROUND(SQRT(((P128-J128)*111320*COS(RADIANS(I128)))^2+((O128-I128)*110540)^2),0),"")</f>
        <v/>
      </c>
      <c r="V128" s="17">
        <f>IF(N128="","",IF(N128="Sửa vị trí",IF(OR(O128="",P128=""),"Thiếu vĩ độ / kinh độ mới",IF(OR(O128&lt;12.5,O128&gt;15,P128&lt;107,P128&gt;109.6),"Toạ độ ngoài Gia Lai (đảo vĩ/kinh độ?)",IF(Q128="","Chọn cách xác định",IF(U128&gt;20000,"Dời hơn 20 km – kiểm tra lại","OK")))),IF(AND(N128&lt;&gt;"Sửa vị trí",OR(O128&lt;&gt;"",P128&lt;&gt;"")),"Có toạ độ mới nhưng kết quả không phải Sửa vị trí","OK")))</f>
        <v/>
      </c>
    </row>
    <row r="129">
      <c r="A129" s="9" t="n">
        <v>125</v>
      </c>
      <c r="B129" s="9" t="inlineStr">
        <is>
          <t>6834535f-0133-8223-daea-55508b31417b</t>
        </is>
      </c>
      <c r="C129" s="9" t="inlineStr">
        <is>
          <t>Trung bình</t>
        </is>
      </c>
      <c r="D129" s="10" t="inlineStr">
        <is>
          <t>PV Oil</t>
        </is>
      </c>
      <c r="E129" s="9" t="inlineStr">
        <is>
          <t>Cây xăng</t>
        </is>
      </c>
      <c r="F129" s="9" t="inlineStr">
        <is>
          <t>OpenStreetMap</t>
        </is>
      </c>
      <c r="G129" s="10" t="inlineStr">
        <is>
          <t>Xã Biển Hồ, Gia Lai</t>
        </is>
      </c>
      <c r="H129" s="9" t="inlineStr">
        <is>
          <t>Xã Biển Hồ</t>
        </is>
      </c>
      <c r="I129" s="11" t="n">
        <v>14.046784</v>
      </c>
      <c r="J129" s="11" t="n">
        <v>108.02573</v>
      </c>
      <c r="K129" s="9" t="inlineStr">
        <is>
          <t>Đã đối chiếu</t>
        </is>
      </c>
      <c r="L129" s="10" t="n"/>
      <c r="M129" s="12" t="inlineStr">
        <is>
          <t>Bản đồ</t>
        </is>
      </c>
      <c r="N129" s="13" t="n"/>
      <c r="O129" s="14" t="n"/>
      <c r="P129" s="14" t="n"/>
      <c r="Q129" s="13" t="n"/>
      <c r="R129" s="15" t="n"/>
      <c r="S129" s="13" t="n"/>
      <c r="T129" s="13" t="n"/>
      <c r="U129" s="16">
        <f>IF(AND(ISNUMBER(O129),ISNUMBER(P129)),ROUND(SQRT(((P129-J129)*111320*COS(RADIANS(I129)))^2+((O129-I129)*110540)^2),0),"")</f>
        <v/>
      </c>
      <c r="V129" s="17">
        <f>IF(N129="","",IF(N129="Sửa vị trí",IF(OR(O129="",P129=""),"Thiếu vĩ độ / kinh độ mới",IF(OR(O129&lt;12.5,O129&gt;15,P129&lt;107,P129&gt;109.6),"Toạ độ ngoài Gia Lai (đảo vĩ/kinh độ?)",IF(Q129="","Chọn cách xác định",IF(U129&gt;20000,"Dời hơn 20 km – kiểm tra lại","OK")))),IF(AND(N129&lt;&gt;"Sửa vị trí",OR(O129&lt;&gt;"",P129&lt;&gt;"")),"Có toạ độ mới nhưng kết quả không phải Sửa vị trí","OK")))</f>
        <v/>
      </c>
    </row>
    <row r="130">
      <c r="A130" s="9" t="n">
        <v>126</v>
      </c>
      <c r="B130" s="9" t="inlineStr">
        <is>
          <t>cadc4528-fa0c-d9d0-38c6-0b2237a3dfc4</t>
        </is>
      </c>
      <c r="C130" s="9" t="inlineStr">
        <is>
          <t>Trung bình</t>
        </is>
      </c>
      <c r="D130" s="10" t="inlineStr">
        <is>
          <t>Petrolimex</t>
        </is>
      </c>
      <c r="E130" s="9" t="inlineStr">
        <is>
          <t>Cây xăng</t>
        </is>
      </c>
      <c r="F130" s="9" t="inlineStr">
        <is>
          <t>OpenStreetMap</t>
        </is>
      </c>
      <c r="G130" s="10" t="inlineStr">
        <is>
          <t>Xã Biển Hồ, Gia Lai</t>
        </is>
      </c>
      <c r="H130" s="9" t="inlineStr">
        <is>
          <t>Xã Biển Hồ</t>
        </is>
      </c>
      <c r="I130" s="11" t="n">
        <v>14.09275</v>
      </c>
      <c r="J130" s="11" t="n">
        <v>107.978184</v>
      </c>
      <c r="K130" s="9" t="inlineStr">
        <is>
          <t>Đã đối chiếu</t>
        </is>
      </c>
      <c r="L130" s="10" t="n"/>
      <c r="M130" s="12" t="inlineStr">
        <is>
          <t>Bản đồ</t>
        </is>
      </c>
      <c r="N130" s="13" t="n"/>
      <c r="O130" s="14" t="n"/>
      <c r="P130" s="14" t="n"/>
      <c r="Q130" s="13" t="n"/>
      <c r="R130" s="15" t="n"/>
      <c r="S130" s="13" t="n"/>
      <c r="T130" s="13" t="n"/>
      <c r="U130" s="16">
        <f>IF(AND(ISNUMBER(O130),ISNUMBER(P130)),ROUND(SQRT(((P130-J130)*111320*COS(RADIANS(I130)))^2+((O130-I130)*110540)^2),0),"")</f>
        <v/>
      </c>
      <c r="V130" s="17">
        <f>IF(N130="","",IF(N130="Sửa vị trí",IF(OR(O130="",P130=""),"Thiếu vĩ độ / kinh độ mới",IF(OR(O130&lt;12.5,O130&gt;15,P130&lt;107,P130&gt;109.6),"Toạ độ ngoài Gia Lai (đảo vĩ/kinh độ?)",IF(Q130="","Chọn cách xác định",IF(U130&gt;20000,"Dời hơn 20 km – kiểm tra lại","OK")))),IF(AND(N130&lt;&gt;"Sửa vị trí",OR(O130&lt;&gt;"",P130&lt;&gt;"")),"Có toạ độ mới nhưng kết quả không phải Sửa vị trí","OK")))</f>
        <v/>
      </c>
    </row>
    <row r="131">
      <c r="A131" s="9" t="n">
        <v>127</v>
      </c>
      <c r="B131" s="9" t="inlineStr">
        <is>
          <t>58f5cd6f-92a4-8bd4-1c87-06f4ca1c14e8</t>
        </is>
      </c>
      <c r="C131" s="9" t="inlineStr">
        <is>
          <t>Trung bình</t>
        </is>
      </c>
      <c r="D131" s="10" t="inlineStr">
        <is>
          <t>Petrolimex</t>
        </is>
      </c>
      <c r="E131" s="9" t="inlineStr">
        <is>
          <t>Cây xăng</t>
        </is>
      </c>
      <c r="F131" s="9" t="inlineStr">
        <is>
          <t>OpenStreetMap</t>
        </is>
      </c>
      <c r="G131" s="10" t="inlineStr">
        <is>
          <t>Xã Biển Hồ, Gia Lai</t>
        </is>
      </c>
      <c r="H131" s="9" t="inlineStr">
        <is>
          <t>Xã Biển Hồ</t>
        </is>
      </c>
      <c r="I131" s="11" t="n">
        <v>14.080199</v>
      </c>
      <c r="J131" s="11" t="n">
        <v>107.988099</v>
      </c>
      <c r="K131" s="9" t="inlineStr">
        <is>
          <t>Đã đối chiếu</t>
        </is>
      </c>
      <c r="L131" s="10" t="n"/>
      <c r="M131" s="12" t="inlineStr">
        <is>
          <t>Bản đồ</t>
        </is>
      </c>
      <c r="N131" s="13" t="n"/>
      <c r="O131" s="14" t="n"/>
      <c r="P131" s="14" t="n"/>
      <c r="Q131" s="13" t="n"/>
      <c r="R131" s="15" t="n"/>
      <c r="S131" s="13" t="n"/>
      <c r="T131" s="13" t="n"/>
      <c r="U131" s="16">
        <f>IF(AND(ISNUMBER(O131),ISNUMBER(P131)),ROUND(SQRT(((P131-J131)*111320*COS(RADIANS(I131)))^2+((O131-I131)*110540)^2),0),"")</f>
        <v/>
      </c>
      <c r="V131" s="17">
        <f>IF(N131="","",IF(N131="Sửa vị trí",IF(OR(O131="",P131=""),"Thiếu vĩ độ / kinh độ mới",IF(OR(O131&lt;12.5,O131&gt;15,P131&lt;107,P131&gt;109.6),"Toạ độ ngoài Gia Lai (đảo vĩ/kinh độ?)",IF(Q131="","Chọn cách xác định",IF(U131&gt;20000,"Dời hơn 20 km – kiểm tra lại","OK")))),IF(AND(N131&lt;&gt;"Sửa vị trí",OR(O131&lt;&gt;"",P131&lt;&gt;"")),"Có toạ độ mới nhưng kết quả không phải Sửa vị trí","OK")))</f>
        <v/>
      </c>
    </row>
    <row r="132">
      <c r="A132" s="9" t="n">
        <v>128</v>
      </c>
      <c r="B132" s="9" t="inlineStr">
        <is>
          <t>d3413135-dc89-8c66-9153-f4c7a3eb45c5</t>
        </is>
      </c>
      <c r="C132" s="9" t="inlineStr">
        <is>
          <t>Trung bình</t>
        </is>
      </c>
      <c r="D132" s="10" t="inlineStr">
        <is>
          <t>Bắc Nam</t>
        </is>
      </c>
      <c r="E132" s="9" t="inlineStr">
        <is>
          <t>Cây xăng</t>
        </is>
      </c>
      <c r="F132" s="9" t="inlineStr">
        <is>
          <t>OpenStreetMap</t>
        </is>
      </c>
      <c r="G132" s="10" t="inlineStr">
        <is>
          <t>Xã Bàu Cạn, Gia Lai</t>
        </is>
      </c>
      <c r="H132" s="9" t="inlineStr">
        <is>
          <t>Xã Bàu Cạn</t>
        </is>
      </c>
      <c r="I132" s="11" t="n">
        <v>13.864453</v>
      </c>
      <c r="J132" s="11" t="n">
        <v>107.966449</v>
      </c>
      <c r="K132" s="9" t="inlineStr">
        <is>
          <t>Đã đối chiếu</t>
        </is>
      </c>
      <c r="L132" s="10" t="n"/>
      <c r="M132" s="12" t="inlineStr">
        <is>
          <t>Bản đồ</t>
        </is>
      </c>
      <c r="N132" s="13" t="n"/>
      <c r="O132" s="14" t="n"/>
      <c r="P132" s="14" t="n"/>
      <c r="Q132" s="13" t="n"/>
      <c r="R132" s="15" t="n"/>
      <c r="S132" s="13" t="n"/>
      <c r="T132" s="13" t="n"/>
      <c r="U132" s="16">
        <f>IF(AND(ISNUMBER(O132),ISNUMBER(P132)),ROUND(SQRT(((P132-J132)*111320*COS(RADIANS(I132)))^2+((O132-I132)*110540)^2),0),"")</f>
        <v/>
      </c>
      <c r="V132" s="17">
        <f>IF(N132="","",IF(N132="Sửa vị trí",IF(OR(O132="",P132=""),"Thiếu vĩ độ / kinh độ mới",IF(OR(O132&lt;12.5,O132&gt;15,P132&lt;107,P132&gt;109.6),"Toạ độ ngoài Gia Lai (đảo vĩ/kinh độ?)",IF(Q132="","Chọn cách xác định",IF(U132&gt;20000,"Dời hơn 20 km – kiểm tra lại","OK")))),IF(AND(N132&lt;&gt;"Sửa vị trí",OR(O132&lt;&gt;"",P132&lt;&gt;"")),"Có toạ độ mới nhưng kết quả không phải Sửa vị trí","OK")))</f>
        <v/>
      </c>
    </row>
    <row r="133">
      <c r="A133" s="9" t="n">
        <v>129</v>
      </c>
      <c r="B133" s="9" t="inlineStr">
        <is>
          <t>34be113b-e158-8a07-83fb-7ae5e577d03d</t>
        </is>
      </c>
      <c r="C133" s="9" t="inlineStr">
        <is>
          <t>Trung bình</t>
        </is>
      </c>
      <c r="D133" s="10" t="inlineStr">
        <is>
          <t>Cửa hàng Xăng dầu</t>
        </is>
      </c>
      <c r="E133" s="9" t="inlineStr">
        <is>
          <t>Cây xăng</t>
        </is>
      </c>
      <c r="F133" s="9" t="inlineStr">
        <is>
          <t>OpenStreetMap</t>
        </is>
      </c>
      <c r="G133" s="10" t="inlineStr">
        <is>
          <t>Xã Bàu Cạn, Gia Lai</t>
        </is>
      </c>
      <c r="H133" s="9" t="inlineStr">
        <is>
          <t>Xã Bàu Cạn</t>
        </is>
      </c>
      <c r="I133" s="11" t="n">
        <v>13.815743</v>
      </c>
      <c r="J133" s="11" t="n">
        <v>107.879923</v>
      </c>
      <c r="K133" s="9" t="inlineStr">
        <is>
          <t>Đã đối chiếu</t>
        </is>
      </c>
      <c r="L133" s="10" t="n"/>
      <c r="M133" s="12" t="inlineStr">
        <is>
          <t>Bản đồ</t>
        </is>
      </c>
      <c r="N133" s="13" t="n"/>
      <c r="O133" s="14" t="n"/>
      <c r="P133" s="14" t="n"/>
      <c r="Q133" s="13" t="n"/>
      <c r="R133" s="15" t="n"/>
      <c r="S133" s="13" t="n"/>
      <c r="T133" s="13" t="n"/>
      <c r="U133" s="16">
        <f>IF(AND(ISNUMBER(O133),ISNUMBER(P133)),ROUND(SQRT(((P133-J133)*111320*COS(RADIANS(I133)))^2+((O133-I133)*110540)^2),0),"")</f>
        <v/>
      </c>
      <c r="V133" s="17">
        <f>IF(N133="","",IF(N133="Sửa vị trí",IF(OR(O133="",P133=""),"Thiếu vĩ độ / kinh độ mới",IF(OR(O133&lt;12.5,O133&gt;15,P133&lt;107,P133&gt;109.6),"Toạ độ ngoài Gia Lai (đảo vĩ/kinh độ?)",IF(Q133="","Chọn cách xác định",IF(U133&gt;20000,"Dời hơn 20 km – kiểm tra lại","OK")))),IF(AND(N133&lt;&gt;"Sửa vị trí",OR(O133&lt;&gt;"",P133&lt;&gt;"")),"Có toạ độ mới nhưng kết quả không phải Sửa vị trí","OK")))</f>
        <v/>
      </c>
    </row>
    <row r="134">
      <c r="A134" s="9" t="n">
        <v>130</v>
      </c>
      <c r="B134" s="9" t="inlineStr">
        <is>
          <t>b068662c-c9d1-9c74-592f-97c3618c914a</t>
        </is>
      </c>
      <c r="C134" s="9" t="inlineStr">
        <is>
          <t>Trung bình</t>
        </is>
      </c>
      <c r="D134" s="10" t="inlineStr">
        <is>
          <t>Cửa hàng Xăng dầu</t>
        </is>
      </c>
      <c r="E134" s="9" t="inlineStr">
        <is>
          <t>Cây xăng</t>
        </is>
      </c>
      <c r="F134" s="9" t="inlineStr">
        <is>
          <t>OpenStreetMap</t>
        </is>
      </c>
      <c r="G134" s="10" t="inlineStr">
        <is>
          <t>Xã Bàu Cạn, Gia Lai</t>
        </is>
      </c>
      <c r="H134" s="9" t="inlineStr">
        <is>
          <t>Xã Bàu Cạn</t>
        </is>
      </c>
      <c r="I134" s="11" t="n">
        <v>13.858921</v>
      </c>
      <c r="J134" s="11" t="n">
        <v>107.949685</v>
      </c>
      <c r="K134" s="9" t="inlineStr">
        <is>
          <t>Đã đối chiếu</t>
        </is>
      </c>
      <c r="L134" s="10" t="n"/>
      <c r="M134" s="12" t="inlineStr">
        <is>
          <t>Bản đồ</t>
        </is>
      </c>
      <c r="N134" s="13" t="n"/>
      <c r="O134" s="14" t="n"/>
      <c r="P134" s="14" t="n"/>
      <c r="Q134" s="13" t="n"/>
      <c r="R134" s="15" t="n"/>
      <c r="S134" s="13" t="n"/>
      <c r="T134" s="13" t="n"/>
      <c r="U134" s="16">
        <f>IF(AND(ISNUMBER(O134),ISNUMBER(P134)),ROUND(SQRT(((P134-J134)*111320*COS(RADIANS(I134)))^2+((O134-I134)*110540)^2),0),"")</f>
        <v/>
      </c>
      <c r="V134" s="17">
        <f>IF(N134="","",IF(N134="Sửa vị trí",IF(OR(O134="",P134=""),"Thiếu vĩ độ / kinh độ mới",IF(OR(O134&lt;12.5,O134&gt;15,P134&lt;107,P134&gt;109.6),"Toạ độ ngoài Gia Lai (đảo vĩ/kinh độ?)",IF(Q134="","Chọn cách xác định",IF(U134&gt;20000,"Dời hơn 20 km – kiểm tra lại","OK")))),IF(AND(N134&lt;&gt;"Sửa vị trí",OR(O134&lt;&gt;"",P134&lt;&gt;"")),"Có toạ độ mới nhưng kết quả không phải Sửa vị trí","OK")))</f>
        <v/>
      </c>
    </row>
    <row r="135">
      <c r="A135" s="9" t="n">
        <v>131</v>
      </c>
      <c r="B135" s="9" t="inlineStr">
        <is>
          <t>d1256b34-3263-5692-92f5-e021abd9b766</t>
        </is>
      </c>
      <c r="C135" s="9" t="inlineStr">
        <is>
          <t>Trung bình</t>
        </is>
      </c>
      <c r="D135" s="10" t="inlineStr">
        <is>
          <t>Cửa hàng Xăng dầu</t>
        </is>
      </c>
      <c r="E135" s="9" t="inlineStr">
        <is>
          <t>Cây xăng</t>
        </is>
      </c>
      <c r="F135" s="9" t="inlineStr">
        <is>
          <t>OpenStreetMap</t>
        </is>
      </c>
      <c r="G135" s="10" t="inlineStr">
        <is>
          <t>Xã Bàu Cạn, Gia Lai</t>
        </is>
      </c>
      <c r="H135" s="9" t="inlineStr">
        <is>
          <t>Xã Bàu Cạn</t>
        </is>
      </c>
      <c r="I135" s="11" t="n">
        <v>13.855373</v>
      </c>
      <c r="J135" s="11" t="n">
        <v>107.920382</v>
      </c>
      <c r="K135" s="9" t="inlineStr">
        <is>
          <t>Đã đối chiếu</t>
        </is>
      </c>
      <c r="L135" s="10" t="n"/>
      <c r="M135" s="12" t="inlineStr">
        <is>
          <t>Bản đồ</t>
        </is>
      </c>
      <c r="N135" s="13" t="n"/>
      <c r="O135" s="14" t="n"/>
      <c r="P135" s="14" t="n"/>
      <c r="Q135" s="13" t="n"/>
      <c r="R135" s="15" t="n"/>
      <c r="S135" s="13" t="n"/>
      <c r="T135" s="13" t="n"/>
      <c r="U135" s="16">
        <f>IF(AND(ISNUMBER(O135),ISNUMBER(P135)),ROUND(SQRT(((P135-J135)*111320*COS(RADIANS(I135)))^2+((O135-I135)*110540)^2),0),"")</f>
        <v/>
      </c>
      <c r="V135" s="17">
        <f>IF(N135="","",IF(N135="Sửa vị trí",IF(OR(O135="",P135=""),"Thiếu vĩ độ / kinh độ mới",IF(OR(O135&lt;12.5,O135&gt;15,P135&lt;107,P135&gt;109.6),"Toạ độ ngoài Gia Lai (đảo vĩ/kinh độ?)",IF(Q135="","Chọn cách xác định",IF(U135&gt;20000,"Dời hơn 20 km – kiểm tra lại","OK")))),IF(AND(N135&lt;&gt;"Sửa vị trí",OR(O135&lt;&gt;"",P135&lt;&gt;"")),"Có toạ độ mới nhưng kết quả không phải Sửa vị trí","OK")))</f>
        <v/>
      </c>
    </row>
    <row r="136">
      <c r="A136" s="9" t="n">
        <v>132</v>
      </c>
      <c r="B136" s="9" t="inlineStr">
        <is>
          <t>71bd3312-cae8-fa8c-6224-227323b5bd32</t>
        </is>
      </c>
      <c r="C136" s="9" t="inlineStr">
        <is>
          <t>Trung bình</t>
        </is>
      </c>
      <c r="D136" s="10" t="inlineStr">
        <is>
          <t>Cửa hàng Xăng dầu</t>
        </is>
      </c>
      <c r="E136" s="9" t="inlineStr">
        <is>
          <t>Cây xăng</t>
        </is>
      </c>
      <c r="F136" s="9" t="inlineStr">
        <is>
          <t>OpenStreetMap</t>
        </is>
      </c>
      <c r="G136" s="10" t="inlineStr">
        <is>
          <t>Xã Bàu Cạn, Gia Lai</t>
        </is>
      </c>
      <c r="H136" s="9" t="inlineStr">
        <is>
          <t>Xã Bàu Cạn</t>
        </is>
      </c>
      <c r="I136" s="11" t="n">
        <v>13.818932</v>
      </c>
      <c r="J136" s="11" t="n">
        <v>107.872805</v>
      </c>
      <c r="K136" s="9" t="inlineStr">
        <is>
          <t>Đã đối chiếu</t>
        </is>
      </c>
      <c r="L136" s="10" t="n"/>
      <c r="M136" s="12" t="inlineStr">
        <is>
          <t>Bản đồ</t>
        </is>
      </c>
      <c r="N136" s="13" t="n"/>
      <c r="O136" s="14" t="n"/>
      <c r="P136" s="14" t="n"/>
      <c r="Q136" s="13" t="n"/>
      <c r="R136" s="15" t="n"/>
      <c r="S136" s="13" t="n"/>
      <c r="T136" s="13" t="n"/>
      <c r="U136" s="16">
        <f>IF(AND(ISNUMBER(O136),ISNUMBER(P136)),ROUND(SQRT(((P136-J136)*111320*COS(RADIANS(I136)))^2+((O136-I136)*110540)^2),0),"")</f>
        <v/>
      </c>
      <c r="V136" s="17">
        <f>IF(N136="","",IF(N136="Sửa vị trí",IF(OR(O136="",P136=""),"Thiếu vĩ độ / kinh độ mới",IF(OR(O136&lt;12.5,O136&gt;15,P136&lt;107,P136&gt;109.6),"Toạ độ ngoài Gia Lai (đảo vĩ/kinh độ?)",IF(Q136="","Chọn cách xác định",IF(U136&gt;20000,"Dời hơn 20 km – kiểm tra lại","OK")))),IF(AND(N136&lt;&gt;"Sửa vị trí",OR(O136&lt;&gt;"",P136&lt;&gt;"")),"Có toạ độ mới nhưng kết quả không phải Sửa vị trí","OK")))</f>
        <v/>
      </c>
    </row>
    <row r="137">
      <c r="A137" s="9" t="n">
        <v>133</v>
      </c>
      <c r="B137" s="9" t="inlineStr">
        <is>
          <t>eedd7aec-283c-cc07-793d-b6846a80bbe6</t>
        </is>
      </c>
      <c r="C137" s="9" t="inlineStr">
        <is>
          <t>Trung bình</t>
        </is>
      </c>
      <c r="D137" s="10" t="inlineStr">
        <is>
          <t>Cửa hàng Xăng dầu</t>
        </is>
      </c>
      <c r="E137" s="9" t="inlineStr">
        <is>
          <t>Cây xăng</t>
        </is>
      </c>
      <c r="F137" s="9" t="inlineStr">
        <is>
          <t>OpenStreetMap</t>
        </is>
      </c>
      <c r="G137" s="10" t="inlineStr">
        <is>
          <t>Xã Bàu Cạn, Gia Lai</t>
        </is>
      </c>
      <c r="H137" s="9" t="inlineStr">
        <is>
          <t>Xã Bàu Cạn</t>
        </is>
      </c>
      <c r="I137" s="11" t="n">
        <v>13.857898</v>
      </c>
      <c r="J137" s="11" t="n">
        <v>107.928122</v>
      </c>
      <c r="K137" s="9" t="inlineStr">
        <is>
          <t>Đã đối chiếu</t>
        </is>
      </c>
      <c r="L137" s="10" t="n"/>
      <c r="M137" s="12" t="inlineStr">
        <is>
          <t>Bản đồ</t>
        </is>
      </c>
      <c r="N137" s="13" t="n"/>
      <c r="O137" s="14" t="n"/>
      <c r="P137" s="14" t="n"/>
      <c r="Q137" s="13" t="n"/>
      <c r="R137" s="15" t="n"/>
      <c r="S137" s="13" t="n"/>
      <c r="T137" s="13" t="n"/>
      <c r="U137" s="16">
        <f>IF(AND(ISNUMBER(O137),ISNUMBER(P137)),ROUND(SQRT(((P137-J137)*111320*COS(RADIANS(I137)))^2+((O137-I137)*110540)^2),0),"")</f>
        <v/>
      </c>
      <c r="V137" s="17">
        <f>IF(N137="","",IF(N137="Sửa vị trí",IF(OR(O137="",P137=""),"Thiếu vĩ độ / kinh độ mới",IF(OR(O137&lt;12.5,O137&gt;15,P137&lt;107,P137&gt;109.6),"Toạ độ ngoài Gia Lai (đảo vĩ/kinh độ?)",IF(Q137="","Chọn cách xác định",IF(U137&gt;20000,"Dời hơn 20 km – kiểm tra lại","OK")))),IF(AND(N137&lt;&gt;"Sửa vị trí",OR(O137&lt;&gt;"",P137&lt;&gt;"")),"Có toạ độ mới nhưng kết quả không phải Sửa vị trí","OK")))</f>
        <v/>
      </c>
    </row>
    <row r="138">
      <c r="A138" s="9" t="n">
        <v>134</v>
      </c>
      <c r="B138" s="9" t="inlineStr">
        <is>
          <t>e5e134cf-0739-01f7-e63f-6cdf8a78c65f</t>
        </is>
      </c>
      <c r="C138" s="9" t="inlineStr">
        <is>
          <t>Trung bình</t>
        </is>
      </c>
      <c r="D138" s="10" t="inlineStr">
        <is>
          <t>Cửa hàng Xăng dầu</t>
        </is>
      </c>
      <c r="E138" s="9" t="inlineStr">
        <is>
          <t>Cây xăng</t>
        </is>
      </c>
      <c r="F138" s="9" t="inlineStr">
        <is>
          <t>OpenStreetMap</t>
        </is>
      </c>
      <c r="G138" s="10" t="inlineStr">
        <is>
          <t>Xã Bàu Cạn, Gia Lai</t>
        </is>
      </c>
      <c r="H138" s="9" t="inlineStr">
        <is>
          <t>Xã Bàu Cạn</t>
        </is>
      </c>
      <c r="I138" s="11" t="n">
        <v>13.858101</v>
      </c>
      <c r="J138" s="11" t="n">
        <v>107.945022</v>
      </c>
      <c r="K138" s="9" t="inlineStr">
        <is>
          <t>Đã đối chiếu</t>
        </is>
      </c>
      <c r="L138" s="10" t="n"/>
      <c r="M138" s="12" t="inlineStr">
        <is>
          <t>Bản đồ</t>
        </is>
      </c>
      <c r="N138" s="13" t="n"/>
      <c r="O138" s="14" t="n"/>
      <c r="P138" s="14" t="n"/>
      <c r="Q138" s="13" t="n"/>
      <c r="R138" s="15" t="n"/>
      <c r="S138" s="13" t="n"/>
      <c r="T138" s="13" t="n"/>
      <c r="U138" s="16">
        <f>IF(AND(ISNUMBER(O138),ISNUMBER(P138)),ROUND(SQRT(((P138-J138)*111320*COS(RADIANS(I138)))^2+((O138-I138)*110540)^2),0),"")</f>
        <v/>
      </c>
      <c r="V138" s="17">
        <f>IF(N138="","",IF(N138="Sửa vị trí",IF(OR(O138="",P138=""),"Thiếu vĩ độ / kinh độ mới",IF(OR(O138&lt;12.5,O138&gt;15,P138&lt;107,P138&gt;109.6),"Toạ độ ngoài Gia Lai (đảo vĩ/kinh độ?)",IF(Q138="","Chọn cách xác định",IF(U138&gt;20000,"Dời hơn 20 km – kiểm tra lại","OK")))),IF(AND(N138&lt;&gt;"Sửa vị trí",OR(O138&lt;&gt;"",P138&lt;&gt;"")),"Có toạ độ mới nhưng kết quả không phải Sửa vị trí","OK")))</f>
        <v/>
      </c>
    </row>
    <row r="139">
      <c r="A139" s="9" t="n">
        <v>135</v>
      </c>
      <c r="B139" s="9" t="inlineStr">
        <is>
          <t>fa723a15-5a60-0c2c-e7b2-233607cefb85</t>
        </is>
      </c>
      <c r="C139" s="9" t="inlineStr">
        <is>
          <t>Trung bình</t>
        </is>
      </c>
      <c r="D139" s="10" t="inlineStr">
        <is>
          <t>Cây xăng (Xã Bình Dương)</t>
        </is>
      </c>
      <c r="E139" s="9" t="inlineStr">
        <is>
          <t>Cây xăng</t>
        </is>
      </c>
      <c r="F139" s="9" t="inlineStr">
        <is>
          <t>OpenStreetMap</t>
        </is>
      </c>
      <c r="G139" s="10" t="inlineStr">
        <is>
          <t>Xã Bình Dương, Gia Lai</t>
        </is>
      </c>
      <c r="H139" s="9" t="inlineStr">
        <is>
          <t>Xã Bình Dương</t>
        </is>
      </c>
      <c r="I139" s="11" t="n">
        <v>14.291527</v>
      </c>
      <c r="J139" s="11" t="n">
        <v>109.078678</v>
      </c>
      <c r="K139" s="9" t="inlineStr">
        <is>
          <t>Đã đối chiếu</t>
        </is>
      </c>
      <c r="L139" s="10" t="n"/>
      <c r="M139" s="12" t="inlineStr">
        <is>
          <t>Bản đồ</t>
        </is>
      </c>
      <c r="N139" s="13" t="n"/>
      <c r="O139" s="14" t="n"/>
      <c r="P139" s="14" t="n"/>
      <c r="Q139" s="13" t="n"/>
      <c r="R139" s="15" t="n"/>
      <c r="S139" s="13" t="n"/>
      <c r="T139" s="13" t="n"/>
      <c r="U139" s="16">
        <f>IF(AND(ISNUMBER(O139),ISNUMBER(P139)),ROUND(SQRT(((P139-J139)*111320*COS(RADIANS(I139)))^2+((O139-I139)*110540)^2),0),"")</f>
        <v/>
      </c>
      <c r="V139" s="17">
        <f>IF(N139="","",IF(N139="Sửa vị trí",IF(OR(O139="",P139=""),"Thiếu vĩ độ / kinh độ mới",IF(OR(O139&lt;12.5,O139&gt;15,P139&lt;107,P139&gt;109.6),"Toạ độ ngoài Gia Lai (đảo vĩ/kinh độ?)",IF(Q139="","Chọn cách xác định",IF(U139&gt;20000,"Dời hơn 20 km – kiểm tra lại","OK")))),IF(AND(N139&lt;&gt;"Sửa vị trí",OR(O139&lt;&gt;"",P139&lt;&gt;"")),"Có toạ độ mới nhưng kết quả không phải Sửa vị trí","OK")))</f>
        <v/>
      </c>
    </row>
    <row r="140">
      <c r="A140" s="9" t="n">
        <v>136</v>
      </c>
      <c r="B140" s="9" t="inlineStr">
        <is>
          <t>5db7084f-85d9-7e95-2809-8909b29e9b23</t>
        </is>
      </c>
      <c r="C140" s="9" t="inlineStr">
        <is>
          <t>Trung bình</t>
        </is>
      </c>
      <c r="D140" s="10" t="inlineStr">
        <is>
          <t>Cửa Hàng Xăng Dầu Số 11-Công ty Xăng Dầu Bình Định</t>
        </is>
      </c>
      <c r="E140" s="9" t="inlineStr">
        <is>
          <t>Cây xăng</t>
        </is>
      </c>
      <c r="F140" s="9" t="inlineStr">
        <is>
          <t>OpenStreetMap</t>
        </is>
      </c>
      <c r="G140" s="10" t="inlineStr">
        <is>
          <t>Xã Bình Khê, Gia Lai</t>
        </is>
      </c>
      <c r="H140" s="9" t="inlineStr">
        <is>
          <t>Xã Bình Khê</t>
        </is>
      </c>
      <c r="I140" s="11" t="n">
        <v>13.958247</v>
      </c>
      <c r="J140" s="11" t="n">
        <v>108.828778</v>
      </c>
      <c r="K140" s="9" t="inlineStr">
        <is>
          <t>Đã đối chiếu</t>
        </is>
      </c>
      <c r="L140" s="10" t="n"/>
      <c r="M140" s="12" t="inlineStr">
        <is>
          <t>Bản đồ</t>
        </is>
      </c>
      <c r="N140" s="13" t="n"/>
      <c r="O140" s="14" t="n"/>
      <c r="P140" s="14" t="n"/>
      <c r="Q140" s="13" t="n"/>
      <c r="R140" s="15" t="n"/>
      <c r="S140" s="13" t="n"/>
      <c r="T140" s="13" t="n"/>
      <c r="U140" s="16">
        <f>IF(AND(ISNUMBER(O140),ISNUMBER(P140)),ROUND(SQRT(((P140-J140)*111320*COS(RADIANS(I140)))^2+((O140-I140)*110540)^2),0),"")</f>
        <v/>
      </c>
      <c r="V140" s="17">
        <f>IF(N140="","",IF(N140="Sửa vị trí",IF(OR(O140="",P140=""),"Thiếu vĩ độ / kinh độ mới",IF(OR(O140&lt;12.5,O140&gt;15,P140&lt;107,P140&gt;109.6),"Toạ độ ngoài Gia Lai (đảo vĩ/kinh độ?)",IF(Q140="","Chọn cách xác định",IF(U140&gt;20000,"Dời hơn 20 km – kiểm tra lại","OK")))),IF(AND(N140&lt;&gt;"Sửa vị trí",OR(O140&lt;&gt;"",P140&lt;&gt;"")),"Có toạ độ mới nhưng kết quả không phải Sửa vị trí","OK")))</f>
        <v/>
      </c>
    </row>
    <row r="141">
      <c r="A141" s="9" t="n">
        <v>137</v>
      </c>
      <c r="B141" s="9" t="inlineStr">
        <is>
          <t>0cd0c8ec-ada3-58ff-3ef2-37ef16e9059a</t>
        </is>
      </c>
      <c r="C141" s="9" t="inlineStr">
        <is>
          <t>Trung bình</t>
        </is>
      </c>
      <c r="D141" s="10" t="inlineStr">
        <is>
          <t>Petrolimex</t>
        </is>
      </c>
      <c r="E141" s="9" t="inlineStr">
        <is>
          <t>Cây xăng</t>
        </is>
      </c>
      <c r="F141" s="9" t="inlineStr">
        <is>
          <t>OpenStreetMap</t>
        </is>
      </c>
      <c r="G141" s="10" t="inlineStr">
        <is>
          <t>Xã Chư A Thai, Gia Lai</t>
        </is>
      </c>
      <c r="H141" s="9" t="inlineStr">
        <is>
          <t>Xã Chư A Thai</t>
        </is>
      </c>
      <c r="I141" s="11" t="n">
        <v>13.549202</v>
      </c>
      <c r="J141" s="11" t="n">
        <v>108.260796</v>
      </c>
      <c r="K141" s="9" t="inlineStr">
        <is>
          <t>Đã đối chiếu</t>
        </is>
      </c>
      <c r="L141" s="10" t="n"/>
      <c r="M141" s="12" t="inlineStr">
        <is>
          <t>Bản đồ</t>
        </is>
      </c>
      <c r="N141" s="13" t="n"/>
      <c r="O141" s="14" t="n"/>
      <c r="P141" s="14" t="n"/>
      <c r="Q141" s="13" t="n"/>
      <c r="R141" s="15" t="n"/>
      <c r="S141" s="13" t="n"/>
      <c r="T141" s="13" t="n"/>
      <c r="U141" s="16">
        <f>IF(AND(ISNUMBER(O141),ISNUMBER(P141)),ROUND(SQRT(((P141-J141)*111320*COS(RADIANS(I141)))^2+((O141-I141)*110540)^2),0),"")</f>
        <v/>
      </c>
      <c r="V141" s="17">
        <f>IF(N141="","",IF(N141="Sửa vị trí",IF(OR(O141="",P141=""),"Thiếu vĩ độ / kinh độ mới",IF(OR(O141&lt;12.5,O141&gt;15,P141&lt;107,P141&gt;109.6),"Toạ độ ngoài Gia Lai (đảo vĩ/kinh độ?)",IF(Q141="","Chọn cách xác định",IF(U141&gt;20000,"Dời hơn 20 km – kiểm tra lại","OK")))),IF(AND(N141&lt;&gt;"Sửa vị trí",OR(O141&lt;&gt;"",P141&lt;&gt;"")),"Có toạ độ mới nhưng kết quả không phải Sửa vị trí","OK")))</f>
        <v/>
      </c>
    </row>
    <row r="142">
      <c r="A142" s="9" t="n">
        <v>138</v>
      </c>
      <c r="B142" s="9" t="inlineStr">
        <is>
          <t>b1515553-84d8-f791-2a85-2c97eb440f89</t>
        </is>
      </c>
      <c r="C142" s="9" t="inlineStr">
        <is>
          <t>Trung bình</t>
        </is>
      </c>
      <c r="D142" s="10" t="inlineStr">
        <is>
          <t>Petrolimex</t>
        </is>
      </c>
      <c r="E142" s="9" t="inlineStr">
        <is>
          <t>Cây xăng</t>
        </is>
      </c>
      <c r="F142" s="9" t="inlineStr">
        <is>
          <t>OpenStreetMap</t>
        </is>
      </c>
      <c r="G142" s="10" t="inlineStr">
        <is>
          <t>Xã Chư A Thai, Gia Lai</t>
        </is>
      </c>
      <c r="H142" s="9" t="inlineStr">
        <is>
          <t>Xã Chư A Thai</t>
        </is>
      </c>
      <c r="I142" s="11" t="n">
        <v>13.536567</v>
      </c>
      <c r="J142" s="11" t="n">
        <v>108.293344</v>
      </c>
      <c r="K142" s="9" t="inlineStr">
        <is>
          <t>Đã đối chiếu</t>
        </is>
      </c>
      <c r="L142" s="10" t="n"/>
      <c r="M142" s="12" t="inlineStr">
        <is>
          <t>Bản đồ</t>
        </is>
      </c>
      <c r="N142" s="13" t="n"/>
      <c r="O142" s="14" t="n"/>
      <c r="P142" s="14" t="n"/>
      <c r="Q142" s="13" t="n"/>
      <c r="R142" s="15" t="n"/>
      <c r="S142" s="13" t="n"/>
      <c r="T142" s="13" t="n"/>
      <c r="U142" s="16">
        <f>IF(AND(ISNUMBER(O142),ISNUMBER(P142)),ROUND(SQRT(((P142-J142)*111320*COS(RADIANS(I142)))^2+((O142-I142)*110540)^2),0),"")</f>
        <v/>
      </c>
      <c r="V142" s="17">
        <f>IF(N142="","",IF(N142="Sửa vị trí",IF(OR(O142="",P142=""),"Thiếu vĩ độ / kinh độ mới",IF(OR(O142&lt;12.5,O142&gt;15,P142&lt;107,P142&gt;109.6),"Toạ độ ngoài Gia Lai (đảo vĩ/kinh độ?)",IF(Q142="","Chọn cách xác định",IF(U142&gt;20000,"Dời hơn 20 km – kiểm tra lại","OK")))),IF(AND(N142&lt;&gt;"Sửa vị trí",OR(O142&lt;&gt;"",P142&lt;&gt;"")),"Có toạ độ mới nhưng kết quả không phải Sửa vị trí","OK")))</f>
        <v/>
      </c>
    </row>
    <row r="143">
      <c r="A143" s="9" t="n">
        <v>139</v>
      </c>
      <c r="B143" s="9" t="inlineStr">
        <is>
          <t>6cb7f308-c107-62cd-b9cb-64f2b935072b</t>
        </is>
      </c>
      <c r="C143" s="9" t="inlineStr">
        <is>
          <t>Trung bình</t>
        </is>
      </c>
      <c r="D143" s="10" t="inlineStr">
        <is>
          <t>Petrolimex</t>
        </is>
      </c>
      <c r="E143" s="9" t="inlineStr">
        <is>
          <t>Cây xăng</t>
        </is>
      </c>
      <c r="F143" s="9" t="inlineStr">
        <is>
          <t>OpenStreetMap</t>
        </is>
      </c>
      <c r="G143" s="10" t="inlineStr">
        <is>
          <t>Xã Chư A Thai, Gia Lai</t>
        </is>
      </c>
      <c r="H143" s="9" t="inlineStr">
        <is>
          <t>Xã Chư A Thai</t>
        </is>
      </c>
      <c r="I143" s="11" t="n">
        <v>13.534416</v>
      </c>
      <c r="J143" s="11" t="n">
        <v>108.298394</v>
      </c>
      <c r="K143" s="9" t="inlineStr">
        <is>
          <t>Đã đối chiếu</t>
        </is>
      </c>
      <c r="L143" s="10" t="n"/>
      <c r="M143" s="12" t="inlineStr">
        <is>
          <t>Bản đồ</t>
        </is>
      </c>
      <c r="N143" s="13" t="n"/>
      <c r="O143" s="14" t="n"/>
      <c r="P143" s="14" t="n"/>
      <c r="Q143" s="13" t="n"/>
      <c r="R143" s="15" t="n"/>
      <c r="S143" s="13" t="n"/>
      <c r="T143" s="13" t="n"/>
      <c r="U143" s="16">
        <f>IF(AND(ISNUMBER(O143),ISNUMBER(P143)),ROUND(SQRT(((P143-J143)*111320*COS(RADIANS(I143)))^2+((O143-I143)*110540)^2),0),"")</f>
        <v/>
      </c>
      <c r="V143" s="17">
        <f>IF(N143="","",IF(N143="Sửa vị trí",IF(OR(O143="",P143=""),"Thiếu vĩ độ / kinh độ mới",IF(OR(O143&lt;12.5,O143&gt;15,P143&lt;107,P143&gt;109.6),"Toạ độ ngoài Gia Lai (đảo vĩ/kinh độ?)",IF(Q143="","Chọn cách xác định",IF(U143&gt;20000,"Dời hơn 20 km – kiểm tra lại","OK")))),IF(AND(N143&lt;&gt;"Sửa vị trí",OR(O143&lt;&gt;"",P143&lt;&gt;"")),"Có toạ độ mới nhưng kết quả không phải Sửa vị trí","OK")))</f>
        <v/>
      </c>
    </row>
    <row r="144">
      <c r="A144" s="9" t="n">
        <v>140</v>
      </c>
      <c r="B144" s="9" t="inlineStr">
        <is>
          <t>50065a29-f251-7217-ae3b-a5f9adcdf3aa</t>
        </is>
      </c>
      <c r="C144" s="9" t="inlineStr">
        <is>
          <t>Trung bình</t>
        </is>
      </c>
      <c r="D144" s="10" t="inlineStr">
        <is>
          <t>MIPE Corp</t>
        </is>
      </c>
      <c r="E144" s="9" t="inlineStr">
        <is>
          <t>Cây xăng</t>
        </is>
      </c>
      <c r="F144" s="9" t="inlineStr">
        <is>
          <t>OpenStreetMap</t>
        </is>
      </c>
      <c r="G144" s="10" t="inlineStr">
        <is>
          <t>Xã Chư Păh, Gia Lai</t>
        </is>
      </c>
      <c r="H144" s="9" t="inlineStr">
        <is>
          <t>Xã Chư Păh</t>
        </is>
      </c>
      <c r="I144" s="11" t="n">
        <v>14.11836</v>
      </c>
      <c r="J144" s="11" t="n">
        <v>107.955435</v>
      </c>
      <c r="K144" s="9" t="inlineStr">
        <is>
          <t>Đã đối chiếu</t>
        </is>
      </c>
      <c r="L144" s="10" t="n"/>
      <c r="M144" s="12" t="inlineStr">
        <is>
          <t>Bản đồ</t>
        </is>
      </c>
      <c r="N144" s="13" t="n"/>
      <c r="O144" s="14" t="n"/>
      <c r="P144" s="14" t="n"/>
      <c r="Q144" s="13" t="n"/>
      <c r="R144" s="15" t="n"/>
      <c r="S144" s="13" t="n"/>
      <c r="T144" s="13" t="n"/>
      <c r="U144" s="16">
        <f>IF(AND(ISNUMBER(O144),ISNUMBER(P144)),ROUND(SQRT(((P144-J144)*111320*COS(RADIANS(I144)))^2+((O144-I144)*110540)^2),0),"")</f>
        <v/>
      </c>
      <c r="V144" s="17">
        <f>IF(N144="","",IF(N144="Sửa vị trí",IF(OR(O144="",P144=""),"Thiếu vĩ độ / kinh độ mới",IF(OR(O144&lt;12.5,O144&gt;15,P144&lt;107,P144&gt;109.6),"Toạ độ ngoài Gia Lai (đảo vĩ/kinh độ?)",IF(Q144="","Chọn cách xác định",IF(U144&gt;20000,"Dời hơn 20 km – kiểm tra lại","OK")))),IF(AND(N144&lt;&gt;"Sửa vị trí",OR(O144&lt;&gt;"",P144&lt;&gt;"")),"Có toạ độ mới nhưng kết quả không phải Sửa vị trí","OK")))</f>
        <v/>
      </c>
    </row>
    <row r="145">
      <c r="A145" s="9" t="n">
        <v>141</v>
      </c>
      <c r="B145" s="9" t="inlineStr">
        <is>
          <t>48c1c1ac-5cd9-37d3-bad0-5cb057434c0f</t>
        </is>
      </c>
      <c r="C145" s="9" t="inlineStr">
        <is>
          <t>Trung bình</t>
        </is>
      </c>
      <c r="D145" s="10" t="inlineStr">
        <is>
          <t>MIPE Corp</t>
        </is>
      </c>
      <c r="E145" s="9" t="inlineStr">
        <is>
          <t>Cây xăng</t>
        </is>
      </c>
      <c r="F145" s="9" t="inlineStr">
        <is>
          <t>OpenStreetMap</t>
        </is>
      </c>
      <c r="G145" s="10" t="inlineStr">
        <is>
          <t>Xã Chư Păh, Gia Lai</t>
        </is>
      </c>
      <c r="H145" s="9" t="inlineStr">
        <is>
          <t>Xã Chư Păh</t>
        </is>
      </c>
      <c r="I145" s="11" t="n">
        <v>14.167401</v>
      </c>
      <c r="J145" s="11" t="n">
        <v>107.957132</v>
      </c>
      <c r="K145" s="9" t="inlineStr">
        <is>
          <t>Đã đối chiếu</t>
        </is>
      </c>
      <c r="L145" s="10" t="n"/>
      <c r="M145" s="12" t="inlineStr">
        <is>
          <t>Bản đồ</t>
        </is>
      </c>
      <c r="N145" s="13" t="n"/>
      <c r="O145" s="14" t="n"/>
      <c r="P145" s="14" t="n"/>
      <c r="Q145" s="13" t="n"/>
      <c r="R145" s="15" t="n"/>
      <c r="S145" s="13" t="n"/>
      <c r="T145" s="13" t="n"/>
      <c r="U145" s="16">
        <f>IF(AND(ISNUMBER(O145),ISNUMBER(P145)),ROUND(SQRT(((P145-J145)*111320*COS(RADIANS(I145)))^2+((O145-I145)*110540)^2),0),"")</f>
        <v/>
      </c>
      <c r="V145" s="17">
        <f>IF(N145="","",IF(N145="Sửa vị trí",IF(OR(O145="",P145=""),"Thiếu vĩ độ / kinh độ mới",IF(OR(O145&lt;12.5,O145&gt;15,P145&lt;107,P145&gt;109.6),"Toạ độ ngoài Gia Lai (đảo vĩ/kinh độ?)",IF(Q145="","Chọn cách xác định",IF(U145&gt;20000,"Dời hơn 20 km – kiểm tra lại","OK")))),IF(AND(N145&lt;&gt;"Sửa vị trí",OR(O145&lt;&gt;"",P145&lt;&gt;"")),"Có toạ độ mới nhưng kết quả không phải Sửa vị trí","OK")))</f>
        <v/>
      </c>
    </row>
    <row r="146">
      <c r="A146" s="9" t="n">
        <v>142</v>
      </c>
      <c r="B146" s="9" t="inlineStr">
        <is>
          <t>b4a8c2a4-40e7-b385-199a-55c1103b9eb9</t>
        </is>
      </c>
      <c r="C146" s="9" t="inlineStr">
        <is>
          <t>Trung bình</t>
        </is>
      </c>
      <c r="D146" s="10" t="inlineStr">
        <is>
          <t>PV Oil</t>
        </is>
      </c>
      <c r="E146" s="9" t="inlineStr">
        <is>
          <t>Cây xăng</t>
        </is>
      </c>
      <c r="F146" s="9" t="inlineStr">
        <is>
          <t>OpenStreetMap</t>
        </is>
      </c>
      <c r="G146" s="10" t="inlineStr">
        <is>
          <t>Xã Chư Păh, Gia Lai</t>
        </is>
      </c>
      <c r="H146" s="9" t="inlineStr">
        <is>
          <t>Xã Chư Păh</t>
        </is>
      </c>
      <c r="I146" s="11" t="n">
        <v>14.166397</v>
      </c>
      <c r="J146" s="11" t="n">
        <v>107.956403</v>
      </c>
      <c r="K146" s="9" t="inlineStr">
        <is>
          <t>Đã đối chiếu</t>
        </is>
      </c>
      <c r="L146" s="10" t="n"/>
      <c r="M146" s="12" t="inlineStr">
        <is>
          <t>Bản đồ</t>
        </is>
      </c>
      <c r="N146" s="13" t="n"/>
      <c r="O146" s="14" t="n"/>
      <c r="P146" s="14" t="n"/>
      <c r="Q146" s="13" t="n"/>
      <c r="R146" s="15" t="n"/>
      <c r="S146" s="13" t="n"/>
      <c r="T146" s="13" t="n"/>
      <c r="U146" s="16">
        <f>IF(AND(ISNUMBER(O146),ISNUMBER(P146)),ROUND(SQRT(((P146-J146)*111320*COS(RADIANS(I146)))^2+((O146-I146)*110540)^2),0),"")</f>
        <v/>
      </c>
      <c r="V146" s="17">
        <f>IF(N146="","",IF(N146="Sửa vị trí",IF(OR(O146="",P146=""),"Thiếu vĩ độ / kinh độ mới",IF(OR(O146&lt;12.5,O146&gt;15,P146&lt;107,P146&gt;109.6),"Toạ độ ngoài Gia Lai (đảo vĩ/kinh độ?)",IF(Q146="","Chọn cách xác định",IF(U146&gt;20000,"Dời hơn 20 km – kiểm tra lại","OK")))),IF(AND(N146&lt;&gt;"Sửa vị trí",OR(O146&lt;&gt;"",P146&lt;&gt;"")),"Có toạ độ mới nhưng kết quả không phải Sửa vị trí","OK")))</f>
        <v/>
      </c>
    </row>
    <row r="147">
      <c r="A147" s="9" t="n">
        <v>143</v>
      </c>
      <c r="B147" s="9" t="inlineStr">
        <is>
          <t>344f06fe-90e2-bacc-f7e1-7bf6cd27f42d</t>
        </is>
      </c>
      <c r="C147" s="9" t="inlineStr">
        <is>
          <t>Trung bình</t>
        </is>
      </c>
      <c r="D147" s="10" t="inlineStr">
        <is>
          <t>Petrolimex</t>
        </is>
      </c>
      <c r="E147" s="9" t="inlineStr">
        <is>
          <t>Cây xăng</t>
        </is>
      </c>
      <c r="F147" s="9" t="inlineStr">
        <is>
          <t>OpenStreetMap</t>
        </is>
      </c>
      <c r="G147" s="10" t="inlineStr">
        <is>
          <t>Xã Chư Păh, Gia Lai</t>
        </is>
      </c>
      <c r="H147" s="9" t="inlineStr">
        <is>
          <t>Xã Chư Păh</t>
        </is>
      </c>
      <c r="I147" s="11" t="n">
        <v>14.180072</v>
      </c>
      <c r="J147" s="11" t="n">
        <v>107.958452</v>
      </c>
      <c r="K147" s="9" t="inlineStr">
        <is>
          <t>Đã đối chiếu</t>
        </is>
      </c>
      <c r="L147" s="10" t="n"/>
      <c r="M147" s="12" t="inlineStr">
        <is>
          <t>Bản đồ</t>
        </is>
      </c>
      <c r="N147" s="13" t="n"/>
      <c r="O147" s="14" t="n"/>
      <c r="P147" s="14" t="n"/>
      <c r="Q147" s="13" t="n"/>
      <c r="R147" s="15" t="n"/>
      <c r="S147" s="13" t="n"/>
      <c r="T147" s="13" t="n"/>
      <c r="U147" s="16">
        <f>IF(AND(ISNUMBER(O147),ISNUMBER(P147)),ROUND(SQRT(((P147-J147)*111320*COS(RADIANS(I147)))^2+((O147-I147)*110540)^2),0),"")</f>
        <v/>
      </c>
      <c r="V147" s="17">
        <f>IF(N147="","",IF(N147="Sửa vị trí",IF(OR(O147="",P147=""),"Thiếu vĩ độ / kinh độ mới",IF(OR(O147&lt;12.5,O147&gt;15,P147&lt;107,P147&gt;109.6),"Toạ độ ngoài Gia Lai (đảo vĩ/kinh độ?)",IF(Q147="","Chọn cách xác định",IF(U147&gt;20000,"Dời hơn 20 km – kiểm tra lại","OK")))),IF(AND(N147&lt;&gt;"Sửa vị trí",OR(O147&lt;&gt;"",P147&lt;&gt;"")),"Có toạ độ mới nhưng kết quả không phải Sửa vị trí","OK")))</f>
        <v/>
      </c>
    </row>
    <row r="148">
      <c r="A148" s="9" t="n">
        <v>144</v>
      </c>
      <c r="B148" s="9" t="inlineStr">
        <is>
          <t>2137313e-0631-35fd-1f6e-736d2fa4e915</t>
        </is>
      </c>
      <c r="C148" s="9" t="inlineStr">
        <is>
          <t>Trung bình</t>
        </is>
      </c>
      <c r="D148" s="10" t="inlineStr">
        <is>
          <t>MIPE Corp</t>
        </is>
      </c>
      <c r="E148" s="9" t="inlineStr">
        <is>
          <t>Cây xăng</t>
        </is>
      </c>
      <c r="F148" s="9" t="inlineStr">
        <is>
          <t>OpenStreetMap</t>
        </is>
      </c>
      <c r="G148" s="10" t="inlineStr">
        <is>
          <t>Xã Chư Pưh, Gia Lai</t>
        </is>
      </c>
      <c r="H148" s="9" t="inlineStr">
        <is>
          <t>Xã Chư Pưh</t>
        </is>
      </c>
      <c r="I148" s="11" t="n">
        <v>13.502075</v>
      </c>
      <c r="J148" s="11" t="n">
        <v>108.102583</v>
      </c>
      <c r="K148" s="9" t="inlineStr">
        <is>
          <t>Đã đối chiếu</t>
        </is>
      </c>
      <c r="L148" s="10" t="n"/>
      <c r="M148" s="12" t="inlineStr">
        <is>
          <t>Bản đồ</t>
        </is>
      </c>
      <c r="N148" s="13" t="n"/>
      <c r="O148" s="14" t="n"/>
      <c r="P148" s="14" t="n"/>
      <c r="Q148" s="13" t="n"/>
      <c r="R148" s="15" t="n"/>
      <c r="S148" s="13" t="n"/>
      <c r="T148" s="13" t="n"/>
      <c r="U148" s="16">
        <f>IF(AND(ISNUMBER(O148),ISNUMBER(P148)),ROUND(SQRT(((P148-J148)*111320*COS(RADIANS(I148)))^2+((O148-I148)*110540)^2),0),"")</f>
        <v/>
      </c>
      <c r="V148" s="17">
        <f>IF(N148="","",IF(N148="Sửa vị trí",IF(OR(O148="",P148=""),"Thiếu vĩ độ / kinh độ mới",IF(OR(O148&lt;12.5,O148&gt;15,P148&lt;107,P148&gt;109.6),"Toạ độ ngoài Gia Lai (đảo vĩ/kinh độ?)",IF(Q148="","Chọn cách xác định",IF(U148&gt;20000,"Dời hơn 20 km – kiểm tra lại","OK")))),IF(AND(N148&lt;&gt;"Sửa vị trí",OR(O148&lt;&gt;"",P148&lt;&gt;"")),"Có toạ độ mới nhưng kết quả không phải Sửa vị trí","OK")))</f>
        <v/>
      </c>
    </row>
    <row r="149">
      <c r="A149" s="9" t="n">
        <v>145</v>
      </c>
      <c r="B149" s="9" t="inlineStr">
        <is>
          <t>4a6b1790-0789-da04-9751-ade257c99a1e</t>
        </is>
      </c>
      <c r="C149" s="9" t="inlineStr">
        <is>
          <t>Trung bình</t>
        </is>
      </c>
      <c r="D149" s="10" t="inlineStr">
        <is>
          <t>PV Oil</t>
        </is>
      </c>
      <c r="E149" s="9" t="inlineStr">
        <is>
          <t>Cây xăng</t>
        </is>
      </c>
      <c r="F149" s="9" t="inlineStr">
        <is>
          <t>OpenStreetMap</t>
        </is>
      </c>
      <c r="G149" s="10" t="inlineStr">
        <is>
          <t>Xã Chư Pưh, Gia Lai</t>
        </is>
      </c>
      <c r="H149" s="9" t="inlineStr">
        <is>
          <t>Xã Chư Pưh</t>
        </is>
      </c>
      <c r="I149" s="11" t="n">
        <v>13.550857</v>
      </c>
      <c r="J149" s="11" t="n">
        <v>108.09741</v>
      </c>
      <c r="K149" s="9" t="inlineStr">
        <is>
          <t>Đã đối chiếu</t>
        </is>
      </c>
      <c r="L149" s="10" t="n"/>
      <c r="M149" s="12" t="inlineStr">
        <is>
          <t>Bản đồ</t>
        </is>
      </c>
      <c r="N149" s="13" t="n"/>
      <c r="O149" s="14" t="n"/>
      <c r="P149" s="14" t="n"/>
      <c r="Q149" s="13" t="n"/>
      <c r="R149" s="15" t="n"/>
      <c r="S149" s="13" t="n"/>
      <c r="T149" s="13" t="n"/>
      <c r="U149" s="16">
        <f>IF(AND(ISNUMBER(O149),ISNUMBER(P149)),ROUND(SQRT(((P149-J149)*111320*COS(RADIANS(I149)))^2+((O149-I149)*110540)^2),0),"")</f>
        <v/>
      </c>
      <c r="V149" s="17">
        <f>IF(N149="","",IF(N149="Sửa vị trí",IF(OR(O149="",P149=""),"Thiếu vĩ độ / kinh độ mới",IF(OR(O149&lt;12.5,O149&gt;15,P149&lt;107,P149&gt;109.6),"Toạ độ ngoài Gia Lai (đảo vĩ/kinh độ?)",IF(Q149="","Chọn cách xác định",IF(U149&gt;20000,"Dời hơn 20 km – kiểm tra lại","OK")))),IF(AND(N149&lt;&gt;"Sửa vị trí",OR(O149&lt;&gt;"",P149&lt;&gt;"")),"Có toạ độ mới nhưng kết quả không phải Sửa vị trí","OK")))</f>
        <v/>
      </c>
    </row>
    <row r="150">
      <c r="A150" s="9" t="n">
        <v>146</v>
      </c>
      <c r="B150" s="9" t="inlineStr">
        <is>
          <t>ca554161-6c55-d1cb-16d7-93531e6c76f5</t>
        </is>
      </c>
      <c r="C150" s="9" t="inlineStr">
        <is>
          <t>Trung bình</t>
        </is>
      </c>
      <c r="D150" s="10" t="inlineStr">
        <is>
          <t>PV Oil</t>
        </is>
      </c>
      <c r="E150" s="9" t="inlineStr">
        <is>
          <t>Cây xăng</t>
        </is>
      </c>
      <c r="F150" s="9" t="inlineStr">
        <is>
          <t>OpenStreetMap</t>
        </is>
      </c>
      <c r="G150" s="10" t="inlineStr">
        <is>
          <t>Xã Chư Pưh, Gia Lai</t>
        </is>
      </c>
      <c r="H150" s="9" t="inlineStr">
        <is>
          <t>Xã Chư Pưh</t>
        </is>
      </c>
      <c r="I150" s="11" t="n">
        <v>13.519976</v>
      </c>
      <c r="J150" s="11" t="n">
        <v>108.103163</v>
      </c>
      <c r="K150" s="9" t="inlineStr">
        <is>
          <t>Đã đối chiếu</t>
        </is>
      </c>
      <c r="L150" s="10" t="n"/>
      <c r="M150" s="12" t="inlineStr">
        <is>
          <t>Bản đồ</t>
        </is>
      </c>
      <c r="N150" s="13" t="n"/>
      <c r="O150" s="14" t="n"/>
      <c r="P150" s="14" t="n"/>
      <c r="Q150" s="13" t="n"/>
      <c r="R150" s="15" t="n"/>
      <c r="S150" s="13" t="n"/>
      <c r="T150" s="13" t="n"/>
      <c r="U150" s="16">
        <f>IF(AND(ISNUMBER(O150),ISNUMBER(P150)),ROUND(SQRT(((P150-J150)*111320*COS(RADIANS(I150)))^2+((O150-I150)*110540)^2),0),"")</f>
        <v/>
      </c>
      <c r="V150" s="17">
        <f>IF(N150="","",IF(N150="Sửa vị trí",IF(OR(O150="",P150=""),"Thiếu vĩ độ / kinh độ mới",IF(OR(O150&lt;12.5,O150&gt;15,P150&lt;107,P150&gt;109.6),"Toạ độ ngoài Gia Lai (đảo vĩ/kinh độ?)",IF(Q150="","Chọn cách xác định",IF(U150&gt;20000,"Dời hơn 20 km – kiểm tra lại","OK")))),IF(AND(N150&lt;&gt;"Sửa vị trí",OR(O150&lt;&gt;"",P150&lt;&gt;"")),"Có toạ độ mới nhưng kết quả không phải Sửa vị trí","OK")))</f>
        <v/>
      </c>
    </row>
    <row r="151">
      <c r="A151" s="9" t="n">
        <v>147</v>
      </c>
      <c r="B151" s="9" t="inlineStr">
        <is>
          <t>d1573124-b684-4b63-f203-e5a66a3d3f96</t>
        </is>
      </c>
      <c r="C151" s="9" t="inlineStr">
        <is>
          <t>Trung bình</t>
        </is>
      </c>
      <c r="D151" s="10" t="inlineStr">
        <is>
          <t>Petrolimex</t>
        </is>
      </c>
      <c r="E151" s="9" t="inlineStr">
        <is>
          <t>Cây xăng</t>
        </is>
      </c>
      <c r="F151" s="9" t="inlineStr">
        <is>
          <t>OpenStreetMap</t>
        </is>
      </c>
      <c r="G151" s="10" t="inlineStr">
        <is>
          <t>Xã Chư Pưh, Gia Lai</t>
        </is>
      </c>
      <c r="H151" s="9" t="inlineStr">
        <is>
          <t>Xã Chư Pưh</t>
        </is>
      </c>
      <c r="I151" s="11" t="n">
        <v>13.558993</v>
      </c>
      <c r="J151" s="11" t="n">
        <v>108.101549</v>
      </c>
      <c r="K151" s="9" t="inlineStr">
        <is>
          <t>Đã đối chiếu</t>
        </is>
      </c>
      <c r="L151" s="10" t="n"/>
      <c r="M151" s="12" t="inlineStr">
        <is>
          <t>Bản đồ</t>
        </is>
      </c>
      <c r="N151" s="13" t="n"/>
      <c r="O151" s="14" t="n"/>
      <c r="P151" s="14" t="n"/>
      <c r="Q151" s="13" t="n"/>
      <c r="R151" s="15" t="n"/>
      <c r="S151" s="13" t="n"/>
      <c r="T151" s="13" t="n"/>
      <c r="U151" s="16">
        <f>IF(AND(ISNUMBER(O151),ISNUMBER(P151)),ROUND(SQRT(((P151-J151)*111320*COS(RADIANS(I151)))^2+((O151-I151)*110540)^2),0),"")</f>
        <v/>
      </c>
      <c r="V151" s="17">
        <f>IF(N151="","",IF(N151="Sửa vị trí",IF(OR(O151="",P151=""),"Thiếu vĩ độ / kinh độ mới",IF(OR(O151&lt;12.5,O151&gt;15,P151&lt;107,P151&gt;109.6),"Toạ độ ngoài Gia Lai (đảo vĩ/kinh độ?)",IF(Q151="","Chọn cách xác định",IF(U151&gt;20000,"Dời hơn 20 km – kiểm tra lại","OK")))),IF(AND(N151&lt;&gt;"Sửa vị trí",OR(O151&lt;&gt;"",P151&lt;&gt;"")),"Có toạ độ mới nhưng kết quả không phải Sửa vị trí","OK")))</f>
        <v/>
      </c>
    </row>
    <row r="152">
      <c r="A152" s="9" t="n">
        <v>148</v>
      </c>
      <c r="B152" s="9" t="inlineStr">
        <is>
          <t>c8896203-c7cc-b278-cbcf-0f3b3cf47173</t>
        </is>
      </c>
      <c r="C152" s="9" t="inlineStr">
        <is>
          <t>Trung bình</t>
        </is>
      </c>
      <c r="D152" s="10" t="inlineStr">
        <is>
          <t>Petrolimex</t>
        </is>
      </c>
      <c r="E152" s="9" t="inlineStr">
        <is>
          <t>Cây xăng</t>
        </is>
      </c>
      <c r="F152" s="9" t="inlineStr">
        <is>
          <t>OpenStreetMap</t>
        </is>
      </c>
      <c r="G152" s="10" t="inlineStr">
        <is>
          <t>Xã Chư Pưh, Gia Lai</t>
        </is>
      </c>
      <c r="H152" s="9" t="inlineStr">
        <is>
          <t>Xã Chư Pưh</t>
        </is>
      </c>
      <c r="I152" s="11" t="n">
        <v>13.543796</v>
      </c>
      <c r="J152" s="11" t="n">
        <v>108.100894</v>
      </c>
      <c r="K152" s="9" t="inlineStr">
        <is>
          <t>Đã đối chiếu</t>
        </is>
      </c>
      <c r="L152" s="10" t="n"/>
      <c r="M152" s="12" t="inlineStr">
        <is>
          <t>Bản đồ</t>
        </is>
      </c>
      <c r="N152" s="13" t="n"/>
      <c r="O152" s="14" t="n"/>
      <c r="P152" s="14" t="n"/>
      <c r="Q152" s="13" t="n"/>
      <c r="R152" s="15" t="n"/>
      <c r="S152" s="13" t="n"/>
      <c r="T152" s="13" t="n"/>
      <c r="U152" s="16">
        <f>IF(AND(ISNUMBER(O152),ISNUMBER(P152)),ROUND(SQRT(((P152-J152)*111320*COS(RADIANS(I152)))^2+((O152-I152)*110540)^2),0),"")</f>
        <v/>
      </c>
      <c r="V152" s="17">
        <f>IF(N152="","",IF(N152="Sửa vị trí",IF(OR(O152="",P152=""),"Thiếu vĩ độ / kinh độ mới",IF(OR(O152&lt;12.5,O152&gt;15,P152&lt;107,P152&gt;109.6),"Toạ độ ngoài Gia Lai (đảo vĩ/kinh độ?)",IF(Q152="","Chọn cách xác định",IF(U152&gt;20000,"Dời hơn 20 km – kiểm tra lại","OK")))),IF(AND(N152&lt;&gt;"Sửa vị trí",OR(O152&lt;&gt;"",P152&lt;&gt;"")),"Có toạ độ mới nhưng kết quả không phải Sửa vị trí","OK")))</f>
        <v/>
      </c>
    </row>
    <row r="153">
      <c r="A153" s="9" t="n">
        <v>149</v>
      </c>
      <c r="B153" s="9" t="inlineStr">
        <is>
          <t>5e1b3751-0e0a-a533-ee41-f149ff7f52e6</t>
        </is>
      </c>
      <c r="C153" s="9" t="inlineStr">
        <is>
          <t>Trung bình</t>
        </is>
      </c>
      <c r="D153" s="10" t="inlineStr">
        <is>
          <t>Cây xăng (Xã Chư Sê)</t>
        </is>
      </c>
      <c r="E153" s="9" t="inlineStr">
        <is>
          <t>Cây xăng</t>
        </is>
      </c>
      <c r="F153" s="9" t="inlineStr">
        <is>
          <t>OpenStreetMap</t>
        </is>
      </c>
      <c r="G153" s="10" t="inlineStr">
        <is>
          <t>Xã Chư Sê, Gia Lai</t>
        </is>
      </c>
      <c r="H153" s="9" t="inlineStr">
        <is>
          <t>Xã Chư Sê</t>
        </is>
      </c>
      <c r="I153" s="11" t="n">
        <v>13.677898</v>
      </c>
      <c r="J153" s="11" t="n">
        <v>108.084888</v>
      </c>
      <c r="K153" s="9" t="inlineStr">
        <is>
          <t>Đã đối chiếu</t>
        </is>
      </c>
      <c r="L153" s="10" t="n"/>
      <c r="M153" s="12" t="inlineStr">
        <is>
          <t>Bản đồ</t>
        </is>
      </c>
      <c r="N153" s="13" t="n"/>
      <c r="O153" s="14" t="n"/>
      <c r="P153" s="14" t="n"/>
      <c r="Q153" s="13" t="n"/>
      <c r="R153" s="15" t="n"/>
      <c r="S153" s="13" t="n"/>
      <c r="T153" s="13" t="n"/>
      <c r="U153" s="16">
        <f>IF(AND(ISNUMBER(O153),ISNUMBER(P153)),ROUND(SQRT(((P153-J153)*111320*COS(RADIANS(I153)))^2+((O153-I153)*110540)^2),0),"")</f>
        <v/>
      </c>
      <c r="V153" s="17">
        <f>IF(N153="","",IF(N153="Sửa vị trí",IF(OR(O153="",P153=""),"Thiếu vĩ độ / kinh độ mới",IF(OR(O153&lt;12.5,O153&gt;15,P153&lt;107,P153&gt;109.6),"Toạ độ ngoài Gia Lai (đảo vĩ/kinh độ?)",IF(Q153="","Chọn cách xác định",IF(U153&gt;20000,"Dời hơn 20 km – kiểm tra lại","OK")))),IF(AND(N153&lt;&gt;"Sửa vị trí",OR(O153&lt;&gt;"",P153&lt;&gt;"")),"Có toạ độ mới nhưng kết quả không phải Sửa vị trí","OK")))</f>
        <v/>
      </c>
    </row>
    <row r="154">
      <c r="A154" s="9" t="n">
        <v>150</v>
      </c>
      <c r="B154" s="9" t="inlineStr">
        <is>
          <t>b46d58d2-ac59-0179-80c7-f267ce7bb384</t>
        </is>
      </c>
      <c r="C154" s="9" t="inlineStr">
        <is>
          <t>Trung bình</t>
        </is>
      </c>
      <c r="D154" s="10" t="inlineStr">
        <is>
          <t>Cây xăng (Xã Chư Sê)</t>
        </is>
      </c>
      <c r="E154" s="9" t="inlineStr">
        <is>
          <t>Cây xăng</t>
        </is>
      </c>
      <c r="F154" s="9" t="inlineStr">
        <is>
          <t>OpenStreetMap</t>
        </is>
      </c>
      <c r="G154" s="10" t="inlineStr">
        <is>
          <t>Xã Chư Sê, Gia Lai</t>
        </is>
      </c>
      <c r="H154" s="9" t="inlineStr">
        <is>
          <t>Xã Chư Sê</t>
        </is>
      </c>
      <c r="I154" s="11" t="n">
        <v>13.722631</v>
      </c>
      <c r="J154" s="11" t="n">
        <v>108.063684</v>
      </c>
      <c r="K154" s="9" t="inlineStr">
        <is>
          <t>Đã đối chiếu</t>
        </is>
      </c>
      <c r="L154" s="10" t="n"/>
      <c r="M154" s="12" t="inlineStr">
        <is>
          <t>Bản đồ</t>
        </is>
      </c>
      <c r="N154" s="13" t="n"/>
      <c r="O154" s="14" t="n"/>
      <c r="P154" s="14" t="n"/>
      <c r="Q154" s="13" t="n"/>
      <c r="R154" s="15" t="n"/>
      <c r="S154" s="13" t="n"/>
      <c r="T154" s="13" t="n"/>
      <c r="U154" s="16">
        <f>IF(AND(ISNUMBER(O154),ISNUMBER(P154)),ROUND(SQRT(((P154-J154)*111320*COS(RADIANS(I154)))^2+((O154-I154)*110540)^2),0),"")</f>
        <v/>
      </c>
      <c r="V154" s="17">
        <f>IF(N154="","",IF(N154="Sửa vị trí",IF(OR(O154="",P154=""),"Thiếu vĩ độ / kinh độ mới",IF(OR(O154&lt;12.5,O154&gt;15,P154&lt;107,P154&gt;109.6),"Toạ độ ngoài Gia Lai (đảo vĩ/kinh độ?)",IF(Q154="","Chọn cách xác định",IF(U154&gt;20000,"Dời hơn 20 km – kiểm tra lại","OK")))),IF(AND(N154&lt;&gt;"Sửa vị trí",OR(O154&lt;&gt;"",P154&lt;&gt;"")),"Có toạ độ mới nhưng kết quả không phải Sửa vị trí","OK")))</f>
        <v/>
      </c>
    </row>
    <row r="155">
      <c r="A155" s="9" t="n">
        <v>151</v>
      </c>
      <c r="B155" s="9" t="inlineStr">
        <is>
          <t>36ab398c-5a72-960c-854e-79b7355ee5a1</t>
        </is>
      </c>
      <c r="C155" s="9" t="inlineStr">
        <is>
          <t>Trung bình</t>
        </is>
      </c>
      <c r="D155" s="10" t="inlineStr">
        <is>
          <t>Mipecorp</t>
        </is>
      </c>
      <c r="E155" s="9" t="inlineStr">
        <is>
          <t>Cây xăng</t>
        </is>
      </c>
      <c r="F155" s="9" t="inlineStr">
        <is>
          <t>OpenStreetMap</t>
        </is>
      </c>
      <c r="G155" s="10" t="inlineStr">
        <is>
          <t>Đường 17 Tháng 3, Xã Chư Sê, Gia Lai</t>
        </is>
      </c>
      <c r="H155" s="9" t="inlineStr">
        <is>
          <t>Xã Chư Sê</t>
        </is>
      </c>
      <c r="I155" s="11" t="n">
        <v>13.689239</v>
      </c>
      <c r="J155" s="11" t="n">
        <v>108.083302</v>
      </c>
      <c r="K155" s="9" t="inlineStr">
        <is>
          <t>Đã đối chiếu</t>
        </is>
      </c>
      <c r="L155" s="10" t="n"/>
      <c r="M155" s="12" t="inlineStr">
        <is>
          <t>Bản đồ</t>
        </is>
      </c>
      <c r="N155" s="13" t="n"/>
      <c r="O155" s="14" t="n"/>
      <c r="P155" s="14" t="n"/>
      <c r="Q155" s="13" t="n"/>
      <c r="R155" s="15" t="n"/>
      <c r="S155" s="13" t="n"/>
      <c r="T155" s="13" t="n"/>
      <c r="U155" s="16">
        <f>IF(AND(ISNUMBER(O155),ISNUMBER(P155)),ROUND(SQRT(((P155-J155)*111320*COS(RADIANS(I155)))^2+((O155-I155)*110540)^2),0),"")</f>
        <v/>
      </c>
      <c r="V155" s="17">
        <f>IF(N155="","",IF(N155="Sửa vị trí",IF(OR(O155="",P155=""),"Thiếu vĩ độ / kinh độ mới",IF(OR(O155&lt;12.5,O155&gt;15,P155&lt;107,P155&gt;109.6),"Toạ độ ngoài Gia Lai (đảo vĩ/kinh độ?)",IF(Q155="","Chọn cách xác định",IF(U155&gt;20000,"Dời hơn 20 km – kiểm tra lại","OK")))),IF(AND(N155&lt;&gt;"Sửa vị trí",OR(O155&lt;&gt;"",P155&lt;&gt;"")),"Có toạ độ mới nhưng kết quả không phải Sửa vị trí","OK")))</f>
        <v/>
      </c>
    </row>
    <row r="156">
      <c r="A156" s="9" t="n">
        <v>152</v>
      </c>
      <c r="B156" s="9" t="inlineStr">
        <is>
          <t>6fbc95a2-d0c4-bf60-66a3-9d19ac69c36f</t>
        </is>
      </c>
      <c r="C156" s="9" t="inlineStr">
        <is>
          <t>Trung bình</t>
        </is>
      </c>
      <c r="D156" s="10" t="inlineStr">
        <is>
          <t>PV Oil</t>
        </is>
      </c>
      <c r="E156" s="9" t="inlineStr">
        <is>
          <t>Cây xăng</t>
        </is>
      </c>
      <c r="F156" s="9" t="inlineStr">
        <is>
          <t>OpenStreetMap</t>
        </is>
      </c>
      <c r="G156" s="10" t="inlineStr">
        <is>
          <t>Xã Chư Sê, Gia Lai</t>
        </is>
      </c>
      <c r="H156" s="9" t="inlineStr">
        <is>
          <t>Xã Chư Sê</t>
        </is>
      </c>
      <c r="I156" s="11" t="n">
        <v>13.681539</v>
      </c>
      <c r="J156" s="11" t="n">
        <v>108.083119</v>
      </c>
      <c r="K156" s="9" t="inlineStr">
        <is>
          <t>Đã đối chiếu</t>
        </is>
      </c>
      <c r="L156" s="10" t="n"/>
      <c r="M156" s="12" t="inlineStr">
        <is>
          <t>Bản đồ</t>
        </is>
      </c>
      <c r="N156" s="13" t="n"/>
      <c r="O156" s="14" t="n"/>
      <c r="P156" s="14" t="n"/>
      <c r="Q156" s="13" t="n"/>
      <c r="R156" s="15" t="n"/>
      <c r="S156" s="13" t="n"/>
      <c r="T156" s="13" t="n"/>
      <c r="U156" s="16">
        <f>IF(AND(ISNUMBER(O156),ISNUMBER(P156)),ROUND(SQRT(((P156-J156)*111320*COS(RADIANS(I156)))^2+((O156-I156)*110540)^2),0),"")</f>
        <v/>
      </c>
      <c r="V156" s="17">
        <f>IF(N156="","",IF(N156="Sửa vị trí",IF(OR(O156="",P156=""),"Thiếu vĩ độ / kinh độ mới",IF(OR(O156&lt;12.5,O156&gt;15,P156&lt;107,P156&gt;109.6),"Toạ độ ngoài Gia Lai (đảo vĩ/kinh độ?)",IF(Q156="","Chọn cách xác định",IF(U156&gt;20000,"Dời hơn 20 km – kiểm tra lại","OK")))),IF(AND(N156&lt;&gt;"Sửa vị trí",OR(O156&lt;&gt;"",P156&lt;&gt;"")),"Có toạ độ mới nhưng kết quả không phải Sửa vị trí","OK")))</f>
        <v/>
      </c>
    </row>
    <row r="157">
      <c r="A157" s="9" t="n">
        <v>153</v>
      </c>
      <c r="B157" s="9" t="inlineStr">
        <is>
          <t>75bcf738-e821-e4fd-c4fd-e60e42aceb78</t>
        </is>
      </c>
      <c r="C157" s="9" t="inlineStr">
        <is>
          <t>Trung bình</t>
        </is>
      </c>
      <c r="D157" s="10" t="inlineStr">
        <is>
          <t>PV Oil</t>
        </is>
      </c>
      <c r="E157" s="9" t="inlineStr">
        <is>
          <t>Cây xăng</t>
        </is>
      </c>
      <c r="F157" s="9" t="inlineStr">
        <is>
          <t>OpenStreetMap</t>
        </is>
      </c>
      <c r="G157" s="10" t="inlineStr">
        <is>
          <t>Xã Chư Sê, Gia Lai</t>
        </is>
      </c>
      <c r="H157" s="9" t="inlineStr">
        <is>
          <t>Xã Chư Sê</t>
        </is>
      </c>
      <c r="I157" s="11" t="n">
        <v>13.759939</v>
      </c>
      <c r="J157" s="11" t="n">
        <v>108.028387</v>
      </c>
      <c r="K157" s="9" t="inlineStr">
        <is>
          <t>Đã đối chiếu</t>
        </is>
      </c>
      <c r="L157" s="10" t="n"/>
      <c r="M157" s="12" t="inlineStr">
        <is>
          <t>Bản đồ</t>
        </is>
      </c>
      <c r="N157" s="13" t="n"/>
      <c r="O157" s="14" t="n"/>
      <c r="P157" s="14" t="n"/>
      <c r="Q157" s="13" t="n"/>
      <c r="R157" s="15" t="n"/>
      <c r="S157" s="13" t="n"/>
      <c r="T157" s="13" t="n"/>
      <c r="U157" s="16">
        <f>IF(AND(ISNUMBER(O157),ISNUMBER(P157)),ROUND(SQRT(((P157-J157)*111320*COS(RADIANS(I157)))^2+((O157-I157)*110540)^2),0),"")</f>
        <v/>
      </c>
      <c r="V157" s="17">
        <f>IF(N157="","",IF(N157="Sửa vị trí",IF(OR(O157="",P157=""),"Thiếu vĩ độ / kinh độ mới",IF(OR(O157&lt;12.5,O157&gt;15,P157&lt;107,P157&gt;109.6),"Toạ độ ngoài Gia Lai (đảo vĩ/kinh độ?)",IF(Q157="","Chọn cách xác định",IF(U157&gt;20000,"Dời hơn 20 km – kiểm tra lại","OK")))),IF(AND(N157&lt;&gt;"Sửa vị trí",OR(O157&lt;&gt;"",P157&lt;&gt;"")),"Có toạ độ mới nhưng kết quả không phải Sửa vị trí","OK")))</f>
        <v/>
      </c>
    </row>
    <row r="158">
      <c r="A158" s="9" t="n">
        <v>154</v>
      </c>
      <c r="B158" s="9" t="inlineStr">
        <is>
          <t>02813cb9-1e38-f1a5-dc8f-29b738eadace</t>
        </is>
      </c>
      <c r="C158" s="9" t="inlineStr">
        <is>
          <t>Trung bình</t>
        </is>
      </c>
      <c r="D158" s="10" t="inlineStr">
        <is>
          <t>PV Oil</t>
        </is>
      </c>
      <c r="E158" s="9" t="inlineStr">
        <is>
          <t>Cây xăng</t>
        </is>
      </c>
      <c r="F158" s="9" t="inlineStr">
        <is>
          <t>OpenStreetMap</t>
        </is>
      </c>
      <c r="G158" s="10" t="inlineStr">
        <is>
          <t>Xã Chư Sê, Gia Lai</t>
        </is>
      </c>
      <c r="H158" s="9" t="inlineStr">
        <is>
          <t>Xã Chư Sê</t>
        </is>
      </c>
      <c r="I158" s="11" t="n">
        <v>13.662796</v>
      </c>
      <c r="J158" s="11" t="n">
        <v>108.119276</v>
      </c>
      <c r="K158" s="9" t="inlineStr">
        <is>
          <t>Đã đối chiếu</t>
        </is>
      </c>
      <c r="L158" s="10" t="n"/>
      <c r="M158" s="12" t="inlineStr">
        <is>
          <t>Bản đồ</t>
        </is>
      </c>
      <c r="N158" s="13" t="n"/>
      <c r="O158" s="14" t="n"/>
      <c r="P158" s="14" t="n"/>
      <c r="Q158" s="13" t="n"/>
      <c r="R158" s="15" t="n"/>
      <c r="S158" s="13" t="n"/>
      <c r="T158" s="13" t="n"/>
      <c r="U158" s="16">
        <f>IF(AND(ISNUMBER(O158),ISNUMBER(P158)),ROUND(SQRT(((P158-J158)*111320*COS(RADIANS(I158)))^2+((O158-I158)*110540)^2),0),"")</f>
        <v/>
      </c>
      <c r="V158" s="17">
        <f>IF(N158="","",IF(N158="Sửa vị trí",IF(OR(O158="",P158=""),"Thiếu vĩ độ / kinh độ mới",IF(OR(O158&lt;12.5,O158&gt;15,P158&lt;107,P158&gt;109.6),"Toạ độ ngoài Gia Lai (đảo vĩ/kinh độ?)",IF(Q158="","Chọn cách xác định",IF(U158&gt;20000,"Dời hơn 20 km – kiểm tra lại","OK")))),IF(AND(N158&lt;&gt;"Sửa vị trí",OR(O158&lt;&gt;"",P158&lt;&gt;"")),"Có toạ độ mới nhưng kết quả không phải Sửa vị trí","OK")))</f>
        <v/>
      </c>
    </row>
    <row r="159">
      <c r="A159" s="9" t="n">
        <v>155</v>
      </c>
      <c r="B159" s="9" t="inlineStr">
        <is>
          <t>b467871a-62bf-b5dd-3c8e-22e43a5f8e5d</t>
        </is>
      </c>
      <c r="C159" s="9" t="inlineStr">
        <is>
          <t>Trung bình</t>
        </is>
      </c>
      <c r="D159" s="10" t="inlineStr">
        <is>
          <t>Petrolimex</t>
        </is>
      </c>
      <c r="E159" s="9" t="inlineStr">
        <is>
          <t>Cây xăng</t>
        </is>
      </c>
      <c r="F159" s="9" t="inlineStr">
        <is>
          <t>OpenStreetMap</t>
        </is>
      </c>
      <c r="G159" s="10" t="inlineStr">
        <is>
          <t>Xã Chư Sê, Gia Lai</t>
        </is>
      </c>
      <c r="H159" s="9" t="inlineStr">
        <is>
          <t>Xã Chư Sê</t>
        </is>
      </c>
      <c r="I159" s="11" t="n">
        <v>13.728538</v>
      </c>
      <c r="J159" s="11" t="n">
        <v>108.054636</v>
      </c>
      <c r="K159" s="9" t="inlineStr">
        <is>
          <t>Đã đối chiếu</t>
        </is>
      </c>
      <c r="L159" s="10" t="n"/>
      <c r="M159" s="12" t="inlineStr">
        <is>
          <t>Bản đồ</t>
        </is>
      </c>
      <c r="N159" s="13" t="n"/>
      <c r="O159" s="14" t="n"/>
      <c r="P159" s="14" t="n"/>
      <c r="Q159" s="13" t="n"/>
      <c r="R159" s="15" t="n"/>
      <c r="S159" s="13" t="n"/>
      <c r="T159" s="13" t="n"/>
      <c r="U159" s="16">
        <f>IF(AND(ISNUMBER(O159),ISNUMBER(P159)),ROUND(SQRT(((P159-J159)*111320*COS(RADIANS(I159)))^2+((O159-I159)*110540)^2),0),"")</f>
        <v/>
      </c>
      <c r="V159" s="17">
        <f>IF(N159="","",IF(N159="Sửa vị trí",IF(OR(O159="",P159=""),"Thiếu vĩ độ / kinh độ mới",IF(OR(O159&lt;12.5,O159&gt;15,P159&lt;107,P159&gt;109.6),"Toạ độ ngoài Gia Lai (đảo vĩ/kinh độ?)",IF(Q159="","Chọn cách xác định",IF(U159&gt;20000,"Dời hơn 20 km – kiểm tra lại","OK")))),IF(AND(N159&lt;&gt;"Sửa vị trí",OR(O159&lt;&gt;"",P159&lt;&gt;"")),"Có toạ độ mới nhưng kết quả không phải Sửa vị trí","OK")))</f>
        <v/>
      </c>
    </row>
    <row r="160">
      <c r="A160" s="9" t="n">
        <v>156</v>
      </c>
      <c r="B160" s="9" t="inlineStr">
        <is>
          <t>3dd79766-07ec-7889-d0ac-2d797f47789e</t>
        </is>
      </c>
      <c r="C160" s="9" t="inlineStr">
        <is>
          <t>Trung bình</t>
        </is>
      </c>
      <c r="D160" s="10" t="inlineStr">
        <is>
          <t>Petrolimex</t>
        </is>
      </c>
      <c r="E160" s="9" t="inlineStr">
        <is>
          <t>Cây xăng</t>
        </is>
      </c>
      <c r="F160" s="9" t="inlineStr">
        <is>
          <t>OpenStreetMap</t>
        </is>
      </c>
      <c r="G160" s="10" t="inlineStr">
        <is>
          <t>Xã Chư Sê, Gia Lai</t>
        </is>
      </c>
      <c r="H160" s="9" t="inlineStr">
        <is>
          <t>Xã Chư Sê</t>
        </is>
      </c>
      <c r="I160" s="11" t="n">
        <v>13.724274</v>
      </c>
      <c r="J160" s="11" t="n">
        <v>108.061524</v>
      </c>
      <c r="K160" s="9" t="inlineStr">
        <is>
          <t>Đã đối chiếu</t>
        </is>
      </c>
      <c r="L160" s="10" t="n"/>
      <c r="M160" s="12" t="inlineStr">
        <is>
          <t>Bản đồ</t>
        </is>
      </c>
      <c r="N160" s="13" t="n"/>
      <c r="O160" s="14" t="n"/>
      <c r="P160" s="14" t="n"/>
      <c r="Q160" s="13" t="n"/>
      <c r="R160" s="15" t="n"/>
      <c r="S160" s="13" t="n"/>
      <c r="T160" s="13" t="n"/>
      <c r="U160" s="16">
        <f>IF(AND(ISNUMBER(O160),ISNUMBER(P160)),ROUND(SQRT(((P160-J160)*111320*COS(RADIANS(I160)))^2+((O160-I160)*110540)^2),0),"")</f>
        <v/>
      </c>
      <c r="V160" s="17">
        <f>IF(N160="","",IF(N160="Sửa vị trí",IF(OR(O160="",P160=""),"Thiếu vĩ độ / kinh độ mới",IF(OR(O160&lt;12.5,O160&gt;15,P160&lt;107,P160&gt;109.6),"Toạ độ ngoài Gia Lai (đảo vĩ/kinh độ?)",IF(Q160="","Chọn cách xác định",IF(U160&gt;20000,"Dời hơn 20 km – kiểm tra lại","OK")))),IF(AND(N160&lt;&gt;"Sửa vị trí",OR(O160&lt;&gt;"",P160&lt;&gt;"")),"Có toạ độ mới nhưng kết quả không phải Sửa vị trí","OK")))</f>
        <v/>
      </c>
    </row>
    <row r="161">
      <c r="A161" s="9" t="n">
        <v>157</v>
      </c>
      <c r="B161" s="9" t="inlineStr">
        <is>
          <t>3b423e77-fc91-95d7-8173-7b92d505826b</t>
        </is>
      </c>
      <c r="C161" s="9" t="inlineStr">
        <is>
          <t>Trung bình</t>
        </is>
      </c>
      <c r="D161" s="10" t="inlineStr">
        <is>
          <t>Petrolimex</t>
        </is>
      </c>
      <c r="E161" s="9" t="inlineStr">
        <is>
          <t>Cây xăng</t>
        </is>
      </c>
      <c r="F161" s="9" t="inlineStr">
        <is>
          <t>OpenStreetMap</t>
        </is>
      </c>
      <c r="G161" s="10" t="inlineStr">
        <is>
          <t>Xã Chư Sê, Gia Lai</t>
        </is>
      </c>
      <c r="H161" s="9" t="inlineStr">
        <is>
          <t>Xã Chư Sê</t>
        </is>
      </c>
      <c r="I161" s="11" t="n">
        <v>13.703099</v>
      </c>
      <c r="J161" s="11" t="n">
        <v>108.070998</v>
      </c>
      <c r="K161" s="9" t="inlineStr">
        <is>
          <t>Đã đối chiếu</t>
        </is>
      </c>
      <c r="L161" s="10" t="n"/>
      <c r="M161" s="12" t="inlineStr">
        <is>
          <t>Bản đồ</t>
        </is>
      </c>
      <c r="N161" s="13" t="n"/>
      <c r="O161" s="14" t="n"/>
      <c r="P161" s="14" t="n"/>
      <c r="Q161" s="13" t="n"/>
      <c r="R161" s="15" t="n"/>
      <c r="S161" s="13" t="n"/>
      <c r="T161" s="13" t="n"/>
      <c r="U161" s="16">
        <f>IF(AND(ISNUMBER(O161),ISNUMBER(P161)),ROUND(SQRT(((P161-J161)*111320*COS(RADIANS(I161)))^2+((O161-I161)*110540)^2),0),"")</f>
        <v/>
      </c>
      <c r="V161" s="17">
        <f>IF(N161="","",IF(N161="Sửa vị trí",IF(OR(O161="",P161=""),"Thiếu vĩ độ / kinh độ mới",IF(OR(O161&lt;12.5,O161&gt;15,P161&lt;107,P161&gt;109.6),"Toạ độ ngoài Gia Lai (đảo vĩ/kinh độ?)",IF(Q161="","Chọn cách xác định",IF(U161&gt;20000,"Dời hơn 20 km – kiểm tra lại","OK")))),IF(AND(N161&lt;&gt;"Sửa vị trí",OR(O161&lt;&gt;"",P161&lt;&gt;"")),"Có toạ độ mới nhưng kết quả không phải Sửa vị trí","OK")))</f>
        <v/>
      </c>
    </row>
    <row r="162">
      <c r="A162" s="9" t="n">
        <v>158</v>
      </c>
      <c r="B162" s="9" t="inlineStr">
        <is>
          <t>214e7084-9280-0a1a-7467-aa4ef94991fd</t>
        </is>
      </c>
      <c r="C162" s="9" t="inlineStr">
        <is>
          <t>Trung bình</t>
        </is>
      </c>
      <c r="D162" s="10" t="inlineStr">
        <is>
          <t>Petrolimex</t>
        </is>
      </c>
      <c r="E162" s="9" t="inlineStr">
        <is>
          <t>Cây xăng</t>
        </is>
      </c>
      <c r="F162" s="9" t="inlineStr">
        <is>
          <t>OpenStreetMap</t>
        </is>
      </c>
      <c r="G162" s="10" t="inlineStr">
        <is>
          <t>805 Đường Hùng Vương, Xã Chư Sê, Gia Lai</t>
        </is>
      </c>
      <c r="H162" s="9" t="inlineStr">
        <is>
          <t>Xã Chư Sê</t>
        </is>
      </c>
      <c r="I162" s="11" t="n">
        <v>13.695136</v>
      </c>
      <c r="J162" s="11" t="n">
        <v>108.077015</v>
      </c>
      <c r="K162" s="9" t="inlineStr">
        <is>
          <t>Đã đối chiếu</t>
        </is>
      </c>
      <c r="L162" s="10" t="n"/>
      <c r="M162" s="12" t="inlineStr">
        <is>
          <t>Bản đồ</t>
        </is>
      </c>
      <c r="N162" s="13" t="n"/>
      <c r="O162" s="14" t="n"/>
      <c r="P162" s="14" t="n"/>
      <c r="Q162" s="13" t="n"/>
      <c r="R162" s="15" t="n"/>
      <c r="S162" s="13" t="n"/>
      <c r="T162" s="13" t="n"/>
      <c r="U162" s="16">
        <f>IF(AND(ISNUMBER(O162),ISNUMBER(P162)),ROUND(SQRT(((P162-J162)*111320*COS(RADIANS(I162)))^2+((O162-I162)*110540)^2),0),"")</f>
        <v/>
      </c>
      <c r="V162" s="17">
        <f>IF(N162="","",IF(N162="Sửa vị trí",IF(OR(O162="",P162=""),"Thiếu vĩ độ / kinh độ mới",IF(OR(O162&lt;12.5,O162&gt;15,P162&lt;107,P162&gt;109.6),"Toạ độ ngoài Gia Lai (đảo vĩ/kinh độ?)",IF(Q162="","Chọn cách xác định",IF(U162&gt;20000,"Dời hơn 20 km – kiểm tra lại","OK")))),IF(AND(N162&lt;&gt;"Sửa vị trí",OR(O162&lt;&gt;"",P162&lt;&gt;"")),"Có toạ độ mới nhưng kết quả không phải Sửa vị trí","OK")))</f>
        <v/>
      </c>
    </row>
    <row r="163">
      <c r="A163" s="9" t="n">
        <v>159</v>
      </c>
      <c r="B163" s="9" t="inlineStr">
        <is>
          <t>8efc0bb7-7575-a21f-0695-417cd3cf3855</t>
        </is>
      </c>
      <c r="C163" s="9" t="inlineStr">
        <is>
          <t>Trung bình</t>
        </is>
      </c>
      <c r="D163" s="10" t="inlineStr">
        <is>
          <t>Duong Dong Petro</t>
        </is>
      </c>
      <c r="E163" s="9" t="inlineStr">
        <is>
          <t>Cây xăng</t>
        </is>
      </c>
      <c r="F163" s="9" t="inlineStr">
        <is>
          <t>OpenStreetMap</t>
        </is>
      </c>
      <c r="G163" s="10" t="inlineStr">
        <is>
          <t>Xã Cát Tiến, Gia Lai</t>
        </is>
      </c>
      <c r="H163" s="9" t="inlineStr">
        <is>
          <t>Xã Cát Tiến</t>
        </is>
      </c>
      <c r="I163" s="11" t="n">
        <v>14.079647</v>
      </c>
      <c r="J163" s="11" t="n">
        <v>109.192584</v>
      </c>
      <c r="K163" s="9" t="inlineStr">
        <is>
          <t>Đã đối chiếu</t>
        </is>
      </c>
      <c r="L163" s="10" t="n"/>
      <c r="M163" s="12" t="inlineStr">
        <is>
          <t>Bản đồ</t>
        </is>
      </c>
      <c r="N163" s="13" t="n"/>
      <c r="O163" s="14" t="n"/>
      <c r="P163" s="14" t="n"/>
      <c r="Q163" s="13" t="n"/>
      <c r="R163" s="15" t="n"/>
      <c r="S163" s="13" t="n"/>
      <c r="T163" s="13" t="n"/>
      <c r="U163" s="16">
        <f>IF(AND(ISNUMBER(O163),ISNUMBER(P163)),ROUND(SQRT(((P163-J163)*111320*COS(RADIANS(I163)))^2+((O163-I163)*110540)^2),0),"")</f>
        <v/>
      </c>
      <c r="V163" s="17">
        <f>IF(N163="","",IF(N163="Sửa vị trí",IF(OR(O163="",P163=""),"Thiếu vĩ độ / kinh độ mới",IF(OR(O163&lt;12.5,O163&gt;15,P163&lt;107,P163&gt;109.6),"Toạ độ ngoài Gia Lai (đảo vĩ/kinh độ?)",IF(Q163="","Chọn cách xác định",IF(U163&gt;20000,"Dời hơn 20 km – kiểm tra lại","OK")))),IF(AND(N163&lt;&gt;"Sửa vị trí",OR(O163&lt;&gt;"",P163&lt;&gt;"")),"Có toạ độ mới nhưng kết quả không phải Sửa vị trí","OK")))</f>
        <v/>
      </c>
    </row>
    <row r="164">
      <c r="A164" s="9" t="n">
        <v>160</v>
      </c>
      <c r="B164" s="9" t="inlineStr">
        <is>
          <t>5acf0f92-9550-729c-c707-9f3ebba702e5</t>
        </is>
      </c>
      <c r="C164" s="9" t="inlineStr">
        <is>
          <t>Trung bình</t>
        </is>
      </c>
      <c r="D164" s="10" t="inlineStr">
        <is>
          <t>Petec Bidico Fuel Station</t>
        </is>
      </c>
      <c r="E164" s="9" t="inlineStr">
        <is>
          <t>Cây xăng</t>
        </is>
      </c>
      <c r="F164" s="9" t="inlineStr">
        <is>
          <t>OpenStreetMap</t>
        </is>
      </c>
      <c r="G164" s="10" t="inlineStr">
        <is>
          <t>Xã Cát Tiến, Gia Lai</t>
        </is>
      </c>
      <c r="H164" s="9" t="inlineStr">
        <is>
          <t>Xã Cát Tiến</t>
        </is>
      </c>
      <c r="I164" s="11" t="n">
        <v>14.021781</v>
      </c>
      <c r="J164" s="11" t="n">
        <v>109.237942</v>
      </c>
      <c r="K164" s="9" t="inlineStr">
        <is>
          <t>Đã đối chiếu</t>
        </is>
      </c>
      <c r="L164" s="10" t="n"/>
      <c r="M164" s="12" t="inlineStr">
        <is>
          <t>Bản đồ</t>
        </is>
      </c>
      <c r="N164" s="13" t="n"/>
      <c r="O164" s="14" t="n"/>
      <c r="P164" s="14" t="n"/>
      <c r="Q164" s="13" t="n"/>
      <c r="R164" s="15" t="n"/>
      <c r="S164" s="13" t="n"/>
      <c r="T164" s="13" t="n"/>
      <c r="U164" s="16">
        <f>IF(AND(ISNUMBER(O164),ISNUMBER(P164)),ROUND(SQRT(((P164-J164)*111320*COS(RADIANS(I164)))^2+((O164-I164)*110540)^2),0),"")</f>
        <v/>
      </c>
      <c r="V164" s="17">
        <f>IF(N164="","",IF(N164="Sửa vị trí",IF(OR(O164="",P164=""),"Thiếu vĩ độ / kinh độ mới",IF(OR(O164&lt;12.5,O164&gt;15,P164&lt;107,P164&gt;109.6),"Toạ độ ngoài Gia Lai (đảo vĩ/kinh độ?)",IF(Q164="","Chọn cách xác định",IF(U164&gt;20000,"Dời hơn 20 km – kiểm tra lại","OK")))),IF(AND(N164&lt;&gt;"Sửa vị trí",OR(O164&lt;&gt;"",P164&lt;&gt;"")),"Có toạ độ mới nhưng kết quả không phải Sửa vị trí","OK")))</f>
        <v/>
      </c>
    </row>
    <row r="165">
      <c r="A165" s="9" t="n">
        <v>161</v>
      </c>
      <c r="B165" s="9" t="inlineStr">
        <is>
          <t>0e609155-8a10-5d3b-0f7e-43b4cedd9ecb</t>
        </is>
      </c>
      <c r="C165" s="9" t="inlineStr">
        <is>
          <t>Trung bình</t>
        </is>
      </c>
      <c r="D165" s="10" t="inlineStr">
        <is>
          <t>Petrolimex</t>
        </is>
      </c>
      <c r="E165" s="9" t="inlineStr">
        <is>
          <t>Cây xăng</t>
        </is>
      </c>
      <c r="F165" s="9" t="inlineStr">
        <is>
          <t>OpenStreetMap</t>
        </is>
      </c>
      <c r="G165" s="10" t="inlineStr">
        <is>
          <t>Xã Cát Tiến, Gia Lai</t>
        </is>
      </c>
      <c r="H165" s="9" t="inlineStr">
        <is>
          <t>Xã Cát Tiến</t>
        </is>
      </c>
      <c r="I165" s="11" t="n">
        <v>14.004822</v>
      </c>
      <c r="J165" s="11" t="n">
        <v>109.244458</v>
      </c>
      <c r="K165" s="9" t="inlineStr">
        <is>
          <t>Đã đối chiếu</t>
        </is>
      </c>
      <c r="L165" s="10" t="n"/>
      <c r="M165" s="12" t="inlineStr">
        <is>
          <t>Bản đồ</t>
        </is>
      </c>
      <c r="N165" s="13" t="n"/>
      <c r="O165" s="14" t="n"/>
      <c r="P165" s="14" t="n"/>
      <c r="Q165" s="13" t="n"/>
      <c r="R165" s="15" t="n"/>
      <c r="S165" s="13" t="n"/>
      <c r="T165" s="13" t="n"/>
      <c r="U165" s="16">
        <f>IF(AND(ISNUMBER(O165),ISNUMBER(P165)),ROUND(SQRT(((P165-J165)*111320*COS(RADIANS(I165)))^2+((O165-I165)*110540)^2),0),"")</f>
        <v/>
      </c>
      <c r="V165" s="17">
        <f>IF(N165="","",IF(N165="Sửa vị trí",IF(OR(O165="",P165=""),"Thiếu vĩ độ / kinh độ mới",IF(OR(O165&lt;12.5,O165&gt;15,P165&lt;107,P165&gt;109.6),"Toạ độ ngoài Gia Lai (đảo vĩ/kinh độ?)",IF(Q165="","Chọn cách xác định",IF(U165&gt;20000,"Dời hơn 20 km – kiểm tra lại","OK")))),IF(AND(N165&lt;&gt;"Sửa vị trí",OR(O165&lt;&gt;"",P165&lt;&gt;"")),"Có toạ độ mới nhưng kết quả không phải Sửa vị trí","OK")))</f>
        <v/>
      </c>
    </row>
    <row r="166">
      <c r="A166" s="9" t="n">
        <v>162</v>
      </c>
      <c r="B166" s="9" t="inlineStr">
        <is>
          <t>a47e3fcd-d752-af85-4f5e-31f178a7a81d</t>
        </is>
      </c>
      <c r="C166" s="9" t="inlineStr">
        <is>
          <t>Trung bình</t>
        </is>
      </c>
      <c r="D166" s="10" t="inlineStr">
        <is>
          <t>Q.J. Co.</t>
        </is>
      </c>
      <c r="E166" s="9" t="inlineStr">
        <is>
          <t>Cây xăng</t>
        </is>
      </c>
      <c r="F166" s="9" t="inlineStr">
        <is>
          <t>OpenStreetMap</t>
        </is>
      </c>
      <c r="G166" s="10" t="inlineStr">
        <is>
          <t>Xã Cát Tiến, Gia Lai</t>
        </is>
      </c>
      <c r="H166" s="9" t="inlineStr">
        <is>
          <t>Xã Cát Tiến</t>
        </is>
      </c>
      <c r="I166" s="11" t="n">
        <v>13.944241</v>
      </c>
      <c r="J166" s="11" t="n">
        <v>109.232625</v>
      </c>
      <c r="K166" s="9" t="inlineStr">
        <is>
          <t>Đã đối chiếu</t>
        </is>
      </c>
      <c r="L166" s="10" t="n"/>
      <c r="M166" s="12" t="inlineStr">
        <is>
          <t>Bản đồ</t>
        </is>
      </c>
      <c r="N166" s="13" t="n"/>
      <c r="O166" s="14" t="n"/>
      <c r="P166" s="14" t="n"/>
      <c r="Q166" s="13" t="n"/>
      <c r="R166" s="15" t="n"/>
      <c r="S166" s="13" t="n"/>
      <c r="T166" s="13" t="n"/>
      <c r="U166" s="16">
        <f>IF(AND(ISNUMBER(O166),ISNUMBER(P166)),ROUND(SQRT(((P166-J166)*111320*COS(RADIANS(I166)))^2+((O166-I166)*110540)^2),0),"")</f>
        <v/>
      </c>
      <c r="V166" s="17">
        <f>IF(N166="","",IF(N166="Sửa vị trí",IF(OR(O166="",P166=""),"Thiếu vĩ độ / kinh độ mới",IF(OR(O166&lt;12.5,O166&gt;15,P166&lt;107,P166&gt;109.6),"Toạ độ ngoài Gia Lai (đảo vĩ/kinh độ?)",IF(Q166="","Chọn cách xác định",IF(U166&gt;20000,"Dời hơn 20 km – kiểm tra lại","OK")))),IF(AND(N166&lt;&gt;"Sửa vị trí",OR(O166&lt;&gt;"",P166&lt;&gt;"")),"Có toạ độ mới nhưng kết quả không phải Sửa vị trí","OK")))</f>
        <v/>
      </c>
    </row>
    <row r="167">
      <c r="A167" s="9" t="n">
        <v>163</v>
      </c>
      <c r="B167" s="9" t="inlineStr">
        <is>
          <t>b88bf145-1fa6-604c-29a0-33d445e01735</t>
        </is>
      </c>
      <c r="C167" s="9" t="inlineStr">
        <is>
          <t>Trung bình</t>
        </is>
      </c>
      <c r="D167" s="10" t="inlineStr">
        <is>
          <t>Petrolimex</t>
        </is>
      </c>
      <c r="E167" s="9" t="inlineStr">
        <is>
          <t>Cây xăng</t>
        </is>
      </c>
      <c r="F167" s="9" t="inlineStr">
        <is>
          <t>OpenStreetMap</t>
        </is>
      </c>
      <c r="G167" s="10" t="inlineStr">
        <is>
          <t>Xã Cửu An, Gia Lai</t>
        </is>
      </c>
      <c r="H167" s="9" t="inlineStr">
        <is>
          <t>Xã Cửu An</t>
        </is>
      </c>
      <c r="I167" s="11" t="n">
        <v>13.978074</v>
      </c>
      <c r="J167" s="11" t="n">
        <v>108.701436</v>
      </c>
      <c r="K167" s="9" t="inlineStr">
        <is>
          <t>Đã đối chiếu</t>
        </is>
      </c>
      <c r="L167" s="10" t="n"/>
      <c r="M167" s="12" t="inlineStr">
        <is>
          <t>Bản đồ</t>
        </is>
      </c>
      <c r="N167" s="13" t="n"/>
      <c r="O167" s="14" t="n"/>
      <c r="P167" s="14" t="n"/>
      <c r="Q167" s="13" t="n"/>
      <c r="R167" s="15" t="n"/>
      <c r="S167" s="13" t="n"/>
      <c r="T167" s="13" t="n"/>
      <c r="U167" s="16">
        <f>IF(AND(ISNUMBER(O167),ISNUMBER(P167)),ROUND(SQRT(((P167-J167)*111320*COS(RADIANS(I167)))^2+((O167-I167)*110540)^2),0),"")</f>
        <v/>
      </c>
      <c r="V167" s="17">
        <f>IF(N167="","",IF(N167="Sửa vị trí",IF(OR(O167="",P167=""),"Thiếu vĩ độ / kinh độ mới",IF(OR(O167&lt;12.5,O167&gt;15,P167&lt;107,P167&gt;109.6),"Toạ độ ngoài Gia Lai (đảo vĩ/kinh độ?)",IF(Q167="","Chọn cách xác định",IF(U167&gt;20000,"Dời hơn 20 km – kiểm tra lại","OK")))),IF(AND(N167&lt;&gt;"Sửa vị trí",OR(O167&lt;&gt;"",P167&lt;&gt;"")),"Có toạ độ mới nhưng kết quả không phải Sửa vị trí","OK")))</f>
        <v/>
      </c>
    </row>
    <row r="168">
      <c r="A168" s="9" t="n">
        <v>164</v>
      </c>
      <c r="B168" s="9" t="inlineStr">
        <is>
          <t>4ded9492-b35d-162c-1247-3d2148237b52</t>
        </is>
      </c>
      <c r="C168" s="9" t="inlineStr">
        <is>
          <t>Trung bình</t>
        </is>
      </c>
      <c r="D168" s="10" t="inlineStr">
        <is>
          <t>Petrolimex</t>
        </is>
      </c>
      <c r="E168" s="9" t="inlineStr">
        <is>
          <t>Cây xăng</t>
        </is>
      </c>
      <c r="F168" s="9" t="inlineStr">
        <is>
          <t>OpenStreetMap</t>
        </is>
      </c>
      <c r="G168" s="10" t="inlineStr">
        <is>
          <t>Xã Gào, Gia Lai</t>
        </is>
      </c>
      <c r="H168" s="9" t="inlineStr">
        <is>
          <t>Xã Gào</t>
        </is>
      </c>
      <c r="I168" s="11" t="n">
        <v>13.919783</v>
      </c>
      <c r="J168" s="11" t="n">
        <v>108.004922</v>
      </c>
      <c r="K168" s="9" t="inlineStr">
        <is>
          <t>Đã đối chiếu</t>
        </is>
      </c>
      <c r="L168" s="10" t="n"/>
      <c r="M168" s="12" t="inlineStr">
        <is>
          <t>Bản đồ</t>
        </is>
      </c>
      <c r="N168" s="13" t="n"/>
      <c r="O168" s="14" t="n"/>
      <c r="P168" s="14" t="n"/>
      <c r="Q168" s="13" t="n"/>
      <c r="R168" s="15" t="n"/>
      <c r="S168" s="13" t="n"/>
      <c r="T168" s="13" t="n"/>
      <c r="U168" s="16">
        <f>IF(AND(ISNUMBER(O168),ISNUMBER(P168)),ROUND(SQRT(((P168-J168)*111320*COS(RADIANS(I168)))^2+((O168-I168)*110540)^2),0),"")</f>
        <v/>
      </c>
      <c r="V168" s="17">
        <f>IF(N168="","",IF(N168="Sửa vị trí",IF(OR(O168="",P168=""),"Thiếu vĩ độ / kinh độ mới",IF(OR(O168&lt;12.5,O168&gt;15,P168&lt;107,P168&gt;109.6),"Toạ độ ngoài Gia Lai (đảo vĩ/kinh độ?)",IF(Q168="","Chọn cách xác định",IF(U168&gt;20000,"Dời hơn 20 km – kiểm tra lại","OK")))),IF(AND(N168&lt;&gt;"Sửa vị trí",OR(O168&lt;&gt;"",P168&lt;&gt;"")),"Có toạ độ mới nhưng kết quả không phải Sửa vị trí","OK")))</f>
        <v/>
      </c>
    </row>
    <row r="169">
      <c r="A169" s="9" t="n">
        <v>165</v>
      </c>
      <c r="B169" s="9" t="inlineStr">
        <is>
          <t>43a021ac-9c34-2366-0b6a-a3c5f36ae9a7</t>
        </is>
      </c>
      <c r="C169" s="9" t="inlineStr">
        <is>
          <t>Trung bình</t>
        </is>
      </c>
      <c r="D169" s="10" t="inlineStr">
        <is>
          <t>Cây xăng (Xã Ia Dom)</t>
        </is>
      </c>
      <c r="E169" s="9" t="inlineStr">
        <is>
          <t>Cây xăng</t>
        </is>
      </c>
      <c r="F169" s="9" t="inlineStr">
        <is>
          <t>OpenStreetMap</t>
        </is>
      </c>
      <c r="G169" s="10" t="inlineStr">
        <is>
          <t>Xã Ia Dom, Gia Lai</t>
        </is>
      </c>
      <c r="H169" s="9" t="inlineStr">
        <is>
          <t>Xã Ia Dom</t>
        </is>
      </c>
      <c r="I169" s="11" t="n">
        <v>13.767421</v>
      </c>
      <c r="J169" s="11" t="n">
        <v>107.513092</v>
      </c>
      <c r="K169" s="9" t="inlineStr">
        <is>
          <t>Đã đối chiếu</t>
        </is>
      </c>
      <c r="L169" s="10" t="n"/>
      <c r="M169" s="12" t="inlineStr">
        <is>
          <t>Bản đồ</t>
        </is>
      </c>
      <c r="N169" s="13" t="n"/>
      <c r="O169" s="14" t="n"/>
      <c r="P169" s="14" t="n"/>
      <c r="Q169" s="13" t="n"/>
      <c r="R169" s="15" t="n"/>
      <c r="S169" s="13" t="n"/>
      <c r="T169" s="13" t="n"/>
      <c r="U169" s="16">
        <f>IF(AND(ISNUMBER(O169),ISNUMBER(P169)),ROUND(SQRT(((P169-J169)*111320*COS(RADIANS(I169)))^2+((O169-I169)*110540)^2),0),"")</f>
        <v/>
      </c>
      <c r="V169" s="17">
        <f>IF(N169="","",IF(N169="Sửa vị trí",IF(OR(O169="",P169=""),"Thiếu vĩ độ / kinh độ mới",IF(OR(O169&lt;12.5,O169&gt;15,P169&lt;107,P169&gt;109.6),"Toạ độ ngoài Gia Lai (đảo vĩ/kinh độ?)",IF(Q169="","Chọn cách xác định",IF(U169&gt;20000,"Dời hơn 20 km – kiểm tra lại","OK")))),IF(AND(N169&lt;&gt;"Sửa vị trí",OR(O169&lt;&gt;"",P169&lt;&gt;"")),"Có toạ độ mới nhưng kết quả không phải Sửa vị trí","OK")))</f>
        <v/>
      </c>
    </row>
    <row r="170">
      <c r="A170" s="9" t="n">
        <v>166</v>
      </c>
      <c r="B170" s="9" t="inlineStr">
        <is>
          <t>066271e8-fcd7-1109-36a7-a11e6fa31440</t>
        </is>
      </c>
      <c r="C170" s="9" t="inlineStr">
        <is>
          <t>Trung bình</t>
        </is>
      </c>
      <c r="D170" s="10" t="inlineStr">
        <is>
          <t>Cửa hàng Xăng dầu</t>
        </is>
      </c>
      <c r="E170" s="9" t="inlineStr">
        <is>
          <t>Cây xăng</t>
        </is>
      </c>
      <c r="F170" s="9" t="inlineStr">
        <is>
          <t>OpenStreetMap</t>
        </is>
      </c>
      <c r="G170" s="10" t="inlineStr">
        <is>
          <t>Xã Ia Dơk, Gia Lai</t>
        </is>
      </c>
      <c r="H170" s="9" t="inlineStr">
        <is>
          <t>Xã Ia Dơk</t>
        </is>
      </c>
      <c r="I170" s="11" t="n">
        <v>13.79858</v>
      </c>
      <c r="J170" s="11" t="n">
        <v>107.643836</v>
      </c>
      <c r="K170" s="9" t="inlineStr">
        <is>
          <t>Đã đối chiếu</t>
        </is>
      </c>
      <c r="L170" s="10" t="n"/>
      <c r="M170" s="12" t="inlineStr">
        <is>
          <t>Bản đồ</t>
        </is>
      </c>
      <c r="N170" s="13" t="n"/>
      <c r="O170" s="14" t="n"/>
      <c r="P170" s="14" t="n"/>
      <c r="Q170" s="13" t="n"/>
      <c r="R170" s="15" t="n"/>
      <c r="S170" s="13" t="n"/>
      <c r="T170" s="13" t="n"/>
      <c r="U170" s="16">
        <f>IF(AND(ISNUMBER(O170),ISNUMBER(P170)),ROUND(SQRT(((P170-J170)*111320*COS(RADIANS(I170)))^2+((O170-I170)*110540)^2),0),"")</f>
        <v/>
      </c>
      <c r="V170" s="17">
        <f>IF(N170="","",IF(N170="Sửa vị trí",IF(OR(O170="",P170=""),"Thiếu vĩ độ / kinh độ mới",IF(OR(O170&lt;12.5,O170&gt;15,P170&lt;107,P170&gt;109.6),"Toạ độ ngoài Gia Lai (đảo vĩ/kinh độ?)",IF(Q170="","Chọn cách xác định",IF(U170&gt;20000,"Dời hơn 20 km – kiểm tra lại","OK")))),IF(AND(N170&lt;&gt;"Sửa vị trí",OR(O170&lt;&gt;"",P170&lt;&gt;"")),"Có toạ độ mới nhưng kết quả không phải Sửa vị trí","OK")))</f>
        <v/>
      </c>
    </row>
    <row r="171">
      <c r="A171" s="9" t="n">
        <v>167</v>
      </c>
      <c r="B171" s="9" t="inlineStr">
        <is>
          <t>74ce62a4-2a1e-c552-0892-219c0e3949f3</t>
        </is>
      </c>
      <c r="C171" s="9" t="inlineStr">
        <is>
          <t>Trung bình</t>
        </is>
      </c>
      <c r="D171" s="10" t="inlineStr">
        <is>
          <t>Cây xăng (Xã Ia Grai)</t>
        </is>
      </c>
      <c r="E171" s="9" t="inlineStr">
        <is>
          <t>Cây xăng</t>
        </is>
      </c>
      <c r="F171" s="9" t="inlineStr">
        <is>
          <t>OpenStreetMap</t>
        </is>
      </c>
      <c r="G171" s="10" t="inlineStr">
        <is>
          <t>Xã Ia Grai, Gia Lai</t>
        </is>
      </c>
      <c r="H171" s="9" t="inlineStr">
        <is>
          <t>Xã Ia Grai</t>
        </is>
      </c>
      <c r="I171" s="11" t="n">
        <v>13.962504</v>
      </c>
      <c r="J171" s="11" t="n">
        <v>107.842417</v>
      </c>
      <c r="K171" s="9" t="inlineStr">
        <is>
          <t>Đã đối chiếu</t>
        </is>
      </c>
      <c r="L171" s="10" t="n"/>
      <c r="M171" s="12" t="inlineStr">
        <is>
          <t>Bản đồ</t>
        </is>
      </c>
      <c r="N171" s="13" t="n"/>
      <c r="O171" s="14" t="n"/>
      <c r="P171" s="14" t="n"/>
      <c r="Q171" s="13" t="n"/>
      <c r="R171" s="15" t="n"/>
      <c r="S171" s="13" t="n"/>
      <c r="T171" s="13" t="n"/>
      <c r="U171" s="16">
        <f>IF(AND(ISNUMBER(O171),ISNUMBER(P171)),ROUND(SQRT(((P171-J171)*111320*COS(RADIANS(I171)))^2+((O171-I171)*110540)^2),0),"")</f>
        <v/>
      </c>
      <c r="V171" s="17">
        <f>IF(N171="","",IF(N171="Sửa vị trí",IF(OR(O171="",P171=""),"Thiếu vĩ độ / kinh độ mới",IF(OR(O171&lt;12.5,O171&gt;15,P171&lt;107,P171&gt;109.6),"Toạ độ ngoài Gia Lai (đảo vĩ/kinh độ?)",IF(Q171="","Chọn cách xác định",IF(U171&gt;20000,"Dời hơn 20 km – kiểm tra lại","OK")))),IF(AND(N171&lt;&gt;"Sửa vị trí",OR(O171&lt;&gt;"",P171&lt;&gt;"")),"Có toạ độ mới nhưng kết quả không phải Sửa vị trí","OK")))</f>
        <v/>
      </c>
    </row>
    <row r="172">
      <c r="A172" s="9" t="n">
        <v>168</v>
      </c>
      <c r="B172" s="9" t="inlineStr">
        <is>
          <t>d4838c01-558e-4e56-9bef-51d8ae369b8b</t>
        </is>
      </c>
      <c r="C172" s="9" t="inlineStr">
        <is>
          <t>Trung bình</t>
        </is>
      </c>
      <c r="D172" s="10" t="inlineStr">
        <is>
          <t>Cây xăng (Xã Ia Grai)</t>
        </is>
      </c>
      <c r="E172" s="9" t="inlineStr">
        <is>
          <t>Cây xăng</t>
        </is>
      </c>
      <c r="F172" s="9" t="inlineStr">
        <is>
          <t>OpenStreetMap</t>
        </is>
      </c>
      <c r="G172" s="10" t="inlineStr">
        <is>
          <t>Xã Ia Grai, Gia Lai</t>
        </is>
      </c>
      <c r="H172" s="9" t="inlineStr">
        <is>
          <t>Xã Ia Grai</t>
        </is>
      </c>
      <c r="I172" s="11" t="n">
        <v>13.965552</v>
      </c>
      <c r="J172" s="11" t="n">
        <v>107.868136</v>
      </c>
      <c r="K172" s="9" t="inlineStr">
        <is>
          <t>Đã đối chiếu</t>
        </is>
      </c>
      <c r="L172" s="10" t="n"/>
      <c r="M172" s="12" t="inlineStr">
        <is>
          <t>Bản đồ</t>
        </is>
      </c>
      <c r="N172" s="13" t="n"/>
      <c r="O172" s="14" t="n"/>
      <c r="P172" s="14" t="n"/>
      <c r="Q172" s="13" t="n"/>
      <c r="R172" s="15" t="n"/>
      <c r="S172" s="13" t="n"/>
      <c r="T172" s="13" t="n"/>
      <c r="U172" s="16">
        <f>IF(AND(ISNUMBER(O172),ISNUMBER(P172)),ROUND(SQRT(((P172-J172)*111320*COS(RADIANS(I172)))^2+((O172-I172)*110540)^2),0),"")</f>
        <v/>
      </c>
      <c r="V172" s="17">
        <f>IF(N172="","",IF(N172="Sửa vị trí",IF(OR(O172="",P172=""),"Thiếu vĩ độ / kinh độ mới",IF(OR(O172&lt;12.5,O172&gt;15,P172&lt;107,P172&gt;109.6),"Toạ độ ngoài Gia Lai (đảo vĩ/kinh độ?)",IF(Q172="","Chọn cách xác định",IF(U172&gt;20000,"Dời hơn 20 km – kiểm tra lại","OK")))),IF(AND(N172&lt;&gt;"Sửa vị trí",OR(O172&lt;&gt;"",P172&lt;&gt;"")),"Có toạ độ mới nhưng kết quả không phải Sửa vị trí","OK")))</f>
        <v/>
      </c>
    </row>
    <row r="173">
      <c r="A173" s="9" t="n">
        <v>169</v>
      </c>
      <c r="B173" s="9" t="inlineStr">
        <is>
          <t>8539116f-ff5c-af9e-b607-7fc46ba0ea09</t>
        </is>
      </c>
      <c r="C173" s="9" t="inlineStr">
        <is>
          <t>Trung bình</t>
        </is>
      </c>
      <c r="D173" s="10" t="inlineStr">
        <is>
          <t>Cây xăng (Xã Ia Grai)</t>
        </is>
      </c>
      <c r="E173" s="9" t="inlineStr">
        <is>
          <t>Cây xăng</t>
        </is>
      </c>
      <c r="F173" s="9" t="inlineStr">
        <is>
          <t>OpenStreetMap</t>
        </is>
      </c>
      <c r="G173" s="10" t="inlineStr">
        <is>
          <t>Xã Ia Grai, Gia Lai</t>
        </is>
      </c>
      <c r="H173" s="9" t="inlineStr">
        <is>
          <t>Xã Ia Grai</t>
        </is>
      </c>
      <c r="I173" s="11" t="n">
        <v>13.96078</v>
      </c>
      <c r="J173" s="11" t="n">
        <v>107.836828</v>
      </c>
      <c r="K173" s="9" t="inlineStr">
        <is>
          <t>Đã đối chiếu</t>
        </is>
      </c>
      <c r="L173" s="10" t="n"/>
      <c r="M173" s="12" t="inlineStr">
        <is>
          <t>Bản đồ</t>
        </is>
      </c>
      <c r="N173" s="13" t="n"/>
      <c r="O173" s="14" t="n"/>
      <c r="P173" s="14" t="n"/>
      <c r="Q173" s="13" t="n"/>
      <c r="R173" s="15" t="n"/>
      <c r="S173" s="13" t="n"/>
      <c r="T173" s="13" t="n"/>
      <c r="U173" s="16">
        <f>IF(AND(ISNUMBER(O173),ISNUMBER(P173)),ROUND(SQRT(((P173-J173)*111320*COS(RADIANS(I173)))^2+((O173-I173)*110540)^2),0),"")</f>
        <v/>
      </c>
      <c r="V173" s="17">
        <f>IF(N173="","",IF(N173="Sửa vị trí",IF(OR(O173="",P173=""),"Thiếu vĩ độ / kinh độ mới",IF(OR(O173&lt;12.5,O173&gt;15,P173&lt;107,P173&gt;109.6),"Toạ độ ngoài Gia Lai (đảo vĩ/kinh độ?)",IF(Q173="","Chọn cách xác định",IF(U173&gt;20000,"Dời hơn 20 km – kiểm tra lại","OK")))),IF(AND(N173&lt;&gt;"Sửa vị trí",OR(O173&lt;&gt;"",P173&lt;&gt;"")),"Có toạ độ mới nhưng kết quả không phải Sửa vị trí","OK")))</f>
        <v/>
      </c>
    </row>
    <row r="174">
      <c r="A174" s="9" t="n">
        <v>170</v>
      </c>
      <c r="B174" s="9" t="inlineStr">
        <is>
          <t>b351dda0-f82c-a111-c008-d9e715c30013</t>
        </is>
      </c>
      <c r="C174" s="9" t="inlineStr">
        <is>
          <t>Trung bình</t>
        </is>
      </c>
      <c r="D174" s="10" t="inlineStr">
        <is>
          <t>Cửa hàng Xăng dầu</t>
        </is>
      </c>
      <c r="E174" s="9" t="inlineStr">
        <is>
          <t>Cây xăng</t>
        </is>
      </c>
      <c r="F174" s="9" t="inlineStr">
        <is>
          <t>OpenStreetMap</t>
        </is>
      </c>
      <c r="G174" s="10" t="inlineStr">
        <is>
          <t>Xã Ia Grai, Gia Lai</t>
        </is>
      </c>
      <c r="H174" s="9" t="inlineStr">
        <is>
          <t>Xã Ia Grai</t>
        </is>
      </c>
      <c r="I174" s="11" t="n">
        <v>14.028995</v>
      </c>
      <c r="J174" s="11" t="n">
        <v>107.85404</v>
      </c>
      <c r="K174" s="9" t="inlineStr">
        <is>
          <t>Đã đối chiếu</t>
        </is>
      </c>
      <c r="L174" s="10" t="n"/>
      <c r="M174" s="12" t="inlineStr">
        <is>
          <t>Bản đồ</t>
        </is>
      </c>
      <c r="N174" s="13" t="n"/>
      <c r="O174" s="14" t="n"/>
      <c r="P174" s="14" t="n"/>
      <c r="Q174" s="13" t="n"/>
      <c r="R174" s="15" t="n"/>
      <c r="S174" s="13" t="n"/>
      <c r="T174" s="13" t="n"/>
      <c r="U174" s="16">
        <f>IF(AND(ISNUMBER(O174),ISNUMBER(P174)),ROUND(SQRT(((P174-J174)*111320*COS(RADIANS(I174)))^2+((O174-I174)*110540)^2),0),"")</f>
        <v/>
      </c>
      <c r="V174" s="17">
        <f>IF(N174="","",IF(N174="Sửa vị trí",IF(OR(O174="",P174=""),"Thiếu vĩ độ / kinh độ mới",IF(OR(O174&lt;12.5,O174&gt;15,P174&lt;107,P174&gt;109.6),"Toạ độ ngoài Gia Lai (đảo vĩ/kinh độ?)",IF(Q174="","Chọn cách xác định",IF(U174&gt;20000,"Dời hơn 20 km – kiểm tra lại","OK")))),IF(AND(N174&lt;&gt;"Sửa vị trí",OR(O174&lt;&gt;"",P174&lt;&gt;"")),"Có toạ độ mới nhưng kết quả không phải Sửa vị trí","OK")))</f>
        <v/>
      </c>
    </row>
    <row r="175">
      <c r="A175" s="9" t="n">
        <v>171</v>
      </c>
      <c r="B175" s="9" t="inlineStr">
        <is>
          <t>225080a0-6f90-e9f4-ab41-4b54dbe15864</t>
        </is>
      </c>
      <c r="C175" s="9" t="inlineStr">
        <is>
          <t>Trung bình</t>
        </is>
      </c>
      <c r="D175" s="10" t="inlineStr">
        <is>
          <t>PV Oil</t>
        </is>
      </c>
      <c r="E175" s="9" t="inlineStr">
        <is>
          <t>Cây xăng</t>
        </is>
      </c>
      <c r="F175" s="9" t="inlineStr">
        <is>
          <t>OpenStreetMap</t>
        </is>
      </c>
      <c r="G175" s="10" t="inlineStr">
        <is>
          <t>Xã Ia Hiao, Gia Lai</t>
        </is>
      </c>
      <c r="H175" s="9" t="inlineStr">
        <is>
          <t>Xã Ia Hiao</t>
        </is>
      </c>
      <c r="I175" s="11" t="n">
        <v>13.472653</v>
      </c>
      <c r="J175" s="11" t="n">
        <v>108.381194</v>
      </c>
      <c r="K175" s="9" t="inlineStr">
        <is>
          <t>Đã đối chiếu</t>
        </is>
      </c>
      <c r="L175" s="10" t="n"/>
      <c r="M175" s="12" t="inlineStr">
        <is>
          <t>Bản đồ</t>
        </is>
      </c>
      <c r="N175" s="13" t="n"/>
      <c r="O175" s="14" t="n"/>
      <c r="P175" s="14" t="n"/>
      <c r="Q175" s="13" t="n"/>
      <c r="R175" s="15" t="n"/>
      <c r="S175" s="13" t="n"/>
      <c r="T175" s="13" t="n"/>
      <c r="U175" s="16">
        <f>IF(AND(ISNUMBER(O175),ISNUMBER(P175)),ROUND(SQRT(((P175-J175)*111320*COS(RADIANS(I175)))^2+((O175-I175)*110540)^2),0),"")</f>
        <v/>
      </c>
      <c r="V175" s="17">
        <f>IF(N175="","",IF(N175="Sửa vị trí",IF(OR(O175="",P175=""),"Thiếu vĩ độ / kinh độ mới",IF(OR(O175&lt;12.5,O175&gt;15,P175&lt;107,P175&gt;109.6),"Toạ độ ngoài Gia Lai (đảo vĩ/kinh độ?)",IF(Q175="","Chọn cách xác định",IF(U175&gt;20000,"Dời hơn 20 km – kiểm tra lại","OK")))),IF(AND(N175&lt;&gt;"Sửa vị trí",OR(O175&lt;&gt;"",P175&lt;&gt;"")),"Có toạ độ mới nhưng kết quả không phải Sửa vị trí","OK")))</f>
        <v/>
      </c>
    </row>
    <row r="176">
      <c r="A176" s="9" t="n">
        <v>172</v>
      </c>
      <c r="B176" s="9" t="inlineStr">
        <is>
          <t>956cb755-58cc-b004-2fce-b8b4fbf624fc</t>
        </is>
      </c>
      <c r="C176" s="9" t="inlineStr">
        <is>
          <t>Trung bình</t>
        </is>
      </c>
      <c r="D176" s="10" t="inlineStr">
        <is>
          <t>PV Oil</t>
        </is>
      </c>
      <c r="E176" s="9" t="inlineStr">
        <is>
          <t>Cây xăng</t>
        </is>
      </c>
      <c r="F176" s="9" t="inlineStr">
        <is>
          <t>OpenStreetMap</t>
        </is>
      </c>
      <c r="G176" s="10" t="inlineStr">
        <is>
          <t>Xã Ia Hiao, Gia Lai</t>
        </is>
      </c>
      <c r="H176" s="9" t="inlineStr">
        <is>
          <t>Xã Ia Hiao</t>
        </is>
      </c>
      <c r="I176" s="11" t="n">
        <v>13.436243</v>
      </c>
      <c r="J176" s="11" t="n">
        <v>108.418569</v>
      </c>
      <c r="K176" s="9" t="inlineStr">
        <is>
          <t>Đã đối chiếu</t>
        </is>
      </c>
      <c r="L176" s="10" t="n"/>
      <c r="M176" s="12" t="inlineStr">
        <is>
          <t>Bản đồ</t>
        </is>
      </c>
      <c r="N176" s="13" t="n"/>
      <c r="O176" s="14" t="n"/>
      <c r="P176" s="14" t="n"/>
      <c r="Q176" s="13" t="n"/>
      <c r="R176" s="15" t="n"/>
      <c r="S176" s="13" t="n"/>
      <c r="T176" s="13" t="n"/>
      <c r="U176" s="16">
        <f>IF(AND(ISNUMBER(O176),ISNUMBER(P176)),ROUND(SQRT(((P176-J176)*111320*COS(RADIANS(I176)))^2+((O176-I176)*110540)^2),0),"")</f>
        <v/>
      </c>
      <c r="V176" s="17">
        <f>IF(N176="","",IF(N176="Sửa vị trí",IF(OR(O176="",P176=""),"Thiếu vĩ độ / kinh độ mới",IF(OR(O176&lt;12.5,O176&gt;15,P176&lt;107,P176&gt;109.6),"Toạ độ ngoài Gia Lai (đảo vĩ/kinh độ?)",IF(Q176="","Chọn cách xác định",IF(U176&gt;20000,"Dời hơn 20 km – kiểm tra lại","OK")))),IF(AND(N176&lt;&gt;"Sửa vị trí",OR(O176&lt;&gt;"",P176&lt;&gt;"")),"Có toạ độ mới nhưng kết quả không phải Sửa vị trí","OK")))</f>
        <v/>
      </c>
    </row>
    <row r="177">
      <c r="A177" s="9" t="n">
        <v>173</v>
      </c>
      <c r="B177" s="9" t="inlineStr">
        <is>
          <t>72f85504-333b-8b6c-5f3d-d186c80f7b39</t>
        </is>
      </c>
      <c r="C177" s="9" t="inlineStr">
        <is>
          <t>Trung bình</t>
        </is>
      </c>
      <c r="D177" s="10" t="inlineStr">
        <is>
          <t>Bác Nam</t>
        </is>
      </c>
      <c r="E177" s="9" t="inlineStr">
        <is>
          <t>Cây xăng</t>
        </is>
      </c>
      <c r="F177" s="9" t="inlineStr">
        <is>
          <t>OpenStreetMap</t>
        </is>
      </c>
      <c r="G177" s="10" t="inlineStr">
        <is>
          <t>Xã Ia Hrú, Gia Lai</t>
        </is>
      </c>
      <c r="H177" s="9" t="inlineStr">
        <is>
          <t>Xã Ia Hrú</t>
        </is>
      </c>
      <c r="I177" s="11" t="n">
        <v>13.633248</v>
      </c>
      <c r="J177" s="11" t="n">
        <v>108.111281</v>
      </c>
      <c r="K177" s="9" t="inlineStr">
        <is>
          <t>Đã đối chiếu</t>
        </is>
      </c>
      <c r="L177" s="10" t="n"/>
      <c r="M177" s="12" t="inlineStr">
        <is>
          <t>Bản đồ</t>
        </is>
      </c>
      <c r="N177" s="13" t="n"/>
      <c r="O177" s="14" t="n"/>
      <c r="P177" s="14" t="n"/>
      <c r="Q177" s="13" t="n"/>
      <c r="R177" s="15" t="n"/>
      <c r="S177" s="13" t="n"/>
      <c r="T177" s="13" t="n"/>
      <c r="U177" s="16">
        <f>IF(AND(ISNUMBER(O177),ISNUMBER(P177)),ROUND(SQRT(((P177-J177)*111320*COS(RADIANS(I177)))^2+((O177-I177)*110540)^2),0),"")</f>
        <v/>
      </c>
      <c r="V177" s="17">
        <f>IF(N177="","",IF(N177="Sửa vị trí",IF(OR(O177="",P177=""),"Thiếu vĩ độ / kinh độ mới",IF(OR(O177&lt;12.5,O177&gt;15,P177&lt;107,P177&gt;109.6),"Toạ độ ngoài Gia Lai (đảo vĩ/kinh độ?)",IF(Q177="","Chọn cách xác định",IF(U177&gt;20000,"Dời hơn 20 km – kiểm tra lại","OK")))),IF(AND(N177&lt;&gt;"Sửa vị trí",OR(O177&lt;&gt;"",P177&lt;&gt;"")),"Có toạ độ mới nhưng kết quả không phải Sửa vị trí","OK")))</f>
        <v/>
      </c>
    </row>
    <row r="178">
      <c r="A178" s="9" t="n">
        <v>174</v>
      </c>
      <c r="B178" s="9" t="inlineStr">
        <is>
          <t>bab4d12a-5a77-dc97-4e76-577ed80bd272</t>
        </is>
      </c>
      <c r="C178" s="9" t="inlineStr">
        <is>
          <t>Trung bình</t>
        </is>
      </c>
      <c r="D178" s="10" t="inlineStr">
        <is>
          <t>Cây xăng (Xã Ia Hrú)</t>
        </is>
      </c>
      <c r="E178" s="9" t="inlineStr">
        <is>
          <t>Cây xăng</t>
        </is>
      </c>
      <c r="F178" s="9" t="inlineStr">
        <is>
          <t>OpenStreetMap</t>
        </is>
      </c>
      <c r="G178" s="10" t="inlineStr">
        <is>
          <t>Xã Ia Hrú, Gia Lai</t>
        </is>
      </c>
      <c r="H178" s="9" t="inlineStr">
        <is>
          <t>Xã Ia Hrú</t>
        </is>
      </c>
      <c r="I178" s="11" t="n">
        <v>13.597839</v>
      </c>
      <c r="J178" s="11" t="n">
        <v>108.102667</v>
      </c>
      <c r="K178" s="9" t="inlineStr">
        <is>
          <t>Đã đối chiếu</t>
        </is>
      </c>
      <c r="L178" s="10" t="n"/>
      <c r="M178" s="12" t="inlineStr">
        <is>
          <t>Bản đồ</t>
        </is>
      </c>
      <c r="N178" s="13" t="n"/>
      <c r="O178" s="14" t="n"/>
      <c r="P178" s="14" t="n"/>
      <c r="Q178" s="13" t="n"/>
      <c r="R178" s="15" t="n"/>
      <c r="S178" s="13" t="n"/>
      <c r="T178" s="13" t="n"/>
      <c r="U178" s="16">
        <f>IF(AND(ISNUMBER(O178),ISNUMBER(P178)),ROUND(SQRT(((P178-J178)*111320*COS(RADIANS(I178)))^2+((O178-I178)*110540)^2),0),"")</f>
        <v/>
      </c>
      <c r="V178" s="17">
        <f>IF(N178="","",IF(N178="Sửa vị trí",IF(OR(O178="",P178=""),"Thiếu vĩ độ / kinh độ mới",IF(OR(O178&lt;12.5,O178&gt;15,P178&lt;107,P178&gt;109.6),"Toạ độ ngoài Gia Lai (đảo vĩ/kinh độ?)",IF(Q178="","Chọn cách xác định",IF(U178&gt;20000,"Dời hơn 20 km – kiểm tra lại","OK")))),IF(AND(N178&lt;&gt;"Sửa vị trí",OR(O178&lt;&gt;"",P178&lt;&gt;"")),"Có toạ độ mới nhưng kết quả không phải Sửa vị trí","OK")))</f>
        <v/>
      </c>
    </row>
    <row r="179">
      <c r="A179" s="9" t="n">
        <v>175</v>
      </c>
      <c r="B179" s="9" t="inlineStr">
        <is>
          <t>ae7273b5-d7d1-b7e1-6d8b-d3e110b9b187</t>
        </is>
      </c>
      <c r="C179" s="9" t="inlineStr">
        <is>
          <t>Trung bình</t>
        </is>
      </c>
      <c r="D179" s="10" t="inlineStr">
        <is>
          <t>PV Oil</t>
        </is>
      </c>
      <c r="E179" s="9" t="inlineStr">
        <is>
          <t>Cây xăng</t>
        </is>
      </c>
      <c r="F179" s="9" t="inlineStr">
        <is>
          <t>OpenStreetMap</t>
        </is>
      </c>
      <c r="G179" s="10" t="inlineStr">
        <is>
          <t>Xã Ia Hrú, Gia Lai</t>
        </is>
      </c>
      <c r="H179" s="9" t="inlineStr">
        <is>
          <t>Xã Ia Hrú</t>
        </is>
      </c>
      <c r="I179" s="11" t="n">
        <v>13.643117</v>
      </c>
      <c r="J179" s="11" t="n">
        <v>108.106219</v>
      </c>
      <c r="K179" s="9" t="inlineStr">
        <is>
          <t>Đã đối chiếu</t>
        </is>
      </c>
      <c r="L179" s="10" t="n"/>
      <c r="M179" s="12" t="inlineStr">
        <is>
          <t>Bản đồ</t>
        </is>
      </c>
      <c r="N179" s="13" t="n"/>
      <c r="O179" s="14" t="n"/>
      <c r="P179" s="14" t="n"/>
      <c r="Q179" s="13" t="n"/>
      <c r="R179" s="15" t="n"/>
      <c r="S179" s="13" t="n"/>
      <c r="T179" s="13" t="n"/>
      <c r="U179" s="16">
        <f>IF(AND(ISNUMBER(O179),ISNUMBER(P179)),ROUND(SQRT(((P179-J179)*111320*COS(RADIANS(I179)))^2+((O179-I179)*110540)^2),0),"")</f>
        <v/>
      </c>
      <c r="V179" s="17">
        <f>IF(N179="","",IF(N179="Sửa vị trí",IF(OR(O179="",P179=""),"Thiếu vĩ độ / kinh độ mới",IF(OR(O179&lt;12.5,O179&gt;15,P179&lt;107,P179&gt;109.6),"Toạ độ ngoài Gia Lai (đảo vĩ/kinh độ?)",IF(Q179="","Chọn cách xác định",IF(U179&gt;20000,"Dời hơn 20 km – kiểm tra lại","OK")))),IF(AND(N179&lt;&gt;"Sửa vị trí",OR(O179&lt;&gt;"",P179&lt;&gt;"")),"Có toạ độ mới nhưng kết quả không phải Sửa vị trí","OK")))</f>
        <v/>
      </c>
    </row>
    <row r="180">
      <c r="A180" s="9" t="n">
        <v>176</v>
      </c>
      <c r="B180" s="9" t="inlineStr">
        <is>
          <t>0bac247e-6d46-4202-dafe-b3fb27755a08</t>
        </is>
      </c>
      <c r="C180" s="9" t="inlineStr">
        <is>
          <t>Trung bình</t>
        </is>
      </c>
      <c r="D180" s="10" t="inlineStr">
        <is>
          <t>PV Oil</t>
        </is>
      </c>
      <c r="E180" s="9" t="inlineStr">
        <is>
          <t>Cây xăng</t>
        </is>
      </c>
      <c r="F180" s="9" t="inlineStr">
        <is>
          <t>OpenStreetMap</t>
        </is>
      </c>
      <c r="G180" s="10" t="inlineStr">
        <is>
          <t>Xã Ia Hrú, Gia Lai</t>
        </is>
      </c>
      <c r="H180" s="9" t="inlineStr">
        <is>
          <t>Xã Ia Hrú</t>
        </is>
      </c>
      <c r="I180" s="11" t="n">
        <v>13.577022</v>
      </c>
      <c r="J180" s="11" t="n">
        <v>108.099855</v>
      </c>
      <c r="K180" s="9" t="inlineStr">
        <is>
          <t>Đã đối chiếu</t>
        </is>
      </c>
      <c r="L180" s="10" t="n"/>
      <c r="M180" s="12" t="inlineStr">
        <is>
          <t>Bản đồ</t>
        </is>
      </c>
      <c r="N180" s="13" t="n"/>
      <c r="O180" s="14" t="n"/>
      <c r="P180" s="14" t="n"/>
      <c r="Q180" s="13" t="n"/>
      <c r="R180" s="15" t="n"/>
      <c r="S180" s="13" t="n"/>
      <c r="T180" s="13" t="n"/>
      <c r="U180" s="16">
        <f>IF(AND(ISNUMBER(O180),ISNUMBER(P180)),ROUND(SQRT(((P180-J180)*111320*COS(RADIANS(I180)))^2+((O180-I180)*110540)^2),0),"")</f>
        <v/>
      </c>
      <c r="V180" s="17">
        <f>IF(N180="","",IF(N180="Sửa vị trí",IF(OR(O180="",P180=""),"Thiếu vĩ độ / kinh độ mới",IF(OR(O180&lt;12.5,O180&gt;15,P180&lt;107,P180&gt;109.6),"Toạ độ ngoài Gia Lai (đảo vĩ/kinh độ?)",IF(Q180="","Chọn cách xác định",IF(U180&gt;20000,"Dời hơn 20 km – kiểm tra lại","OK")))),IF(AND(N180&lt;&gt;"Sửa vị trí",OR(O180&lt;&gt;"",P180&lt;&gt;"")),"Có toạ độ mới nhưng kết quả không phải Sửa vị trí","OK")))</f>
        <v/>
      </c>
    </row>
    <row r="181">
      <c r="A181" s="9" t="n">
        <v>177</v>
      </c>
      <c r="B181" s="9" t="inlineStr">
        <is>
          <t>65e3496f-9e81-f595-ba76-3030812307a0</t>
        </is>
      </c>
      <c r="C181" s="9" t="inlineStr">
        <is>
          <t>Trung bình</t>
        </is>
      </c>
      <c r="D181" s="10" t="inlineStr">
        <is>
          <t>PV Oil</t>
        </is>
      </c>
      <c r="E181" s="9" t="inlineStr">
        <is>
          <t>Cây xăng</t>
        </is>
      </c>
      <c r="F181" s="9" t="inlineStr">
        <is>
          <t>OpenStreetMap</t>
        </is>
      </c>
      <c r="G181" s="10" t="inlineStr">
        <is>
          <t>Xã Ia Hrú, Gia Lai</t>
        </is>
      </c>
      <c r="H181" s="9" t="inlineStr">
        <is>
          <t>Xã Ia Hrú</t>
        </is>
      </c>
      <c r="I181" s="11" t="n">
        <v>13.590662</v>
      </c>
      <c r="J181" s="11" t="n">
        <v>108.101838</v>
      </c>
      <c r="K181" s="9" t="inlineStr">
        <is>
          <t>Đã đối chiếu</t>
        </is>
      </c>
      <c r="L181" s="10" t="n"/>
      <c r="M181" s="12" t="inlineStr">
        <is>
          <t>Bản đồ</t>
        </is>
      </c>
      <c r="N181" s="13" t="n"/>
      <c r="O181" s="14" t="n"/>
      <c r="P181" s="14" t="n"/>
      <c r="Q181" s="13" t="n"/>
      <c r="R181" s="15" t="n"/>
      <c r="S181" s="13" t="n"/>
      <c r="T181" s="13" t="n"/>
      <c r="U181" s="16">
        <f>IF(AND(ISNUMBER(O181),ISNUMBER(P181)),ROUND(SQRT(((P181-J181)*111320*COS(RADIANS(I181)))^2+((O181-I181)*110540)^2),0),"")</f>
        <v/>
      </c>
      <c r="V181" s="17">
        <f>IF(N181="","",IF(N181="Sửa vị trí",IF(OR(O181="",P181=""),"Thiếu vĩ độ / kinh độ mới",IF(OR(O181&lt;12.5,O181&gt;15,P181&lt;107,P181&gt;109.6),"Toạ độ ngoài Gia Lai (đảo vĩ/kinh độ?)",IF(Q181="","Chọn cách xác định",IF(U181&gt;20000,"Dời hơn 20 km – kiểm tra lại","OK")))),IF(AND(N181&lt;&gt;"Sửa vị trí",OR(O181&lt;&gt;"",P181&lt;&gt;"")),"Có toạ độ mới nhưng kết quả không phải Sửa vị trí","OK")))</f>
        <v/>
      </c>
    </row>
    <row r="182">
      <c r="A182" s="9" t="n">
        <v>178</v>
      </c>
      <c r="B182" s="9" t="inlineStr">
        <is>
          <t>52298b72-b765-604d-cee5-005cc640e60a</t>
        </is>
      </c>
      <c r="C182" s="9" t="inlineStr">
        <is>
          <t>Trung bình</t>
        </is>
      </c>
      <c r="D182" s="10" t="inlineStr">
        <is>
          <t>SWP</t>
        </is>
      </c>
      <c r="E182" s="9" t="inlineStr">
        <is>
          <t>Cây xăng</t>
        </is>
      </c>
      <c r="F182" s="9" t="inlineStr">
        <is>
          <t>OpenStreetMap</t>
        </is>
      </c>
      <c r="G182" s="10" t="inlineStr">
        <is>
          <t>Xã Ia Hrú, Gia Lai</t>
        </is>
      </c>
      <c r="H182" s="9" t="inlineStr">
        <is>
          <t>Xã Ia Hrú</t>
        </is>
      </c>
      <c r="I182" s="11" t="n">
        <v>13.589025</v>
      </c>
      <c r="J182" s="11" t="n">
        <v>108.101581</v>
      </c>
      <c r="K182" s="9" t="inlineStr">
        <is>
          <t>Đã đối chiếu</t>
        </is>
      </c>
      <c r="L182" s="10" t="n"/>
      <c r="M182" s="12" t="inlineStr">
        <is>
          <t>Bản đồ</t>
        </is>
      </c>
      <c r="N182" s="13" t="n"/>
      <c r="O182" s="14" t="n"/>
      <c r="P182" s="14" t="n"/>
      <c r="Q182" s="13" t="n"/>
      <c r="R182" s="15" t="n"/>
      <c r="S182" s="13" t="n"/>
      <c r="T182" s="13" t="n"/>
      <c r="U182" s="16">
        <f>IF(AND(ISNUMBER(O182),ISNUMBER(P182)),ROUND(SQRT(((P182-J182)*111320*COS(RADIANS(I182)))^2+((O182-I182)*110540)^2),0),"")</f>
        <v/>
      </c>
      <c r="V182" s="17">
        <f>IF(N182="","",IF(N182="Sửa vị trí",IF(OR(O182="",P182=""),"Thiếu vĩ độ / kinh độ mới",IF(OR(O182&lt;12.5,O182&gt;15,P182&lt;107,P182&gt;109.6),"Toạ độ ngoài Gia Lai (đảo vĩ/kinh độ?)",IF(Q182="","Chọn cách xác định",IF(U182&gt;20000,"Dời hơn 20 km – kiểm tra lại","OK")))),IF(AND(N182&lt;&gt;"Sửa vị trí",OR(O182&lt;&gt;"",P182&lt;&gt;"")),"Có toạ độ mới nhưng kết quả không phải Sửa vị trí","OK")))</f>
        <v/>
      </c>
    </row>
    <row r="183">
      <c r="A183" s="9" t="n">
        <v>179</v>
      </c>
      <c r="B183" s="9" t="inlineStr">
        <is>
          <t>696c9e7f-d409-11f9-9a73-52f3ee40b915</t>
        </is>
      </c>
      <c r="C183" s="9" t="inlineStr">
        <is>
          <t>Trung bình</t>
        </is>
      </c>
      <c r="D183" s="10" t="inlineStr">
        <is>
          <t>Bắc Nam</t>
        </is>
      </c>
      <c r="E183" s="9" t="inlineStr">
        <is>
          <t>Cây xăng</t>
        </is>
      </c>
      <c r="F183" s="9" t="inlineStr">
        <is>
          <t>OpenStreetMap</t>
        </is>
      </c>
      <c r="G183" s="10" t="inlineStr">
        <is>
          <t>Xã Ia Khươl, Gia Lai</t>
        </is>
      </c>
      <c r="H183" s="9" t="inlineStr">
        <is>
          <t>Xã Ia Khươl</t>
        </is>
      </c>
      <c r="I183" s="11" t="n">
        <v>14.236632</v>
      </c>
      <c r="J183" s="11" t="n">
        <v>107.99255</v>
      </c>
      <c r="K183" s="9" t="inlineStr">
        <is>
          <t>Đã đối chiếu</t>
        </is>
      </c>
      <c r="L183" s="10" t="n"/>
      <c r="M183" s="12" t="inlineStr">
        <is>
          <t>Bản đồ</t>
        </is>
      </c>
      <c r="N183" s="13" t="n"/>
      <c r="O183" s="14" t="n"/>
      <c r="P183" s="14" t="n"/>
      <c r="Q183" s="13" t="n"/>
      <c r="R183" s="15" t="n"/>
      <c r="S183" s="13" t="n"/>
      <c r="T183" s="13" t="n"/>
      <c r="U183" s="16">
        <f>IF(AND(ISNUMBER(O183),ISNUMBER(P183)),ROUND(SQRT(((P183-J183)*111320*COS(RADIANS(I183)))^2+((O183-I183)*110540)^2),0),"")</f>
        <v/>
      </c>
      <c r="V183" s="17">
        <f>IF(N183="","",IF(N183="Sửa vị trí",IF(OR(O183="",P183=""),"Thiếu vĩ độ / kinh độ mới",IF(OR(O183&lt;12.5,O183&gt;15,P183&lt;107,P183&gt;109.6),"Toạ độ ngoài Gia Lai (đảo vĩ/kinh độ?)",IF(Q183="","Chọn cách xác định",IF(U183&gt;20000,"Dời hơn 20 km – kiểm tra lại","OK")))),IF(AND(N183&lt;&gt;"Sửa vị trí",OR(O183&lt;&gt;"",P183&lt;&gt;"")),"Có toạ độ mới nhưng kết quả không phải Sửa vị trí","OK")))</f>
        <v/>
      </c>
    </row>
    <row r="184">
      <c r="A184" s="9" t="n">
        <v>180</v>
      </c>
      <c r="B184" s="9" t="inlineStr">
        <is>
          <t>3d0d4980-313a-7e3e-a0fa-40a5daf7498a</t>
        </is>
      </c>
      <c r="C184" s="9" t="inlineStr">
        <is>
          <t>Trung bình</t>
        </is>
      </c>
      <c r="D184" s="10" t="inlineStr">
        <is>
          <t>Petrolimex</t>
        </is>
      </c>
      <c r="E184" s="9" t="inlineStr">
        <is>
          <t>Cây xăng</t>
        </is>
      </c>
      <c r="F184" s="9" t="inlineStr">
        <is>
          <t>OpenStreetMap</t>
        </is>
      </c>
      <c r="G184" s="10" t="inlineStr">
        <is>
          <t>Xã Ia Khươl, Gia Lai</t>
        </is>
      </c>
      <c r="H184" s="9" t="inlineStr">
        <is>
          <t>Xã Ia Khươl</t>
        </is>
      </c>
      <c r="I184" s="11" t="n">
        <v>14.235674</v>
      </c>
      <c r="J184" s="11" t="n">
        <v>107.992852</v>
      </c>
      <c r="K184" s="9" t="inlineStr">
        <is>
          <t>Đã đối chiếu</t>
        </is>
      </c>
      <c r="L184" s="10" t="n"/>
      <c r="M184" s="12" t="inlineStr">
        <is>
          <t>Bản đồ</t>
        </is>
      </c>
      <c r="N184" s="13" t="n"/>
      <c r="O184" s="14" t="n"/>
      <c r="P184" s="14" t="n"/>
      <c r="Q184" s="13" t="n"/>
      <c r="R184" s="15" t="n"/>
      <c r="S184" s="13" t="n"/>
      <c r="T184" s="13" t="n"/>
      <c r="U184" s="16">
        <f>IF(AND(ISNUMBER(O184),ISNUMBER(P184)),ROUND(SQRT(((P184-J184)*111320*COS(RADIANS(I184)))^2+((O184-I184)*110540)^2),0),"")</f>
        <v/>
      </c>
      <c r="V184" s="17">
        <f>IF(N184="","",IF(N184="Sửa vị trí",IF(OR(O184="",P184=""),"Thiếu vĩ độ / kinh độ mới",IF(OR(O184&lt;12.5,O184&gt;15,P184&lt;107,P184&gt;109.6),"Toạ độ ngoài Gia Lai (đảo vĩ/kinh độ?)",IF(Q184="","Chọn cách xác định",IF(U184&gt;20000,"Dời hơn 20 km – kiểm tra lại","OK")))),IF(AND(N184&lt;&gt;"Sửa vị trí",OR(O184&lt;&gt;"",P184&lt;&gt;"")),"Có toạ độ mới nhưng kết quả không phải Sửa vị trí","OK")))</f>
        <v/>
      </c>
    </row>
    <row r="185">
      <c r="A185" s="9" t="n">
        <v>181</v>
      </c>
      <c r="B185" s="9" t="inlineStr">
        <is>
          <t>779074a0-b270-b23e-97fc-8d2eeb103f6a</t>
        </is>
      </c>
      <c r="C185" s="9" t="inlineStr">
        <is>
          <t>Trung bình</t>
        </is>
      </c>
      <c r="D185" s="10" t="inlineStr">
        <is>
          <t>SWP</t>
        </is>
      </c>
      <c r="E185" s="9" t="inlineStr">
        <is>
          <t>Cây xăng</t>
        </is>
      </c>
      <c r="F185" s="9" t="inlineStr">
        <is>
          <t>OpenStreetMap</t>
        </is>
      </c>
      <c r="G185" s="10" t="inlineStr">
        <is>
          <t>Xã Ia Khươl, Gia Lai</t>
        </is>
      </c>
      <c r="H185" s="9" t="inlineStr">
        <is>
          <t>Xã Ia Khươl</t>
        </is>
      </c>
      <c r="I185" s="11" t="n">
        <v>14.222978</v>
      </c>
      <c r="J185" s="11" t="n">
        <v>107.985709</v>
      </c>
      <c r="K185" s="9" t="inlineStr">
        <is>
          <t>Đã đối chiếu</t>
        </is>
      </c>
      <c r="L185" s="10" t="n"/>
      <c r="M185" s="12" t="inlineStr">
        <is>
          <t>Bản đồ</t>
        </is>
      </c>
      <c r="N185" s="13" t="n"/>
      <c r="O185" s="14" t="n"/>
      <c r="P185" s="14" t="n"/>
      <c r="Q185" s="13" t="n"/>
      <c r="R185" s="15" t="n"/>
      <c r="S185" s="13" t="n"/>
      <c r="T185" s="13" t="n"/>
      <c r="U185" s="16">
        <f>IF(AND(ISNUMBER(O185),ISNUMBER(P185)),ROUND(SQRT(((P185-J185)*111320*COS(RADIANS(I185)))^2+((O185-I185)*110540)^2),0),"")</f>
        <v/>
      </c>
      <c r="V185" s="17">
        <f>IF(N185="","",IF(N185="Sửa vị trí",IF(OR(O185="",P185=""),"Thiếu vĩ độ / kinh độ mới",IF(OR(O185&lt;12.5,O185&gt;15,P185&lt;107,P185&gt;109.6),"Toạ độ ngoài Gia Lai (đảo vĩ/kinh độ?)",IF(Q185="","Chọn cách xác định",IF(U185&gt;20000,"Dời hơn 20 km – kiểm tra lại","OK")))),IF(AND(N185&lt;&gt;"Sửa vị trí",OR(O185&lt;&gt;"",P185&lt;&gt;"")),"Có toạ độ mới nhưng kết quả không phải Sửa vị trí","OK")))</f>
        <v/>
      </c>
    </row>
    <row r="186">
      <c r="A186" s="9" t="n">
        <v>182</v>
      </c>
      <c r="B186" s="9" t="inlineStr">
        <is>
          <t>db297a56-b8dc-a71b-b00e-c7febe78374c</t>
        </is>
      </c>
      <c r="C186" s="9" t="inlineStr">
        <is>
          <t>Trung bình</t>
        </is>
      </c>
      <c r="D186" s="10" t="inlineStr">
        <is>
          <t>Cửa hàng Xăng dầu</t>
        </is>
      </c>
      <c r="E186" s="9" t="inlineStr">
        <is>
          <t>Cây xăng</t>
        </is>
      </c>
      <c r="F186" s="9" t="inlineStr">
        <is>
          <t>OpenStreetMap</t>
        </is>
      </c>
      <c r="G186" s="10" t="inlineStr">
        <is>
          <t>Xã Ia Krêl, Gia Lai</t>
        </is>
      </c>
      <c r="H186" s="9" t="inlineStr">
        <is>
          <t>Xã Ia Krêl</t>
        </is>
      </c>
      <c r="I186" s="11" t="n">
        <v>13.836425</v>
      </c>
      <c r="J186" s="11" t="n">
        <v>107.794689</v>
      </c>
      <c r="K186" s="9" t="inlineStr">
        <is>
          <t>Đã đối chiếu</t>
        </is>
      </c>
      <c r="L186" s="10" t="n"/>
      <c r="M186" s="12" t="inlineStr">
        <is>
          <t>Bản đồ</t>
        </is>
      </c>
      <c r="N186" s="13" t="n"/>
      <c r="O186" s="14" t="n"/>
      <c r="P186" s="14" t="n"/>
      <c r="Q186" s="13" t="n"/>
      <c r="R186" s="15" t="n"/>
      <c r="S186" s="13" t="n"/>
      <c r="T186" s="13" t="n"/>
      <c r="U186" s="16">
        <f>IF(AND(ISNUMBER(O186),ISNUMBER(P186)),ROUND(SQRT(((P186-J186)*111320*COS(RADIANS(I186)))^2+((O186-I186)*110540)^2),0),"")</f>
        <v/>
      </c>
      <c r="V186" s="17">
        <f>IF(N186="","",IF(N186="Sửa vị trí",IF(OR(O186="",P186=""),"Thiếu vĩ độ / kinh độ mới",IF(OR(O186&lt;12.5,O186&gt;15,P186&lt;107,P186&gt;109.6),"Toạ độ ngoài Gia Lai (đảo vĩ/kinh độ?)",IF(Q186="","Chọn cách xác định",IF(U186&gt;20000,"Dời hơn 20 km – kiểm tra lại","OK")))),IF(AND(N186&lt;&gt;"Sửa vị trí",OR(O186&lt;&gt;"",P186&lt;&gt;"")),"Có toạ độ mới nhưng kết quả không phải Sửa vị trí","OK")))</f>
        <v/>
      </c>
    </row>
    <row r="187">
      <c r="A187" s="9" t="n">
        <v>183</v>
      </c>
      <c r="B187" s="9" t="inlineStr">
        <is>
          <t>afa70413-2bae-99dc-ef7a-e0f371400234</t>
        </is>
      </c>
      <c r="C187" s="9" t="inlineStr">
        <is>
          <t>Trung bình</t>
        </is>
      </c>
      <c r="D187" s="10" t="inlineStr">
        <is>
          <t>Cửa hàng Xăng dầu</t>
        </is>
      </c>
      <c r="E187" s="9" t="inlineStr">
        <is>
          <t>Cây xăng</t>
        </is>
      </c>
      <c r="F187" s="9" t="inlineStr">
        <is>
          <t>OpenStreetMap</t>
        </is>
      </c>
      <c r="G187" s="10" t="inlineStr">
        <is>
          <t>Xã Ia Krêl, Gia Lai</t>
        </is>
      </c>
      <c r="H187" s="9" t="inlineStr">
        <is>
          <t>Xã Ia Krêl</t>
        </is>
      </c>
      <c r="I187" s="11" t="n">
        <v>13.824971</v>
      </c>
      <c r="J187" s="11" t="n">
        <v>107.767267</v>
      </c>
      <c r="K187" s="9" t="inlineStr">
        <is>
          <t>Đã đối chiếu</t>
        </is>
      </c>
      <c r="L187" s="10" t="n"/>
      <c r="M187" s="12" t="inlineStr">
        <is>
          <t>Bản đồ</t>
        </is>
      </c>
      <c r="N187" s="13" t="n"/>
      <c r="O187" s="14" t="n"/>
      <c r="P187" s="14" t="n"/>
      <c r="Q187" s="13" t="n"/>
      <c r="R187" s="15" t="n"/>
      <c r="S187" s="13" t="n"/>
      <c r="T187" s="13" t="n"/>
      <c r="U187" s="16">
        <f>IF(AND(ISNUMBER(O187),ISNUMBER(P187)),ROUND(SQRT(((P187-J187)*111320*COS(RADIANS(I187)))^2+((O187-I187)*110540)^2),0),"")</f>
        <v/>
      </c>
      <c r="V187" s="17">
        <f>IF(N187="","",IF(N187="Sửa vị trí",IF(OR(O187="",P187=""),"Thiếu vĩ độ / kinh độ mới",IF(OR(O187&lt;12.5,O187&gt;15,P187&lt;107,P187&gt;109.6),"Toạ độ ngoài Gia Lai (đảo vĩ/kinh độ?)",IF(Q187="","Chọn cách xác định",IF(U187&gt;20000,"Dời hơn 20 km – kiểm tra lại","OK")))),IF(AND(N187&lt;&gt;"Sửa vị trí",OR(O187&lt;&gt;"",P187&lt;&gt;"")),"Có toạ độ mới nhưng kết quả không phải Sửa vị trí","OK")))</f>
        <v/>
      </c>
    </row>
    <row r="188">
      <c r="A188" s="9" t="n">
        <v>184</v>
      </c>
      <c r="B188" s="9" t="inlineStr">
        <is>
          <t>0372fe4a-8c36-348f-90f1-1e1758fdb93b</t>
        </is>
      </c>
      <c r="C188" s="9" t="inlineStr">
        <is>
          <t>Trung bình</t>
        </is>
      </c>
      <c r="D188" s="10" t="inlineStr">
        <is>
          <t>Cửa hàng Xăng dầu</t>
        </is>
      </c>
      <c r="E188" s="9" t="inlineStr">
        <is>
          <t>Cây xăng</t>
        </is>
      </c>
      <c r="F188" s="9" t="inlineStr">
        <is>
          <t>OpenStreetMap</t>
        </is>
      </c>
      <c r="G188" s="10" t="inlineStr">
        <is>
          <t>Xã Ia Krêl, Gia Lai</t>
        </is>
      </c>
      <c r="H188" s="9" t="inlineStr">
        <is>
          <t>Xã Ia Krêl</t>
        </is>
      </c>
      <c r="I188" s="11" t="n">
        <v>13.839785</v>
      </c>
      <c r="J188" s="11" t="n">
        <v>107.816265</v>
      </c>
      <c r="K188" s="9" t="inlineStr">
        <is>
          <t>Đã đối chiếu</t>
        </is>
      </c>
      <c r="L188" s="10" t="n"/>
      <c r="M188" s="12" t="inlineStr">
        <is>
          <t>Bản đồ</t>
        </is>
      </c>
      <c r="N188" s="13" t="n"/>
      <c r="O188" s="14" t="n"/>
      <c r="P188" s="14" t="n"/>
      <c r="Q188" s="13" t="n"/>
      <c r="R188" s="15" t="n"/>
      <c r="S188" s="13" t="n"/>
      <c r="T188" s="13" t="n"/>
      <c r="U188" s="16">
        <f>IF(AND(ISNUMBER(O188),ISNUMBER(P188)),ROUND(SQRT(((P188-J188)*111320*COS(RADIANS(I188)))^2+((O188-I188)*110540)^2),0),"")</f>
        <v/>
      </c>
      <c r="V188" s="17">
        <f>IF(N188="","",IF(N188="Sửa vị trí",IF(OR(O188="",P188=""),"Thiếu vĩ độ / kinh độ mới",IF(OR(O188&lt;12.5,O188&gt;15,P188&lt;107,P188&gt;109.6),"Toạ độ ngoài Gia Lai (đảo vĩ/kinh độ?)",IF(Q188="","Chọn cách xác định",IF(U188&gt;20000,"Dời hơn 20 km – kiểm tra lại","OK")))),IF(AND(N188&lt;&gt;"Sửa vị trí",OR(O188&lt;&gt;"",P188&lt;&gt;"")),"Có toạ độ mới nhưng kết quả không phải Sửa vị trí","OK")))</f>
        <v/>
      </c>
    </row>
    <row r="189">
      <c r="A189" s="9" t="n">
        <v>185</v>
      </c>
      <c r="B189" s="9" t="inlineStr">
        <is>
          <t>9864a180-2f75-6151-04bb-2acf6dec7a9c</t>
        </is>
      </c>
      <c r="C189" s="9" t="inlineStr">
        <is>
          <t>Trung bình</t>
        </is>
      </c>
      <c r="D189" s="10" t="inlineStr">
        <is>
          <t>MIPE Corp</t>
        </is>
      </c>
      <c r="E189" s="9" t="inlineStr">
        <is>
          <t>Cây xăng</t>
        </is>
      </c>
      <c r="F189" s="9" t="inlineStr">
        <is>
          <t>OpenStreetMap</t>
        </is>
      </c>
      <c r="G189" s="10" t="inlineStr">
        <is>
          <t>Xã Ia Le, Gia Lai</t>
        </is>
      </c>
      <c r="H189" s="9" t="inlineStr">
        <is>
          <t>Xã Ia Le</t>
        </is>
      </c>
      <c r="I189" s="11" t="n">
        <v>13.442829</v>
      </c>
      <c r="J189" s="11" t="n">
        <v>108.091506</v>
      </c>
      <c r="K189" s="9" t="inlineStr">
        <is>
          <t>Đã đối chiếu</t>
        </is>
      </c>
      <c r="L189" s="10" t="n"/>
      <c r="M189" s="12" t="inlineStr">
        <is>
          <t>Bản đồ</t>
        </is>
      </c>
      <c r="N189" s="13" t="n"/>
      <c r="O189" s="14" t="n"/>
      <c r="P189" s="14" t="n"/>
      <c r="Q189" s="13" t="n"/>
      <c r="R189" s="15" t="n"/>
      <c r="S189" s="13" t="n"/>
      <c r="T189" s="13" t="n"/>
      <c r="U189" s="16">
        <f>IF(AND(ISNUMBER(O189),ISNUMBER(P189)),ROUND(SQRT(((P189-J189)*111320*COS(RADIANS(I189)))^2+((O189-I189)*110540)^2),0),"")</f>
        <v/>
      </c>
      <c r="V189" s="17">
        <f>IF(N189="","",IF(N189="Sửa vị trí",IF(OR(O189="",P189=""),"Thiếu vĩ độ / kinh độ mới",IF(OR(O189&lt;12.5,O189&gt;15,P189&lt;107,P189&gt;109.6),"Toạ độ ngoài Gia Lai (đảo vĩ/kinh độ?)",IF(Q189="","Chọn cách xác định",IF(U189&gt;20000,"Dời hơn 20 km – kiểm tra lại","OK")))),IF(AND(N189&lt;&gt;"Sửa vị trí",OR(O189&lt;&gt;"",P189&lt;&gt;"")),"Có toạ độ mới nhưng kết quả không phải Sửa vị trí","OK")))</f>
        <v/>
      </c>
    </row>
    <row r="190">
      <c r="A190" s="9" t="n">
        <v>186</v>
      </c>
      <c r="B190" s="9" t="inlineStr">
        <is>
          <t>1b10c230-9029-2263-19e4-bbecf61cbb6c</t>
        </is>
      </c>
      <c r="C190" s="9" t="inlineStr">
        <is>
          <t>Trung bình</t>
        </is>
      </c>
      <c r="D190" s="10" t="inlineStr">
        <is>
          <t>PV Oil</t>
        </is>
      </c>
      <c r="E190" s="9" t="inlineStr">
        <is>
          <t>Cây xăng</t>
        </is>
      </c>
      <c r="F190" s="9" t="inlineStr">
        <is>
          <t>OpenStreetMap</t>
        </is>
      </c>
      <c r="G190" s="10" t="inlineStr">
        <is>
          <t>Xã Ia Le, Gia Lai</t>
        </is>
      </c>
      <c r="H190" s="9" t="inlineStr">
        <is>
          <t>Xã Ia Le</t>
        </is>
      </c>
      <c r="I190" s="11" t="n">
        <v>13.456141</v>
      </c>
      <c r="J190" s="11" t="n">
        <v>108.092186</v>
      </c>
      <c r="K190" s="9" t="inlineStr">
        <is>
          <t>Đã đối chiếu</t>
        </is>
      </c>
      <c r="L190" s="10" t="n"/>
      <c r="M190" s="12" t="inlineStr">
        <is>
          <t>Bản đồ</t>
        </is>
      </c>
      <c r="N190" s="13" t="n"/>
      <c r="O190" s="14" t="n"/>
      <c r="P190" s="14" t="n"/>
      <c r="Q190" s="13" t="n"/>
      <c r="R190" s="15" t="n"/>
      <c r="S190" s="13" t="n"/>
      <c r="T190" s="13" t="n"/>
      <c r="U190" s="16">
        <f>IF(AND(ISNUMBER(O190),ISNUMBER(P190)),ROUND(SQRT(((P190-J190)*111320*COS(RADIANS(I190)))^2+((O190-I190)*110540)^2),0),"")</f>
        <v/>
      </c>
      <c r="V190" s="17">
        <f>IF(N190="","",IF(N190="Sửa vị trí",IF(OR(O190="",P190=""),"Thiếu vĩ độ / kinh độ mới",IF(OR(O190&lt;12.5,O190&gt;15,P190&lt;107,P190&gt;109.6),"Toạ độ ngoài Gia Lai (đảo vĩ/kinh độ?)",IF(Q190="","Chọn cách xác định",IF(U190&gt;20000,"Dời hơn 20 km – kiểm tra lại","OK")))),IF(AND(N190&lt;&gt;"Sửa vị trí",OR(O190&lt;&gt;"",P190&lt;&gt;"")),"Có toạ độ mới nhưng kết quả không phải Sửa vị trí","OK")))</f>
        <v/>
      </c>
    </row>
    <row r="191">
      <c r="A191" s="9" t="n">
        <v>187</v>
      </c>
      <c r="B191" s="9" t="inlineStr">
        <is>
          <t>56143064-cbf1-d695-de5f-45a46514a821</t>
        </is>
      </c>
      <c r="C191" s="9" t="inlineStr">
        <is>
          <t>Trung bình</t>
        </is>
      </c>
      <c r="D191" s="10" t="inlineStr">
        <is>
          <t>Petrolimex</t>
        </is>
      </c>
      <c r="E191" s="9" t="inlineStr">
        <is>
          <t>Cây xăng</t>
        </is>
      </c>
      <c r="F191" s="9" t="inlineStr">
        <is>
          <t>OpenStreetMap</t>
        </is>
      </c>
      <c r="G191" s="10" t="inlineStr">
        <is>
          <t>Xã Ia Le, Gia Lai</t>
        </is>
      </c>
      <c r="H191" s="9" t="inlineStr">
        <is>
          <t>Xã Ia Le</t>
        </is>
      </c>
      <c r="I191" s="11" t="n">
        <v>13.418804</v>
      </c>
      <c r="J191" s="11" t="n">
        <v>108.093311</v>
      </c>
      <c r="K191" s="9" t="inlineStr">
        <is>
          <t>Đã đối chiếu</t>
        </is>
      </c>
      <c r="L191" s="10" t="n"/>
      <c r="M191" s="12" t="inlineStr">
        <is>
          <t>Bản đồ</t>
        </is>
      </c>
      <c r="N191" s="13" t="n"/>
      <c r="O191" s="14" t="n"/>
      <c r="P191" s="14" t="n"/>
      <c r="Q191" s="13" t="n"/>
      <c r="R191" s="15" t="n"/>
      <c r="S191" s="13" t="n"/>
      <c r="T191" s="13" t="n"/>
      <c r="U191" s="16">
        <f>IF(AND(ISNUMBER(O191),ISNUMBER(P191)),ROUND(SQRT(((P191-J191)*111320*COS(RADIANS(I191)))^2+((O191-I191)*110540)^2),0),"")</f>
        <v/>
      </c>
      <c r="V191" s="17">
        <f>IF(N191="","",IF(N191="Sửa vị trí",IF(OR(O191="",P191=""),"Thiếu vĩ độ / kinh độ mới",IF(OR(O191&lt;12.5,O191&gt;15,P191&lt;107,P191&gt;109.6),"Toạ độ ngoài Gia Lai (đảo vĩ/kinh độ?)",IF(Q191="","Chọn cách xác định",IF(U191&gt;20000,"Dời hơn 20 km – kiểm tra lại","OK")))),IF(AND(N191&lt;&gt;"Sửa vị trí",OR(O191&lt;&gt;"",P191&lt;&gt;"")),"Có toạ độ mới nhưng kết quả không phải Sửa vị trí","OK")))</f>
        <v/>
      </c>
    </row>
    <row r="192">
      <c r="A192" s="9" t="n">
        <v>188</v>
      </c>
      <c r="B192" s="9" t="inlineStr">
        <is>
          <t>66cf0022-95c0-6e59-cbb8-cd58f4d3f6cd</t>
        </is>
      </c>
      <c r="C192" s="9" t="inlineStr">
        <is>
          <t>Trung bình</t>
        </is>
      </c>
      <c r="D192" s="10" t="inlineStr">
        <is>
          <t>Petrolimex</t>
        </is>
      </c>
      <c r="E192" s="9" t="inlineStr">
        <is>
          <t>Cây xăng</t>
        </is>
      </c>
      <c r="F192" s="9" t="inlineStr">
        <is>
          <t>OpenStreetMap</t>
        </is>
      </c>
      <c r="G192" s="10" t="inlineStr">
        <is>
          <t>Xã Ia Le, Gia Lai</t>
        </is>
      </c>
      <c r="H192" s="9" t="inlineStr">
        <is>
          <t>Xã Ia Le</t>
        </is>
      </c>
      <c r="I192" s="11" t="n">
        <v>13.479516</v>
      </c>
      <c r="J192" s="11" t="n">
        <v>108.09805</v>
      </c>
      <c r="K192" s="9" t="inlineStr">
        <is>
          <t>Đã đối chiếu</t>
        </is>
      </c>
      <c r="L192" s="10" t="n"/>
      <c r="M192" s="12" t="inlineStr">
        <is>
          <t>Bản đồ</t>
        </is>
      </c>
      <c r="N192" s="13" t="n"/>
      <c r="O192" s="14" t="n"/>
      <c r="P192" s="14" t="n"/>
      <c r="Q192" s="13" t="n"/>
      <c r="R192" s="15" t="n"/>
      <c r="S192" s="13" t="n"/>
      <c r="T192" s="13" t="n"/>
      <c r="U192" s="16">
        <f>IF(AND(ISNUMBER(O192),ISNUMBER(P192)),ROUND(SQRT(((P192-J192)*111320*COS(RADIANS(I192)))^2+((O192-I192)*110540)^2),0),"")</f>
        <v/>
      </c>
      <c r="V192" s="17">
        <f>IF(N192="","",IF(N192="Sửa vị trí",IF(OR(O192="",P192=""),"Thiếu vĩ độ / kinh độ mới",IF(OR(O192&lt;12.5,O192&gt;15,P192&lt;107,P192&gt;109.6),"Toạ độ ngoài Gia Lai (đảo vĩ/kinh độ?)",IF(Q192="","Chọn cách xác định",IF(U192&gt;20000,"Dời hơn 20 km – kiểm tra lại","OK")))),IF(AND(N192&lt;&gt;"Sửa vị trí",OR(O192&lt;&gt;"",P192&lt;&gt;"")),"Có toạ độ mới nhưng kết quả không phải Sửa vị trí","OK")))</f>
        <v/>
      </c>
    </row>
    <row r="193">
      <c r="A193" s="9" t="n">
        <v>189</v>
      </c>
      <c r="B193" s="9" t="inlineStr">
        <is>
          <t>32d45424-dfeb-d016-dc4a-1474cd9ffbab</t>
        </is>
      </c>
      <c r="C193" s="9" t="inlineStr">
        <is>
          <t>Trung bình</t>
        </is>
      </c>
      <c r="D193" s="10" t="inlineStr">
        <is>
          <t>Cây xăng dầu Tiến Thoa</t>
        </is>
      </c>
      <c r="E193" s="9" t="inlineStr">
        <is>
          <t>Cây xăng</t>
        </is>
      </c>
      <c r="F193" s="9" t="inlineStr">
        <is>
          <t>OpenStreetMap</t>
        </is>
      </c>
      <c r="G193" s="10" t="inlineStr">
        <is>
          <t>Xã Ia Ly, Gia Lai</t>
        </is>
      </c>
      <c r="H193" s="9" t="inlineStr">
        <is>
          <t>Xã Ia Ly</t>
        </is>
      </c>
      <c r="I193" s="11" t="n">
        <v>14.179606</v>
      </c>
      <c r="J193" s="11" t="n">
        <v>107.851204</v>
      </c>
      <c r="K193" s="9" t="inlineStr">
        <is>
          <t>Đã đối chiếu</t>
        </is>
      </c>
      <c r="L193" s="10" t="n"/>
      <c r="M193" s="12" t="inlineStr">
        <is>
          <t>Bản đồ</t>
        </is>
      </c>
      <c r="N193" s="13" t="n"/>
      <c r="O193" s="14" t="n"/>
      <c r="P193" s="14" t="n"/>
      <c r="Q193" s="13" t="n"/>
      <c r="R193" s="15" t="n"/>
      <c r="S193" s="13" t="n"/>
      <c r="T193" s="13" t="n"/>
      <c r="U193" s="16">
        <f>IF(AND(ISNUMBER(O193),ISNUMBER(P193)),ROUND(SQRT(((P193-J193)*111320*COS(RADIANS(I193)))^2+((O193-I193)*110540)^2),0),"")</f>
        <v/>
      </c>
      <c r="V193" s="17">
        <f>IF(N193="","",IF(N193="Sửa vị trí",IF(OR(O193="",P193=""),"Thiếu vĩ độ / kinh độ mới",IF(OR(O193&lt;12.5,O193&gt;15,P193&lt;107,P193&gt;109.6),"Toạ độ ngoài Gia Lai (đảo vĩ/kinh độ?)",IF(Q193="","Chọn cách xác định",IF(U193&gt;20000,"Dời hơn 20 km – kiểm tra lại","OK")))),IF(AND(N193&lt;&gt;"Sửa vị trí",OR(O193&lt;&gt;"",P193&lt;&gt;"")),"Có toạ độ mới nhưng kết quả không phải Sửa vị trí","OK")))</f>
        <v/>
      </c>
    </row>
    <row r="194">
      <c r="A194" s="9" t="n">
        <v>190</v>
      </c>
      <c r="B194" s="9" t="inlineStr">
        <is>
          <t>7ee1ab69-ef4d-ae4a-0e97-d52878185d32</t>
        </is>
      </c>
      <c r="C194" s="9" t="inlineStr">
        <is>
          <t>Trung bình</t>
        </is>
      </c>
      <c r="D194" s="10" t="inlineStr">
        <is>
          <t>Cửa hàng Xăng dầu</t>
        </is>
      </c>
      <c r="E194" s="9" t="inlineStr">
        <is>
          <t>Cây xăng</t>
        </is>
      </c>
      <c r="F194" s="9" t="inlineStr">
        <is>
          <t>OpenStreetMap</t>
        </is>
      </c>
      <c r="G194" s="10" t="inlineStr">
        <is>
          <t>Xã Ia Mơ, Gia Lai</t>
        </is>
      </c>
      <c r="H194" s="9" t="inlineStr">
        <is>
          <t>Xã Ia Mơ</t>
        </is>
      </c>
      <c r="I194" s="11" t="n">
        <v>13.383169</v>
      </c>
      <c r="J194" s="11" t="n">
        <v>107.688715</v>
      </c>
      <c r="K194" s="9" t="inlineStr">
        <is>
          <t>Đã đối chiếu</t>
        </is>
      </c>
      <c r="L194" s="10" t="n"/>
      <c r="M194" s="12" t="inlineStr">
        <is>
          <t>Bản đồ</t>
        </is>
      </c>
      <c r="N194" s="13" t="n"/>
      <c r="O194" s="14" t="n"/>
      <c r="P194" s="14" t="n"/>
      <c r="Q194" s="13" t="n"/>
      <c r="R194" s="15" t="n"/>
      <c r="S194" s="13" t="n"/>
      <c r="T194" s="13" t="n"/>
      <c r="U194" s="16">
        <f>IF(AND(ISNUMBER(O194),ISNUMBER(P194)),ROUND(SQRT(((P194-J194)*111320*COS(RADIANS(I194)))^2+((O194-I194)*110540)^2),0),"")</f>
        <v/>
      </c>
      <c r="V194" s="17">
        <f>IF(N194="","",IF(N194="Sửa vị trí",IF(OR(O194="",P194=""),"Thiếu vĩ độ / kinh độ mới",IF(OR(O194&lt;12.5,O194&gt;15,P194&lt;107,P194&gt;109.6),"Toạ độ ngoài Gia Lai (đảo vĩ/kinh độ?)",IF(Q194="","Chọn cách xác định",IF(U194&gt;20000,"Dời hơn 20 km – kiểm tra lại","OK")))),IF(AND(N194&lt;&gt;"Sửa vị trí",OR(O194&lt;&gt;"",P194&lt;&gt;"")),"Có toạ độ mới nhưng kết quả không phải Sửa vị trí","OK")))</f>
        <v/>
      </c>
    </row>
    <row r="195">
      <c r="A195" s="9" t="n">
        <v>191</v>
      </c>
      <c r="B195" s="9" t="inlineStr">
        <is>
          <t>272b3b8b-f1ab-7fd5-1057-afd9804f0b9f</t>
        </is>
      </c>
      <c r="C195" s="9" t="inlineStr">
        <is>
          <t>Trung bình</t>
        </is>
      </c>
      <c r="D195" s="10" t="inlineStr">
        <is>
          <t>Cây xăng (Xã Ia Nan)</t>
        </is>
      </c>
      <c r="E195" s="9" t="inlineStr">
        <is>
          <t>Cây xăng</t>
        </is>
      </c>
      <c r="F195" s="9" t="inlineStr">
        <is>
          <t>OpenStreetMap</t>
        </is>
      </c>
      <c r="G195" s="10" t="inlineStr">
        <is>
          <t>Xã Ia Nan, Gia Lai</t>
        </is>
      </c>
      <c r="H195" s="9" t="inlineStr">
        <is>
          <t>Xã Ia Nan</t>
        </is>
      </c>
      <c r="I195" s="11" t="n">
        <v>13.760246</v>
      </c>
      <c r="J195" s="11" t="n">
        <v>107.569539</v>
      </c>
      <c r="K195" s="9" t="inlineStr">
        <is>
          <t>Đã đối chiếu</t>
        </is>
      </c>
      <c r="L195" s="10" t="n"/>
      <c r="M195" s="12" t="inlineStr">
        <is>
          <t>Bản đồ</t>
        </is>
      </c>
      <c r="N195" s="13" t="n"/>
      <c r="O195" s="14" t="n"/>
      <c r="P195" s="14" t="n"/>
      <c r="Q195" s="13" t="n"/>
      <c r="R195" s="15" t="n"/>
      <c r="S195" s="13" t="n"/>
      <c r="T195" s="13" t="n"/>
      <c r="U195" s="16">
        <f>IF(AND(ISNUMBER(O195),ISNUMBER(P195)),ROUND(SQRT(((P195-J195)*111320*COS(RADIANS(I195)))^2+((O195-I195)*110540)^2),0),"")</f>
        <v/>
      </c>
      <c r="V195" s="17">
        <f>IF(N195="","",IF(N195="Sửa vị trí",IF(OR(O195="",P195=""),"Thiếu vĩ độ / kinh độ mới",IF(OR(O195&lt;12.5,O195&gt;15,P195&lt;107,P195&gt;109.6),"Toạ độ ngoài Gia Lai (đảo vĩ/kinh độ?)",IF(Q195="","Chọn cách xác định",IF(U195&gt;20000,"Dời hơn 20 km – kiểm tra lại","OK")))),IF(AND(N195&lt;&gt;"Sửa vị trí",OR(O195&lt;&gt;"",P195&lt;&gt;"")),"Có toạ độ mới nhưng kết quả không phải Sửa vị trí","OK")))</f>
        <v/>
      </c>
    </row>
    <row r="196">
      <c r="A196" s="9" t="n">
        <v>192</v>
      </c>
      <c r="B196" s="9" t="inlineStr">
        <is>
          <t>b2fc394c-23cd-abd0-ab24-4a2c22847934</t>
        </is>
      </c>
      <c r="C196" s="9" t="inlineStr">
        <is>
          <t>Trung bình</t>
        </is>
      </c>
      <c r="D196" s="10" t="inlineStr">
        <is>
          <t>Cây xăng (Xã Ia Nan)</t>
        </is>
      </c>
      <c r="E196" s="9" t="inlineStr">
        <is>
          <t>Cây xăng</t>
        </is>
      </c>
      <c r="F196" s="9" t="inlineStr">
        <is>
          <t>OpenStreetMap</t>
        </is>
      </c>
      <c r="G196" s="10" t="inlineStr">
        <is>
          <t>Xã Ia Nan, Gia Lai</t>
        </is>
      </c>
      <c r="H196" s="9" t="inlineStr">
        <is>
          <t>Xã Ia Nan</t>
        </is>
      </c>
      <c r="I196" s="11" t="n">
        <v>13.723203</v>
      </c>
      <c r="J196" s="11" t="n">
        <v>107.600596</v>
      </c>
      <c r="K196" s="9" t="inlineStr">
        <is>
          <t>Đã đối chiếu</t>
        </is>
      </c>
      <c r="L196" s="10" t="n"/>
      <c r="M196" s="12" t="inlineStr">
        <is>
          <t>Bản đồ</t>
        </is>
      </c>
      <c r="N196" s="13" t="n"/>
      <c r="O196" s="14" t="n"/>
      <c r="P196" s="14" t="n"/>
      <c r="Q196" s="13" t="n"/>
      <c r="R196" s="15" t="n"/>
      <c r="S196" s="13" t="n"/>
      <c r="T196" s="13" t="n"/>
      <c r="U196" s="16">
        <f>IF(AND(ISNUMBER(O196),ISNUMBER(P196)),ROUND(SQRT(((P196-J196)*111320*COS(RADIANS(I196)))^2+((O196-I196)*110540)^2),0),"")</f>
        <v/>
      </c>
      <c r="V196" s="17">
        <f>IF(N196="","",IF(N196="Sửa vị trí",IF(OR(O196="",P196=""),"Thiếu vĩ độ / kinh độ mới",IF(OR(O196&lt;12.5,O196&gt;15,P196&lt;107,P196&gt;109.6),"Toạ độ ngoài Gia Lai (đảo vĩ/kinh độ?)",IF(Q196="","Chọn cách xác định",IF(U196&gt;20000,"Dời hơn 20 km – kiểm tra lại","OK")))),IF(AND(N196&lt;&gt;"Sửa vị trí",OR(O196&lt;&gt;"",P196&lt;&gt;"")),"Có toạ độ mới nhưng kết quả không phải Sửa vị trí","OK")))</f>
        <v/>
      </c>
    </row>
    <row r="197">
      <c r="A197" s="9" t="n">
        <v>193</v>
      </c>
      <c r="B197" s="9" t="inlineStr">
        <is>
          <t>0380988b-28ec-c50a-02fc-dc888b3ead62</t>
        </is>
      </c>
      <c r="C197" s="9" t="inlineStr">
        <is>
          <t>Trung bình</t>
        </is>
      </c>
      <c r="D197" s="10" t="inlineStr">
        <is>
          <t>Cửa hàng Xăng dầu</t>
        </is>
      </c>
      <c r="E197" s="9" t="inlineStr">
        <is>
          <t>Cây xăng</t>
        </is>
      </c>
      <c r="F197" s="9" t="inlineStr">
        <is>
          <t>OpenStreetMap</t>
        </is>
      </c>
      <c r="G197" s="10" t="inlineStr">
        <is>
          <t>Xã Ia Nan, Gia Lai</t>
        </is>
      </c>
      <c r="H197" s="9" t="inlineStr">
        <is>
          <t>Xã Ia Nan</t>
        </is>
      </c>
      <c r="I197" s="11" t="n">
        <v>13.782532</v>
      </c>
      <c r="J197" s="11" t="n">
        <v>107.619933</v>
      </c>
      <c r="K197" s="9" t="inlineStr">
        <is>
          <t>Đã đối chiếu</t>
        </is>
      </c>
      <c r="L197" s="10" t="n"/>
      <c r="M197" s="12" t="inlineStr">
        <is>
          <t>Bản đồ</t>
        </is>
      </c>
      <c r="N197" s="13" t="n"/>
      <c r="O197" s="14" t="n"/>
      <c r="P197" s="14" t="n"/>
      <c r="Q197" s="13" t="n"/>
      <c r="R197" s="15" t="n"/>
      <c r="S197" s="13" t="n"/>
      <c r="T197" s="13" t="n"/>
      <c r="U197" s="16">
        <f>IF(AND(ISNUMBER(O197),ISNUMBER(P197)),ROUND(SQRT(((P197-J197)*111320*COS(RADIANS(I197)))^2+((O197-I197)*110540)^2),0),"")</f>
        <v/>
      </c>
      <c r="V197" s="17">
        <f>IF(N197="","",IF(N197="Sửa vị trí",IF(OR(O197="",P197=""),"Thiếu vĩ độ / kinh độ mới",IF(OR(O197&lt;12.5,O197&gt;15,P197&lt;107,P197&gt;109.6),"Toạ độ ngoài Gia Lai (đảo vĩ/kinh độ?)",IF(Q197="","Chọn cách xác định",IF(U197&gt;20000,"Dời hơn 20 km – kiểm tra lại","OK")))),IF(AND(N197&lt;&gt;"Sửa vị trí",OR(O197&lt;&gt;"",P197&lt;&gt;"")),"Có toạ độ mới nhưng kết quả không phải Sửa vị trí","OK")))</f>
        <v/>
      </c>
    </row>
    <row r="198">
      <c r="A198" s="9" t="n">
        <v>194</v>
      </c>
      <c r="B198" s="9" t="inlineStr">
        <is>
          <t>1aaa8f4a-00fd-6352-0712-e6020bf0c3ad</t>
        </is>
      </c>
      <c r="C198" s="9" t="inlineStr">
        <is>
          <t>Trung bình</t>
        </is>
      </c>
      <c r="D198" s="10" t="inlineStr">
        <is>
          <t>Cửa hàng Xăng dầu</t>
        </is>
      </c>
      <c r="E198" s="9" t="inlineStr">
        <is>
          <t>Cây xăng</t>
        </is>
      </c>
      <c r="F198" s="9" t="inlineStr">
        <is>
          <t>OpenStreetMap</t>
        </is>
      </c>
      <c r="G198" s="10" t="inlineStr">
        <is>
          <t>Xã Ia Nan, Gia Lai</t>
        </is>
      </c>
      <c r="H198" s="9" t="inlineStr">
        <is>
          <t>Xã Ia Nan</t>
        </is>
      </c>
      <c r="I198" s="11" t="n">
        <v>13.774729</v>
      </c>
      <c r="J198" s="11" t="n">
        <v>107.60516</v>
      </c>
      <c r="K198" s="9" t="inlineStr">
        <is>
          <t>Đã đối chiếu</t>
        </is>
      </c>
      <c r="L198" s="10" t="n"/>
      <c r="M198" s="12" t="inlineStr">
        <is>
          <t>Bản đồ</t>
        </is>
      </c>
      <c r="N198" s="13" t="n"/>
      <c r="O198" s="14" t="n"/>
      <c r="P198" s="14" t="n"/>
      <c r="Q198" s="13" t="n"/>
      <c r="R198" s="15" t="n"/>
      <c r="S198" s="13" t="n"/>
      <c r="T198" s="13" t="n"/>
      <c r="U198" s="16">
        <f>IF(AND(ISNUMBER(O198),ISNUMBER(P198)),ROUND(SQRT(((P198-J198)*111320*COS(RADIANS(I198)))^2+((O198-I198)*110540)^2),0),"")</f>
        <v/>
      </c>
      <c r="V198" s="17">
        <f>IF(N198="","",IF(N198="Sửa vị trí",IF(OR(O198="",P198=""),"Thiếu vĩ độ / kinh độ mới",IF(OR(O198&lt;12.5,O198&gt;15,P198&lt;107,P198&gt;109.6),"Toạ độ ngoài Gia Lai (đảo vĩ/kinh độ?)",IF(Q198="","Chọn cách xác định",IF(U198&gt;20000,"Dời hơn 20 km – kiểm tra lại","OK")))),IF(AND(N198&lt;&gt;"Sửa vị trí",OR(O198&lt;&gt;"",P198&lt;&gt;"")),"Có toạ độ mới nhưng kết quả không phải Sửa vị trí","OK")))</f>
        <v/>
      </c>
    </row>
    <row r="199">
      <c r="A199" s="9" t="n">
        <v>195</v>
      </c>
      <c r="B199" s="9" t="inlineStr">
        <is>
          <t>60942532-4e8b-19fd-c7c2-66ae131f4fba</t>
        </is>
      </c>
      <c r="C199" s="9" t="inlineStr">
        <is>
          <t>Trung bình</t>
        </is>
      </c>
      <c r="D199" s="10" t="inlineStr">
        <is>
          <t>Cửa hàng Xăng dầu</t>
        </is>
      </c>
      <c r="E199" s="9" t="inlineStr">
        <is>
          <t>Cây xăng</t>
        </is>
      </c>
      <c r="F199" s="9" t="inlineStr">
        <is>
          <t>OpenStreetMap</t>
        </is>
      </c>
      <c r="G199" s="10" t="inlineStr">
        <is>
          <t>Xã Ia Nan, Gia Lai</t>
        </is>
      </c>
      <c r="H199" s="9" t="inlineStr">
        <is>
          <t>Xã Ia Nan</t>
        </is>
      </c>
      <c r="I199" s="11" t="n">
        <v>13.731886</v>
      </c>
      <c r="J199" s="11" t="n">
        <v>107.600665</v>
      </c>
      <c r="K199" s="9" t="inlineStr">
        <is>
          <t>Đã đối chiếu</t>
        </is>
      </c>
      <c r="L199" s="10" t="n"/>
      <c r="M199" s="12" t="inlineStr">
        <is>
          <t>Bản đồ</t>
        </is>
      </c>
      <c r="N199" s="13" t="n"/>
      <c r="O199" s="14" t="n"/>
      <c r="P199" s="14" t="n"/>
      <c r="Q199" s="13" t="n"/>
      <c r="R199" s="15" t="n"/>
      <c r="S199" s="13" t="n"/>
      <c r="T199" s="13" t="n"/>
      <c r="U199" s="16">
        <f>IF(AND(ISNUMBER(O199),ISNUMBER(P199)),ROUND(SQRT(((P199-J199)*111320*COS(RADIANS(I199)))^2+((O199-I199)*110540)^2),0),"")</f>
        <v/>
      </c>
      <c r="V199" s="17">
        <f>IF(N199="","",IF(N199="Sửa vị trí",IF(OR(O199="",P199=""),"Thiếu vĩ độ / kinh độ mới",IF(OR(O199&lt;12.5,O199&gt;15,P199&lt;107,P199&gt;109.6),"Toạ độ ngoài Gia Lai (đảo vĩ/kinh độ?)",IF(Q199="","Chọn cách xác định",IF(U199&gt;20000,"Dời hơn 20 km – kiểm tra lại","OK")))),IF(AND(N199&lt;&gt;"Sửa vị trí",OR(O199&lt;&gt;"",P199&lt;&gt;"")),"Có toạ độ mới nhưng kết quả không phải Sửa vị trí","OK")))</f>
        <v/>
      </c>
    </row>
    <row r="200">
      <c r="A200" s="9" t="n">
        <v>196</v>
      </c>
      <c r="B200" s="9" t="inlineStr">
        <is>
          <t>40cb0539-ccb2-f819-4648-805bb9826cb1</t>
        </is>
      </c>
      <c r="C200" s="9" t="inlineStr">
        <is>
          <t>Trung bình</t>
        </is>
      </c>
      <c r="D200" s="10" t="inlineStr">
        <is>
          <t>Petrolimex</t>
        </is>
      </c>
      <c r="E200" s="9" t="inlineStr">
        <is>
          <t>Cây xăng</t>
        </is>
      </c>
      <c r="F200" s="9" t="inlineStr">
        <is>
          <t>OpenStreetMap</t>
        </is>
      </c>
      <c r="G200" s="10" t="inlineStr">
        <is>
          <t>Xã Ia Nan, Gia Lai</t>
        </is>
      </c>
      <c r="H200" s="9" t="inlineStr">
        <is>
          <t>Xã Ia Nan</t>
        </is>
      </c>
      <c r="I200" s="11" t="n">
        <v>13.766567</v>
      </c>
      <c r="J200" s="11" t="n">
        <v>107.509127</v>
      </c>
      <c r="K200" s="9" t="inlineStr">
        <is>
          <t>Đã đối chiếu</t>
        </is>
      </c>
      <c r="L200" s="10" t="n"/>
      <c r="M200" s="12" t="inlineStr">
        <is>
          <t>Bản đồ</t>
        </is>
      </c>
      <c r="N200" s="13" t="n"/>
      <c r="O200" s="14" t="n"/>
      <c r="P200" s="14" t="n"/>
      <c r="Q200" s="13" t="n"/>
      <c r="R200" s="15" t="n"/>
      <c r="S200" s="13" t="n"/>
      <c r="T200" s="13" t="n"/>
      <c r="U200" s="16">
        <f>IF(AND(ISNUMBER(O200),ISNUMBER(P200)),ROUND(SQRT(((P200-J200)*111320*COS(RADIANS(I200)))^2+((O200-I200)*110540)^2),0),"")</f>
        <v/>
      </c>
      <c r="V200" s="17">
        <f>IF(N200="","",IF(N200="Sửa vị trí",IF(OR(O200="",P200=""),"Thiếu vĩ độ / kinh độ mới",IF(OR(O200&lt;12.5,O200&gt;15,P200&lt;107,P200&gt;109.6),"Toạ độ ngoài Gia Lai (đảo vĩ/kinh độ?)",IF(Q200="","Chọn cách xác định",IF(U200&gt;20000,"Dời hơn 20 km – kiểm tra lại","OK")))),IF(AND(N200&lt;&gt;"Sửa vị trí",OR(O200&lt;&gt;"",P200&lt;&gt;"")),"Có toạ độ mới nhưng kết quả không phải Sửa vị trí","OK")))</f>
        <v/>
      </c>
    </row>
    <row r="201">
      <c r="A201" s="9" t="n">
        <v>197</v>
      </c>
      <c r="B201" s="9" t="inlineStr">
        <is>
          <t>a4972d36-d627-2567-43ce-fbe17f51c59e</t>
        </is>
      </c>
      <c r="C201" s="9" t="inlineStr">
        <is>
          <t>Trung bình</t>
        </is>
      </c>
      <c r="D201" s="10" t="inlineStr">
        <is>
          <t>Cây xăng (Xã Ia O)</t>
        </is>
      </c>
      <c r="E201" s="9" t="inlineStr">
        <is>
          <t>Cây xăng</t>
        </is>
      </c>
      <c r="F201" s="9" t="inlineStr">
        <is>
          <t>OpenStreetMap</t>
        </is>
      </c>
      <c r="G201" s="10" t="inlineStr">
        <is>
          <t>Xã Ia O, Gia Lai</t>
        </is>
      </c>
      <c r="H201" s="9" t="inlineStr">
        <is>
          <t>Xã Ia O</t>
        </is>
      </c>
      <c r="I201" s="11" t="n">
        <v>13.965612</v>
      </c>
      <c r="J201" s="11" t="n">
        <v>107.515675</v>
      </c>
      <c r="K201" s="9" t="inlineStr">
        <is>
          <t>Đã đối chiếu</t>
        </is>
      </c>
      <c r="L201" s="10" t="n"/>
      <c r="M201" s="12" t="inlineStr">
        <is>
          <t>Bản đồ</t>
        </is>
      </c>
      <c r="N201" s="13" t="n"/>
      <c r="O201" s="14" t="n"/>
      <c r="P201" s="14" t="n"/>
      <c r="Q201" s="13" t="n"/>
      <c r="R201" s="15" t="n"/>
      <c r="S201" s="13" t="n"/>
      <c r="T201" s="13" t="n"/>
      <c r="U201" s="16">
        <f>IF(AND(ISNUMBER(O201),ISNUMBER(P201)),ROUND(SQRT(((P201-J201)*111320*COS(RADIANS(I201)))^2+((O201-I201)*110540)^2),0),"")</f>
        <v/>
      </c>
      <c r="V201" s="17">
        <f>IF(N201="","",IF(N201="Sửa vị trí",IF(OR(O201="",P201=""),"Thiếu vĩ độ / kinh độ mới",IF(OR(O201&lt;12.5,O201&gt;15,P201&lt;107,P201&gt;109.6),"Toạ độ ngoài Gia Lai (đảo vĩ/kinh độ?)",IF(Q201="","Chọn cách xác định",IF(U201&gt;20000,"Dời hơn 20 km – kiểm tra lại","OK")))),IF(AND(N201&lt;&gt;"Sửa vị trí",OR(O201&lt;&gt;"",P201&lt;&gt;"")),"Có toạ độ mới nhưng kết quả không phải Sửa vị trí","OK")))</f>
        <v/>
      </c>
    </row>
    <row r="202">
      <c r="A202" s="9" t="n">
        <v>198</v>
      </c>
      <c r="B202" s="9" t="inlineStr">
        <is>
          <t>e1351b9f-ea9c-2290-0b06-c92cf473143a</t>
        </is>
      </c>
      <c r="C202" s="9" t="inlineStr">
        <is>
          <t>Trung bình</t>
        </is>
      </c>
      <c r="D202" s="10" t="inlineStr">
        <is>
          <t>Cây xăng (Xã Ia O)</t>
        </is>
      </c>
      <c r="E202" s="9" t="inlineStr">
        <is>
          <t>Cây xăng</t>
        </is>
      </c>
      <c r="F202" s="9" t="inlineStr">
        <is>
          <t>OpenStreetMap</t>
        </is>
      </c>
      <c r="G202" s="10" t="inlineStr">
        <is>
          <t>Xã Ia O, Gia Lai</t>
        </is>
      </c>
      <c r="H202" s="9" t="inlineStr">
        <is>
          <t>Xã Ia O</t>
        </is>
      </c>
      <c r="I202" s="11" t="n">
        <v>13.958114</v>
      </c>
      <c r="J202" s="11" t="n">
        <v>107.537693</v>
      </c>
      <c r="K202" s="9" t="inlineStr">
        <is>
          <t>Đã đối chiếu</t>
        </is>
      </c>
      <c r="L202" s="10" t="n"/>
      <c r="M202" s="12" t="inlineStr">
        <is>
          <t>Bản đồ</t>
        </is>
      </c>
      <c r="N202" s="13" t="n"/>
      <c r="O202" s="14" t="n"/>
      <c r="P202" s="14" t="n"/>
      <c r="Q202" s="13" t="n"/>
      <c r="R202" s="15" t="n"/>
      <c r="S202" s="13" t="n"/>
      <c r="T202" s="13" t="n"/>
      <c r="U202" s="16">
        <f>IF(AND(ISNUMBER(O202),ISNUMBER(P202)),ROUND(SQRT(((P202-J202)*111320*COS(RADIANS(I202)))^2+((O202-I202)*110540)^2),0),"")</f>
        <v/>
      </c>
      <c r="V202" s="17">
        <f>IF(N202="","",IF(N202="Sửa vị trí",IF(OR(O202="",P202=""),"Thiếu vĩ độ / kinh độ mới",IF(OR(O202&lt;12.5,O202&gt;15,P202&lt;107,P202&gt;109.6),"Toạ độ ngoài Gia Lai (đảo vĩ/kinh độ?)",IF(Q202="","Chọn cách xác định",IF(U202&gt;20000,"Dời hơn 20 km – kiểm tra lại","OK")))),IF(AND(N202&lt;&gt;"Sửa vị trí",OR(O202&lt;&gt;"",P202&lt;&gt;"")),"Có toạ độ mới nhưng kết quả không phải Sửa vị trí","OK")))</f>
        <v/>
      </c>
    </row>
    <row r="203">
      <c r="A203" s="9" t="n">
        <v>199</v>
      </c>
      <c r="B203" s="9" t="inlineStr">
        <is>
          <t>4f0e9989-dea4-ac7a-90c1-55d18ba3ab11</t>
        </is>
      </c>
      <c r="C203" s="9" t="inlineStr">
        <is>
          <t>Trung bình</t>
        </is>
      </c>
      <c r="D203" s="10" t="inlineStr">
        <is>
          <t>Cửa hàng Xăng dầu</t>
        </is>
      </c>
      <c r="E203" s="9" t="inlineStr">
        <is>
          <t>Cây xăng</t>
        </is>
      </c>
      <c r="F203" s="9" t="inlineStr">
        <is>
          <t>OpenStreetMap</t>
        </is>
      </c>
      <c r="G203" s="10" t="inlineStr">
        <is>
          <t>Xã Ia Phí, Gia Lai</t>
        </is>
      </c>
      <c r="H203" s="9" t="inlineStr">
        <is>
          <t>Xã Ia Phí</t>
        </is>
      </c>
      <c r="I203" s="11" t="n">
        <v>14.145278</v>
      </c>
      <c r="J203" s="11" t="n">
        <v>107.887055</v>
      </c>
      <c r="K203" s="9" t="inlineStr">
        <is>
          <t>Đã đối chiếu</t>
        </is>
      </c>
      <c r="L203" s="10" t="n"/>
      <c r="M203" s="12" t="inlineStr">
        <is>
          <t>Bản đồ</t>
        </is>
      </c>
      <c r="N203" s="13" t="n"/>
      <c r="O203" s="14" t="n"/>
      <c r="P203" s="14" t="n"/>
      <c r="Q203" s="13" t="n"/>
      <c r="R203" s="15" t="n"/>
      <c r="S203" s="13" t="n"/>
      <c r="T203" s="13" t="n"/>
      <c r="U203" s="16">
        <f>IF(AND(ISNUMBER(O203),ISNUMBER(P203)),ROUND(SQRT(((P203-J203)*111320*COS(RADIANS(I203)))^2+((O203-I203)*110540)^2),0),"")</f>
        <v/>
      </c>
      <c r="V203" s="17">
        <f>IF(N203="","",IF(N203="Sửa vị trí",IF(OR(O203="",P203=""),"Thiếu vĩ độ / kinh độ mới",IF(OR(O203&lt;12.5,O203&gt;15,P203&lt;107,P203&gt;109.6),"Toạ độ ngoài Gia Lai (đảo vĩ/kinh độ?)",IF(Q203="","Chọn cách xác định",IF(U203&gt;20000,"Dời hơn 20 km – kiểm tra lại","OK")))),IF(AND(N203&lt;&gt;"Sửa vị trí",OR(O203&lt;&gt;"",P203&lt;&gt;"")),"Có toạ độ mới nhưng kết quả không phải Sửa vị trí","OK")))</f>
        <v/>
      </c>
    </row>
    <row r="204">
      <c r="A204" s="9" t="n">
        <v>200</v>
      </c>
      <c r="B204" s="9" t="inlineStr">
        <is>
          <t>35c8a36a-e030-d9b6-a0ad-48c3ab3fdd14</t>
        </is>
      </c>
      <c r="C204" s="9" t="inlineStr">
        <is>
          <t>Trung bình</t>
        </is>
      </c>
      <c r="D204" s="10" t="inlineStr">
        <is>
          <t>Cửa hàng Xăng dầu</t>
        </is>
      </c>
      <c r="E204" s="9" t="inlineStr">
        <is>
          <t>Cây xăng</t>
        </is>
      </c>
      <c r="F204" s="9" t="inlineStr">
        <is>
          <t>OpenStreetMap</t>
        </is>
      </c>
      <c r="G204" s="10" t="inlineStr">
        <is>
          <t>Xã Ia Phí, Gia Lai</t>
        </is>
      </c>
      <c r="H204" s="9" t="inlineStr">
        <is>
          <t>Xã Ia Phí</t>
        </is>
      </c>
      <c r="I204" s="11" t="n">
        <v>14.089803</v>
      </c>
      <c r="J204" s="11" t="n">
        <v>107.849848</v>
      </c>
      <c r="K204" s="9" t="inlineStr">
        <is>
          <t>Đã đối chiếu</t>
        </is>
      </c>
      <c r="L204" s="10" t="n"/>
      <c r="M204" s="12" t="inlineStr">
        <is>
          <t>Bản đồ</t>
        </is>
      </c>
      <c r="N204" s="13" t="n"/>
      <c r="O204" s="14" t="n"/>
      <c r="P204" s="14" t="n"/>
      <c r="Q204" s="13" t="n"/>
      <c r="R204" s="15" t="n"/>
      <c r="S204" s="13" t="n"/>
      <c r="T204" s="13" t="n"/>
      <c r="U204" s="16">
        <f>IF(AND(ISNUMBER(O204),ISNUMBER(P204)),ROUND(SQRT(((P204-J204)*111320*COS(RADIANS(I204)))^2+((O204-I204)*110540)^2),0),"")</f>
        <v/>
      </c>
      <c r="V204" s="17">
        <f>IF(N204="","",IF(N204="Sửa vị trí",IF(OR(O204="",P204=""),"Thiếu vĩ độ / kinh độ mới",IF(OR(O204&lt;12.5,O204&gt;15,P204&lt;107,P204&gt;109.6),"Toạ độ ngoài Gia Lai (đảo vĩ/kinh độ?)",IF(Q204="","Chọn cách xác định",IF(U204&gt;20000,"Dời hơn 20 km – kiểm tra lại","OK")))),IF(AND(N204&lt;&gt;"Sửa vị trí",OR(O204&lt;&gt;"",P204&lt;&gt;"")),"Có toạ độ mới nhưng kết quả không phải Sửa vị trí","OK")))</f>
        <v/>
      </c>
    </row>
    <row r="205">
      <c r="A205" s="9" t="n">
        <v>201</v>
      </c>
      <c r="B205" s="9" t="inlineStr">
        <is>
          <t>beb3fc1a-d283-9288-7679-445583c9834a</t>
        </is>
      </c>
      <c r="C205" s="9" t="inlineStr">
        <is>
          <t>Trung bình</t>
        </is>
      </c>
      <c r="D205" s="10" t="inlineStr">
        <is>
          <t>PV Oil</t>
        </is>
      </c>
      <c r="E205" s="9" t="inlineStr">
        <is>
          <t>Cây xăng</t>
        </is>
      </c>
      <c r="F205" s="9" t="inlineStr">
        <is>
          <t>OpenStreetMap</t>
        </is>
      </c>
      <c r="G205" s="10" t="inlineStr">
        <is>
          <t>Xã Ia Rsai, Gia Lai</t>
        </is>
      </c>
      <c r="H205" s="9" t="inlineStr">
        <is>
          <t>Xã Ia Rsai</t>
        </is>
      </c>
      <c r="I205" s="11" t="n">
        <v>13.296739</v>
      </c>
      <c r="J205" s="11" t="n">
        <v>108.623578</v>
      </c>
      <c r="K205" s="9" t="inlineStr">
        <is>
          <t>Đã đối chiếu</t>
        </is>
      </c>
      <c r="L205" s="10" t="n"/>
      <c r="M205" s="12" t="inlineStr">
        <is>
          <t>Bản đồ</t>
        </is>
      </c>
      <c r="N205" s="13" t="n"/>
      <c r="O205" s="14" t="n"/>
      <c r="P205" s="14" t="n"/>
      <c r="Q205" s="13" t="n"/>
      <c r="R205" s="15" t="n"/>
      <c r="S205" s="13" t="n"/>
      <c r="T205" s="13" t="n"/>
      <c r="U205" s="16">
        <f>IF(AND(ISNUMBER(O205),ISNUMBER(P205)),ROUND(SQRT(((P205-J205)*111320*COS(RADIANS(I205)))^2+((O205-I205)*110540)^2),0),"")</f>
        <v/>
      </c>
      <c r="V205" s="17">
        <f>IF(N205="","",IF(N205="Sửa vị trí",IF(OR(O205="",P205=""),"Thiếu vĩ độ / kinh độ mới",IF(OR(O205&lt;12.5,O205&gt;15,P205&lt;107,P205&gt;109.6),"Toạ độ ngoài Gia Lai (đảo vĩ/kinh độ?)",IF(Q205="","Chọn cách xác định",IF(U205&gt;20000,"Dời hơn 20 km – kiểm tra lại","OK")))),IF(AND(N205&lt;&gt;"Sửa vị trí",OR(O205&lt;&gt;"",P205&lt;&gt;"")),"Có toạ độ mới nhưng kết quả không phải Sửa vị trí","OK")))</f>
        <v/>
      </c>
    </row>
    <row r="206">
      <c r="A206" s="9" t="n">
        <v>202</v>
      </c>
      <c r="B206" s="9" t="inlineStr">
        <is>
          <t>d8c4cbdf-6b56-1801-c97c-ad3b4ce5c50c</t>
        </is>
      </c>
      <c r="C206" s="9" t="inlineStr">
        <is>
          <t>Trung bình</t>
        </is>
      </c>
      <c r="D206" s="10" t="inlineStr">
        <is>
          <t>PV Oil</t>
        </is>
      </c>
      <c r="E206" s="9" t="inlineStr">
        <is>
          <t>Cây xăng</t>
        </is>
      </c>
      <c r="F206" s="9" t="inlineStr">
        <is>
          <t>OpenStreetMap</t>
        </is>
      </c>
      <c r="G206" s="10" t="inlineStr">
        <is>
          <t>Xã Ia Rsai, Gia Lai</t>
        </is>
      </c>
      <c r="H206" s="9" t="inlineStr">
        <is>
          <t>Xã Ia Rsai</t>
        </is>
      </c>
      <c r="I206" s="11" t="n">
        <v>13.25036</v>
      </c>
      <c r="J206" s="11" t="n">
        <v>108.630814</v>
      </c>
      <c r="K206" s="9" t="inlineStr">
        <is>
          <t>Đã đối chiếu</t>
        </is>
      </c>
      <c r="L206" s="10" t="n"/>
      <c r="M206" s="12" t="inlineStr">
        <is>
          <t>Bản đồ</t>
        </is>
      </c>
      <c r="N206" s="13" t="n"/>
      <c r="O206" s="14" t="n"/>
      <c r="P206" s="14" t="n"/>
      <c r="Q206" s="13" t="n"/>
      <c r="R206" s="15" t="n"/>
      <c r="S206" s="13" t="n"/>
      <c r="T206" s="13" t="n"/>
      <c r="U206" s="16">
        <f>IF(AND(ISNUMBER(O206),ISNUMBER(P206)),ROUND(SQRT(((P206-J206)*111320*COS(RADIANS(I206)))^2+((O206-I206)*110540)^2),0),"")</f>
        <v/>
      </c>
      <c r="V206" s="17">
        <f>IF(N206="","",IF(N206="Sửa vị trí",IF(OR(O206="",P206=""),"Thiếu vĩ độ / kinh độ mới",IF(OR(O206&lt;12.5,O206&gt;15,P206&lt;107,P206&gt;109.6),"Toạ độ ngoài Gia Lai (đảo vĩ/kinh độ?)",IF(Q206="","Chọn cách xác định",IF(U206&gt;20000,"Dời hơn 20 km – kiểm tra lại","OK")))),IF(AND(N206&lt;&gt;"Sửa vị trí",OR(O206&lt;&gt;"",P206&lt;&gt;"")),"Có toạ độ mới nhưng kết quả không phải Sửa vị trí","OK")))</f>
        <v/>
      </c>
    </row>
    <row r="207">
      <c r="A207" s="9" t="n">
        <v>203</v>
      </c>
      <c r="B207" s="9" t="inlineStr">
        <is>
          <t>c9b826bc-bebb-5529-a57c-22c8ead56767</t>
        </is>
      </c>
      <c r="C207" s="9" t="inlineStr">
        <is>
          <t>Trung bình</t>
        </is>
      </c>
      <c r="D207" s="10" t="inlineStr">
        <is>
          <t>PV Oil</t>
        </is>
      </c>
      <c r="E207" s="9" t="inlineStr">
        <is>
          <t>Cây xăng</t>
        </is>
      </c>
      <c r="F207" s="9" t="inlineStr">
        <is>
          <t>OpenStreetMap</t>
        </is>
      </c>
      <c r="G207" s="10" t="inlineStr">
        <is>
          <t>Xã Ia Rsai, Gia Lai</t>
        </is>
      </c>
      <c r="H207" s="9" t="inlineStr">
        <is>
          <t>Xã Ia Rsai</t>
        </is>
      </c>
      <c r="I207" s="11" t="n">
        <v>13.235321</v>
      </c>
      <c r="J207" s="11" t="n">
        <v>108.64125</v>
      </c>
      <c r="K207" s="9" t="inlineStr">
        <is>
          <t>Đã đối chiếu</t>
        </is>
      </c>
      <c r="L207" s="10" t="n"/>
      <c r="M207" s="12" t="inlineStr">
        <is>
          <t>Bản đồ</t>
        </is>
      </c>
      <c r="N207" s="13" t="n"/>
      <c r="O207" s="14" t="n"/>
      <c r="P207" s="14" t="n"/>
      <c r="Q207" s="13" t="n"/>
      <c r="R207" s="15" t="n"/>
      <c r="S207" s="13" t="n"/>
      <c r="T207" s="13" t="n"/>
      <c r="U207" s="16">
        <f>IF(AND(ISNUMBER(O207),ISNUMBER(P207)),ROUND(SQRT(((P207-J207)*111320*COS(RADIANS(I207)))^2+((O207-I207)*110540)^2),0),"")</f>
        <v/>
      </c>
      <c r="V207" s="17">
        <f>IF(N207="","",IF(N207="Sửa vị trí",IF(OR(O207="",P207=""),"Thiếu vĩ độ / kinh độ mới",IF(OR(O207&lt;12.5,O207&gt;15,P207&lt;107,P207&gt;109.6),"Toạ độ ngoài Gia Lai (đảo vĩ/kinh độ?)",IF(Q207="","Chọn cách xác định",IF(U207&gt;20000,"Dời hơn 20 km – kiểm tra lại","OK")))),IF(AND(N207&lt;&gt;"Sửa vị trí",OR(O207&lt;&gt;"",P207&lt;&gt;"")),"Có toạ độ mới nhưng kết quả không phải Sửa vị trí","OK")))</f>
        <v/>
      </c>
    </row>
    <row r="208">
      <c r="A208" s="9" t="n">
        <v>204</v>
      </c>
      <c r="B208" s="9" t="inlineStr">
        <is>
          <t>dd6c833f-ce2c-c19a-8996-ff1d89a8f2c4</t>
        </is>
      </c>
      <c r="C208" s="9" t="inlineStr">
        <is>
          <t>Trung bình</t>
        </is>
      </c>
      <c r="D208" s="10" t="inlineStr">
        <is>
          <t>Petrolimex</t>
        </is>
      </c>
      <c r="E208" s="9" t="inlineStr">
        <is>
          <t>Cây xăng</t>
        </is>
      </c>
      <c r="F208" s="9" t="inlineStr">
        <is>
          <t>OpenStreetMap</t>
        </is>
      </c>
      <c r="G208" s="10" t="inlineStr">
        <is>
          <t>Xã Ia Sao, Gia Lai</t>
        </is>
      </c>
      <c r="H208" s="9" t="inlineStr">
        <is>
          <t>Xã Ia Sao</t>
        </is>
      </c>
      <c r="I208" s="11" t="n">
        <v>13.367956</v>
      </c>
      <c r="J208" s="11" t="n">
        <v>108.465987</v>
      </c>
      <c r="K208" s="9" t="inlineStr">
        <is>
          <t>Đã đối chiếu</t>
        </is>
      </c>
      <c r="L208" s="10" t="n"/>
      <c r="M208" s="12" t="inlineStr">
        <is>
          <t>Bản đồ</t>
        </is>
      </c>
      <c r="N208" s="13" t="n"/>
      <c r="O208" s="14" t="n"/>
      <c r="P208" s="14" t="n"/>
      <c r="Q208" s="13" t="n"/>
      <c r="R208" s="15" t="n"/>
      <c r="S208" s="13" t="n"/>
      <c r="T208" s="13" t="n"/>
      <c r="U208" s="16">
        <f>IF(AND(ISNUMBER(O208),ISNUMBER(P208)),ROUND(SQRT(((P208-J208)*111320*COS(RADIANS(I208)))^2+((O208-I208)*110540)^2),0),"")</f>
        <v/>
      </c>
      <c r="V208" s="17">
        <f>IF(N208="","",IF(N208="Sửa vị trí",IF(OR(O208="",P208=""),"Thiếu vĩ độ / kinh độ mới",IF(OR(O208&lt;12.5,O208&gt;15,P208&lt;107,P208&gt;109.6),"Toạ độ ngoài Gia Lai (đảo vĩ/kinh độ?)",IF(Q208="","Chọn cách xác định",IF(U208&gt;20000,"Dời hơn 20 km – kiểm tra lại","OK")))),IF(AND(N208&lt;&gt;"Sửa vị trí",OR(O208&lt;&gt;"",P208&lt;&gt;"")),"Có toạ độ mới nhưng kết quả không phải Sửa vị trí","OK")))</f>
        <v/>
      </c>
    </row>
    <row r="209">
      <c r="A209" s="9" t="n">
        <v>205</v>
      </c>
      <c r="B209" s="9" t="inlineStr">
        <is>
          <t>954b968b-5352-0629-de27-059929780084</t>
        </is>
      </c>
      <c r="C209" s="9" t="inlineStr">
        <is>
          <t>Trung bình</t>
        </is>
      </c>
      <c r="D209" s="10" t="inlineStr">
        <is>
          <t>MIPE Corp</t>
        </is>
      </c>
      <c r="E209" s="9" t="inlineStr">
        <is>
          <t>Cây xăng</t>
        </is>
      </c>
      <c r="F209" s="9" t="inlineStr">
        <is>
          <t>OpenStreetMap</t>
        </is>
      </c>
      <c r="G209" s="10" t="inlineStr">
        <is>
          <t>Xã Ia Tôr, Gia Lai</t>
        </is>
      </c>
      <c r="H209" s="9" t="inlineStr">
        <is>
          <t>Xã Ia Tôr</t>
        </is>
      </c>
      <c r="I209" s="11" t="n">
        <v>13.799621</v>
      </c>
      <c r="J209" s="11" t="n">
        <v>108.003466</v>
      </c>
      <c r="K209" s="9" t="inlineStr">
        <is>
          <t>Đã đối chiếu</t>
        </is>
      </c>
      <c r="L209" s="10" t="n"/>
      <c r="M209" s="12" t="inlineStr">
        <is>
          <t>Bản đồ</t>
        </is>
      </c>
      <c r="N209" s="13" t="n"/>
      <c r="O209" s="14" t="n"/>
      <c r="P209" s="14" t="n"/>
      <c r="Q209" s="13" t="n"/>
      <c r="R209" s="15" t="n"/>
      <c r="S209" s="13" t="n"/>
      <c r="T209" s="13" t="n"/>
      <c r="U209" s="16">
        <f>IF(AND(ISNUMBER(O209),ISNUMBER(P209)),ROUND(SQRT(((P209-J209)*111320*COS(RADIANS(I209)))^2+((O209-I209)*110540)^2),0),"")</f>
        <v/>
      </c>
      <c r="V209" s="17">
        <f>IF(N209="","",IF(N209="Sửa vị trí",IF(OR(O209="",P209=""),"Thiếu vĩ độ / kinh độ mới",IF(OR(O209&lt;12.5,O209&gt;15,P209&lt;107,P209&gt;109.6),"Toạ độ ngoài Gia Lai (đảo vĩ/kinh độ?)",IF(Q209="","Chọn cách xác định",IF(U209&gt;20000,"Dời hơn 20 km – kiểm tra lại","OK")))),IF(AND(N209&lt;&gt;"Sửa vị trí",OR(O209&lt;&gt;"",P209&lt;&gt;"")),"Có toạ độ mới nhưng kết quả không phải Sửa vị trí","OK")))</f>
        <v/>
      </c>
    </row>
    <row r="210">
      <c r="A210" s="9" t="n">
        <v>206</v>
      </c>
      <c r="B210" s="9" t="inlineStr">
        <is>
          <t>1a187ef2-923f-cf18-dcfa-2af524faf7b6</t>
        </is>
      </c>
      <c r="C210" s="9" t="inlineStr">
        <is>
          <t>Trung bình</t>
        </is>
      </c>
      <c r="D210" s="10" t="inlineStr">
        <is>
          <t>MIPE Corp</t>
        </is>
      </c>
      <c r="E210" s="9" t="inlineStr">
        <is>
          <t>Cây xăng</t>
        </is>
      </c>
      <c r="F210" s="9" t="inlineStr">
        <is>
          <t>OpenStreetMap</t>
        </is>
      </c>
      <c r="G210" s="10" t="inlineStr">
        <is>
          <t>Xã Ia Tôr, Gia Lai</t>
        </is>
      </c>
      <c r="H210" s="9" t="inlineStr">
        <is>
          <t>Xã Ia Tôr</t>
        </is>
      </c>
      <c r="I210" s="11" t="n">
        <v>13.816293</v>
      </c>
      <c r="J210" s="11" t="n">
        <v>108.002644</v>
      </c>
      <c r="K210" s="9" t="inlineStr">
        <is>
          <t>Đã đối chiếu</t>
        </is>
      </c>
      <c r="L210" s="10" t="n"/>
      <c r="M210" s="12" t="inlineStr">
        <is>
          <t>Bản đồ</t>
        </is>
      </c>
      <c r="N210" s="13" t="n"/>
      <c r="O210" s="14" t="n"/>
      <c r="P210" s="14" t="n"/>
      <c r="Q210" s="13" t="n"/>
      <c r="R210" s="15" t="n"/>
      <c r="S210" s="13" t="n"/>
      <c r="T210" s="13" t="n"/>
      <c r="U210" s="16">
        <f>IF(AND(ISNUMBER(O210),ISNUMBER(P210)),ROUND(SQRT(((P210-J210)*111320*COS(RADIANS(I210)))^2+((O210-I210)*110540)^2),0),"")</f>
        <v/>
      </c>
      <c r="V210" s="17">
        <f>IF(N210="","",IF(N210="Sửa vị trí",IF(OR(O210="",P210=""),"Thiếu vĩ độ / kinh độ mới",IF(OR(O210&lt;12.5,O210&gt;15,P210&lt;107,P210&gt;109.6),"Toạ độ ngoài Gia Lai (đảo vĩ/kinh độ?)",IF(Q210="","Chọn cách xác định",IF(U210&gt;20000,"Dời hơn 20 km – kiểm tra lại","OK")))),IF(AND(N210&lt;&gt;"Sửa vị trí",OR(O210&lt;&gt;"",P210&lt;&gt;"")),"Có toạ độ mới nhưng kết quả không phải Sửa vị trí","OK")))</f>
        <v/>
      </c>
    </row>
    <row r="211">
      <c r="A211" s="9" t="n">
        <v>207</v>
      </c>
      <c r="B211" s="9" t="inlineStr">
        <is>
          <t>62a3880f-6cb3-d885-922f-649a6bde24cb</t>
        </is>
      </c>
      <c r="C211" s="9" t="inlineStr">
        <is>
          <t>Trung bình</t>
        </is>
      </c>
      <c r="D211" s="10" t="inlineStr">
        <is>
          <t>Nam Phuc</t>
        </is>
      </c>
      <c r="E211" s="9" t="inlineStr">
        <is>
          <t>Cây xăng</t>
        </is>
      </c>
      <c r="F211" s="9" t="inlineStr">
        <is>
          <t>OpenStreetMap</t>
        </is>
      </c>
      <c r="G211" s="10" t="inlineStr">
        <is>
          <t>Xã Ia Tôr, Gia Lai</t>
        </is>
      </c>
      <c r="H211" s="9" t="inlineStr">
        <is>
          <t>Xã Ia Tôr</t>
        </is>
      </c>
      <c r="I211" s="11" t="n">
        <v>13.875541</v>
      </c>
      <c r="J211" s="11" t="n">
        <v>108.008584</v>
      </c>
      <c r="K211" s="9" t="inlineStr">
        <is>
          <t>Đã đối chiếu</t>
        </is>
      </c>
      <c r="L211" s="10" t="n"/>
      <c r="M211" s="12" t="inlineStr">
        <is>
          <t>Bản đồ</t>
        </is>
      </c>
      <c r="N211" s="13" t="n"/>
      <c r="O211" s="14" t="n"/>
      <c r="P211" s="14" t="n"/>
      <c r="Q211" s="13" t="n"/>
      <c r="R211" s="15" t="n"/>
      <c r="S211" s="13" t="n"/>
      <c r="T211" s="13" t="n"/>
      <c r="U211" s="16">
        <f>IF(AND(ISNUMBER(O211),ISNUMBER(P211)),ROUND(SQRT(((P211-J211)*111320*COS(RADIANS(I211)))^2+((O211-I211)*110540)^2),0),"")</f>
        <v/>
      </c>
      <c r="V211" s="17">
        <f>IF(N211="","",IF(N211="Sửa vị trí",IF(OR(O211="",P211=""),"Thiếu vĩ độ / kinh độ mới",IF(OR(O211&lt;12.5,O211&gt;15,P211&lt;107,P211&gt;109.6),"Toạ độ ngoài Gia Lai (đảo vĩ/kinh độ?)",IF(Q211="","Chọn cách xác định",IF(U211&gt;20000,"Dời hơn 20 km – kiểm tra lại","OK")))),IF(AND(N211&lt;&gt;"Sửa vị trí",OR(O211&lt;&gt;"",P211&lt;&gt;"")),"Có toạ độ mới nhưng kết quả không phải Sửa vị trí","OK")))</f>
        <v/>
      </c>
    </row>
    <row r="212">
      <c r="A212" s="9" t="n">
        <v>208</v>
      </c>
      <c r="B212" s="9" t="inlineStr">
        <is>
          <t>264e5580-8f61-8027-a091-d9f2225a087e</t>
        </is>
      </c>
      <c r="C212" s="9" t="inlineStr">
        <is>
          <t>Trung bình</t>
        </is>
      </c>
      <c r="D212" s="10" t="inlineStr">
        <is>
          <t>Nam Phuc</t>
        </is>
      </c>
      <c r="E212" s="9" t="inlineStr">
        <is>
          <t>Cây xăng</t>
        </is>
      </c>
      <c r="F212" s="9" t="inlineStr">
        <is>
          <t>OpenStreetMap</t>
        </is>
      </c>
      <c r="G212" s="10" t="inlineStr">
        <is>
          <t>Xã Ia Tôr, Gia Lai</t>
        </is>
      </c>
      <c r="H212" s="9" t="inlineStr">
        <is>
          <t>Xã Ia Tôr</t>
        </is>
      </c>
      <c r="I212" s="11" t="n">
        <v>13.844211</v>
      </c>
      <c r="J212" s="11" t="n">
        <v>107.997963</v>
      </c>
      <c r="K212" s="9" t="inlineStr">
        <is>
          <t>Đã đối chiếu</t>
        </is>
      </c>
      <c r="L212" s="10" t="n"/>
      <c r="M212" s="12" t="inlineStr">
        <is>
          <t>Bản đồ</t>
        </is>
      </c>
      <c r="N212" s="13" t="n"/>
      <c r="O212" s="14" t="n"/>
      <c r="P212" s="14" t="n"/>
      <c r="Q212" s="13" t="n"/>
      <c r="R212" s="15" t="n"/>
      <c r="S212" s="13" t="n"/>
      <c r="T212" s="13" t="n"/>
      <c r="U212" s="16">
        <f>IF(AND(ISNUMBER(O212),ISNUMBER(P212)),ROUND(SQRT(((P212-J212)*111320*COS(RADIANS(I212)))^2+((O212-I212)*110540)^2),0),"")</f>
        <v/>
      </c>
      <c r="V212" s="17">
        <f>IF(N212="","",IF(N212="Sửa vị trí",IF(OR(O212="",P212=""),"Thiếu vĩ độ / kinh độ mới",IF(OR(O212&lt;12.5,O212&gt;15,P212&lt;107,P212&gt;109.6),"Toạ độ ngoài Gia Lai (đảo vĩ/kinh độ?)",IF(Q212="","Chọn cách xác định",IF(U212&gt;20000,"Dời hơn 20 km – kiểm tra lại","OK")))),IF(AND(N212&lt;&gt;"Sửa vị trí",OR(O212&lt;&gt;"",P212&lt;&gt;"")),"Có toạ độ mới nhưng kết quả không phải Sửa vị trí","OK")))</f>
        <v/>
      </c>
    </row>
    <row r="213">
      <c r="A213" s="9" t="n">
        <v>209</v>
      </c>
      <c r="B213" s="9" t="inlineStr">
        <is>
          <t>95ad7fcf-e526-9214-1272-80bfbff7b3f4</t>
        </is>
      </c>
      <c r="C213" s="9" t="inlineStr">
        <is>
          <t>Trung bình</t>
        </is>
      </c>
      <c r="D213" s="10" t="inlineStr">
        <is>
          <t>PV Oil</t>
        </is>
      </c>
      <c r="E213" s="9" t="inlineStr">
        <is>
          <t>Cây xăng</t>
        </is>
      </c>
      <c r="F213" s="9" t="inlineStr">
        <is>
          <t>OpenStreetMap</t>
        </is>
      </c>
      <c r="G213" s="10" t="inlineStr">
        <is>
          <t>Xã Ia Tôr, Gia Lai</t>
        </is>
      </c>
      <c r="H213" s="9" t="inlineStr">
        <is>
          <t>Xã Ia Tôr</t>
        </is>
      </c>
      <c r="I213" s="11" t="n">
        <v>13.818303</v>
      </c>
      <c r="J213" s="11" t="n">
        <v>108.002037</v>
      </c>
      <c r="K213" s="9" t="inlineStr">
        <is>
          <t>Đã đối chiếu</t>
        </is>
      </c>
      <c r="L213" s="10" t="n"/>
      <c r="M213" s="12" t="inlineStr">
        <is>
          <t>Bản đồ</t>
        </is>
      </c>
      <c r="N213" s="13" t="n"/>
      <c r="O213" s="14" t="n"/>
      <c r="P213" s="14" t="n"/>
      <c r="Q213" s="13" t="n"/>
      <c r="R213" s="15" t="n"/>
      <c r="S213" s="13" t="n"/>
      <c r="T213" s="13" t="n"/>
      <c r="U213" s="16">
        <f>IF(AND(ISNUMBER(O213),ISNUMBER(P213)),ROUND(SQRT(((P213-J213)*111320*COS(RADIANS(I213)))^2+((O213-I213)*110540)^2),0),"")</f>
        <v/>
      </c>
      <c r="V213" s="17">
        <f>IF(N213="","",IF(N213="Sửa vị trí",IF(OR(O213="",P213=""),"Thiếu vĩ độ / kinh độ mới",IF(OR(O213&lt;12.5,O213&gt;15,P213&lt;107,P213&gt;109.6),"Toạ độ ngoài Gia Lai (đảo vĩ/kinh độ?)",IF(Q213="","Chọn cách xác định",IF(U213&gt;20000,"Dời hơn 20 km – kiểm tra lại","OK")))),IF(AND(N213&lt;&gt;"Sửa vị trí",OR(O213&lt;&gt;"",P213&lt;&gt;"")),"Có toạ độ mới nhưng kết quả không phải Sửa vị trí","OK")))</f>
        <v/>
      </c>
    </row>
    <row r="214">
      <c r="A214" s="9" t="n">
        <v>210</v>
      </c>
      <c r="B214" s="9" t="inlineStr">
        <is>
          <t>7447e246-b25f-f546-02db-e74a33a14555</t>
        </is>
      </c>
      <c r="C214" s="9" t="inlineStr">
        <is>
          <t>Trung bình</t>
        </is>
      </c>
      <c r="D214" s="10" t="inlineStr">
        <is>
          <t>Petrolimex</t>
        </is>
      </c>
      <c r="E214" s="9" t="inlineStr">
        <is>
          <t>Cây xăng</t>
        </is>
      </c>
      <c r="F214" s="9" t="inlineStr">
        <is>
          <t>OpenStreetMap</t>
        </is>
      </c>
      <c r="G214" s="10" t="inlineStr">
        <is>
          <t>Xã Ia Tôr, Gia Lai</t>
        </is>
      </c>
      <c r="H214" s="9" t="inlineStr">
        <is>
          <t>Xã Ia Tôr</t>
        </is>
      </c>
      <c r="I214" s="11" t="n">
        <v>13.837449</v>
      </c>
      <c r="J214" s="11" t="n">
        <v>107.998137</v>
      </c>
      <c r="K214" s="9" t="inlineStr">
        <is>
          <t>Đã đối chiếu</t>
        </is>
      </c>
      <c r="L214" s="10" t="n"/>
      <c r="M214" s="12" t="inlineStr">
        <is>
          <t>Bản đồ</t>
        </is>
      </c>
      <c r="N214" s="13" t="n"/>
      <c r="O214" s="14" t="n"/>
      <c r="P214" s="14" t="n"/>
      <c r="Q214" s="13" t="n"/>
      <c r="R214" s="15" t="n"/>
      <c r="S214" s="13" t="n"/>
      <c r="T214" s="13" t="n"/>
      <c r="U214" s="16">
        <f>IF(AND(ISNUMBER(O214),ISNUMBER(P214)),ROUND(SQRT(((P214-J214)*111320*COS(RADIANS(I214)))^2+((O214-I214)*110540)^2),0),"")</f>
        <v/>
      </c>
      <c r="V214" s="17">
        <f>IF(N214="","",IF(N214="Sửa vị trí",IF(OR(O214="",P214=""),"Thiếu vĩ độ / kinh độ mới",IF(OR(O214&lt;12.5,O214&gt;15,P214&lt;107,P214&gt;109.6),"Toạ độ ngoài Gia Lai (đảo vĩ/kinh độ?)",IF(Q214="","Chọn cách xác định",IF(U214&gt;20000,"Dời hơn 20 km – kiểm tra lại","OK")))),IF(AND(N214&lt;&gt;"Sửa vị trí",OR(O214&lt;&gt;"",P214&lt;&gt;"")),"Có toạ độ mới nhưng kết quả không phải Sửa vị trí","OK")))</f>
        <v/>
      </c>
    </row>
    <row r="215">
      <c r="A215" s="9" t="n">
        <v>211</v>
      </c>
      <c r="B215" s="9" t="inlineStr">
        <is>
          <t>24777879-413b-d193-98c1-c6271134f2c3</t>
        </is>
      </c>
      <c r="C215" s="9" t="inlineStr">
        <is>
          <t>Trung bình</t>
        </is>
      </c>
      <c r="D215" s="10" t="inlineStr">
        <is>
          <t>Petrolimex</t>
        </is>
      </c>
      <c r="E215" s="9" t="inlineStr">
        <is>
          <t>Cây xăng</t>
        </is>
      </c>
      <c r="F215" s="9" t="inlineStr">
        <is>
          <t>OpenStreetMap</t>
        </is>
      </c>
      <c r="G215" s="10" t="inlineStr">
        <is>
          <t>Xã Ia Tôr, Gia Lai</t>
        </is>
      </c>
      <c r="H215" s="9" t="inlineStr">
        <is>
          <t>Xã Ia Tôr</t>
        </is>
      </c>
      <c r="I215" s="11" t="n">
        <v>13.796079</v>
      </c>
      <c r="J215" s="11" t="n">
        <v>108.003366</v>
      </c>
      <c r="K215" s="9" t="inlineStr">
        <is>
          <t>Đã đối chiếu</t>
        </is>
      </c>
      <c r="L215" s="10" t="n"/>
      <c r="M215" s="12" t="inlineStr">
        <is>
          <t>Bản đồ</t>
        </is>
      </c>
      <c r="N215" s="13" t="n"/>
      <c r="O215" s="14" t="n"/>
      <c r="P215" s="14" t="n"/>
      <c r="Q215" s="13" t="n"/>
      <c r="R215" s="15" t="n"/>
      <c r="S215" s="13" t="n"/>
      <c r="T215" s="13" t="n"/>
      <c r="U215" s="16">
        <f>IF(AND(ISNUMBER(O215),ISNUMBER(P215)),ROUND(SQRT(((P215-J215)*111320*COS(RADIANS(I215)))^2+((O215-I215)*110540)^2),0),"")</f>
        <v/>
      </c>
      <c r="V215" s="17">
        <f>IF(N215="","",IF(N215="Sửa vị trí",IF(OR(O215="",P215=""),"Thiếu vĩ độ / kinh độ mới",IF(OR(O215&lt;12.5,O215&gt;15,P215&lt;107,P215&gt;109.6),"Toạ độ ngoài Gia Lai (đảo vĩ/kinh độ?)",IF(Q215="","Chọn cách xác định",IF(U215&gt;20000,"Dời hơn 20 km – kiểm tra lại","OK")))),IF(AND(N215&lt;&gt;"Sửa vị trí",OR(O215&lt;&gt;"",P215&lt;&gt;"")),"Có toạ độ mới nhưng kết quả không phải Sửa vị trí","OK")))</f>
        <v/>
      </c>
    </row>
    <row r="216">
      <c r="A216" s="9" t="n">
        <v>212</v>
      </c>
      <c r="B216" s="9" t="inlineStr">
        <is>
          <t>4abd42ca-904e-5f2b-1fb5-25db342b4368</t>
        </is>
      </c>
      <c r="C216" s="9" t="inlineStr">
        <is>
          <t>Trung bình</t>
        </is>
      </c>
      <c r="D216" s="10" t="inlineStr">
        <is>
          <t>Cây xăng (Xã Ngô Mây)</t>
        </is>
      </c>
      <c r="E216" s="9" t="inlineStr">
        <is>
          <t>Cây xăng</t>
        </is>
      </c>
      <c r="F216" s="9" t="inlineStr">
        <is>
          <t>OpenStreetMap</t>
        </is>
      </c>
      <c r="G216" s="10" t="inlineStr">
        <is>
          <t>Xã Ngô Mây, Gia Lai</t>
        </is>
      </c>
      <c r="H216" s="9" t="inlineStr">
        <is>
          <t>Xã Ngô Mây</t>
        </is>
      </c>
      <c r="I216" s="11" t="n">
        <v>13.902359</v>
      </c>
      <c r="J216" s="11" t="n">
        <v>109.255319</v>
      </c>
      <c r="K216" s="9" t="inlineStr">
        <is>
          <t>Đã đối chiếu</t>
        </is>
      </c>
      <c r="L216" s="10" t="n"/>
      <c r="M216" s="12" t="inlineStr">
        <is>
          <t>Bản đồ</t>
        </is>
      </c>
      <c r="N216" s="13" t="n"/>
      <c r="O216" s="14" t="n"/>
      <c r="P216" s="14" t="n"/>
      <c r="Q216" s="13" t="n"/>
      <c r="R216" s="15" t="n"/>
      <c r="S216" s="13" t="n"/>
      <c r="T216" s="13" t="n"/>
      <c r="U216" s="16">
        <f>IF(AND(ISNUMBER(O216),ISNUMBER(P216)),ROUND(SQRT(((P216-J216)*111320*COS(RADIANS(I216)))^2+((O216-I216)*110540)^2),0),"")</f>
        <v/>
      </c>
      <c r="V216" s="17">
        <f>IF(N216="","",IF(N216="Sửa vị trí",IF(OR(O216="",P216=""),"Thiếu vĩ độ / kinh độ mới",IF(OR(O216&lt;12.5,O216&gt;15,P216&lt;107,P216&gt;109.6),"Toạ độ ngoài Gia Lai (đảo vĩ/kinh độ?)",IF(Q216="","Chọn cách xác định",IF(U216&gt;20000,"Dời hơn 20 km – kiểm tra lại","OK")))),IF(AND(N216&lt;&gt;"Sửa vị trí",OR(O216&lt;&gt;"",P216&lt;&gt;"")),"Có toạ độ mới nhưng kết quả không phải Sửa vị trí","OK")))</f>
        <v/>
      </c>
    </row>
    <row r="217">
      <c r="A217" s="9" t="n">
        <v>213</v>
      </c>
      <c r="B217" s="9" t="inlineStr">
        <is>
          <t>0af12da1-f167-895e-51b3-2ee3d027151b</t>
        </is>
      </c>
      <c r="C217" s="9" t="inlineStr">
        <is>
          <t>Trung bình</t>
        </is>
      </c>
      <c r="D217" s="10" t="inlineStr">
        <is>
          <t>Cây xăng Bến xe Phù Cát</t>
        </is>
      </c>
      <c r="E217" s="9" t="inlineStr">
        <is>
          <t>Cây xăng</t>
        </is>
      </c>
      <c r="F217" s="9" t="inlineStr">
        <is>
          <t>OpenStreetMap</t>
        </is>
      </c>
      <c r="G217" s="10" t="inlineStr">
        <is>
          <t>Xã Phù Cát, Gia Lai</t>
        </is>
      </c>
      <c r="H217" s="9" t="inlineStr">
        <is>
          <t>Xã Phù Cát</t>
        </is>
      </c>
      <c r="I217" s="11" t="n">
        <v>14.01583</v>
      </c>
      <c r="J217" s="11" t="n">
        <v>109.054691</v>
      </c>
      <c r="K217" s="9" t="inlineStr">
        <is>
          <t>Đã đối chiếu</t>
        </is>
      </c>
      <c r="L217" s="10" t="n"/>
      <c r="M217" s="12" t="inlineStr">
        <is>
          <t>Bản đồ</t>
        </is>
      </c>
      <c r="N217" s="13" t="n"/>
      <c r="O217" s="14" t="n"/>
      <c r="P217" s="14" t="n"/>
      <c r="Q217" s="13" t="n"/>
      <c r="R217" s="15" t="n"/>
      <c r="S217" s="13" t="n"/>
      <c r="T217" s="13" t="n"/>
      <c r="U217" s="16">
        <f>IF(AND(ISNUMBER(O217),ISNUMBER(P217)),ROUND(SQRT(((P217-J217)*111320*COS(RADIANS(I217)))^2+((O217-I217)*110540)^2),0),"")</f>
        <v/>
      </c>
      <c r="V217" s="17">
        <f>IF(N217="","",IF(N217="Sửa vị trí",IF(OR(O217="",P217=""),"Thiếu vĩ độ / kinh độ mới",IF(OR(O217&lt;12.5,O217&gt;15,P217&lt;107,P217&gt;109.6),"Toạ độ ngoài Gia Lai (đảo vĩ/kinh độ?)",IF(Q217="","Chọn cách xác định",IF(U217&gt;20000,"Dời hơn 20 km – kiểm tra lại","OK")))),IF(AND(N217&lt;&gt;"Sửa vị trí",OR(O217&lt;&gt;"",P217&lt;&gt;"")),"Có toạ độ mới nhưng kết quả không phải Sửa vị trí","OK")))</f>
        <v/>
      </c>
    </row>
    <row r="218">
      <c r="A218" s="9" t="n">
        <v>214</v>
      </c>
      <c r="B218" s="9" t="inlineStr">
        <is>
          <t>b7414e17-bbf2-a42b-b98f-f3f075a04202</t>
        </is>
      </c>
      <c r="C218" s="9" t="inlineStr">
        <is>
          <t>Trung bình</t>
        </is>
      </c>
      <c r="D218" s="10" t="inlineStr">
        <is>
          <t>Cây xăng Doanh Nghiệp Tư Nhân Dịch Vụ Và Thương Mại Tuấn Khoa</t>
        </is>
      </c>
      <c r="E218" s="9" t="inlineStr">
        <is>
          <t>Cây xăng</t>
        </is>
      </c>
      <c r="F218" s="9" t="inlineStr">
        <is>
          <t>OpenStreetMap</t>
        </is>
      </c>
      <c r="G218" s="10" t="inlineStr">
        <is>
          <t>Xã Phù Cát, Gia Lai</t>
        </is>
      </c>
      <c r="H218" s="9" t="inlineStr">
        <is>
          <t>Xã Phù Cát</t>
        </is>
      </c>
      <c r="I218" s="11" t="n">
        <v>14.013393</v>
      </c>
      <c r="J218" s="11" t="n">
        <v>109.054099</v>
      </c>
      <c r="K218" s="9" t="inlineStr">
        <is>
          <t>Đã đối chiếu</t>
        </is>
      </c>
      <c r="L218" s="10" t="n"/>
      <c r="M218" s="12" t="inlineStr">
        <is>
          <t>Bản đồ</t>
        </is>
      </c>
      <c r="N218" s="13" t="n"/>
      <c r="O218" s="14" t="n"/>
      <c r="P218" s="14" t="n"/>
      <c r="Q218" s="13" t="n"/>
      <c r="R218" s="15" t="n"/>
      <c r="S218" s="13" t="n"/>
      <c r="T218" s="13" t="n"/>
      <c r="U218" s="16">
        <f>IF(AND(ISNUMBER(O218),ISNUMBER(P218)),ROUND(SQRT(((P218-J218)*111320*COS(RADIANS(I218)))^2+((O218-I218)*110540)^2),0),"")</f>
        <v/>
      </c>
      <c r="V218" s="17">
        <f>IF(N218="","",IF(N218="Sửa vị trí",IF(OR(O218="",P218=""),"Thiếu vĩ độ / kinh độ mới",IF(OR(O218&lt;12.5,O218&gt;15,P218&lt;107,P218&gt;109.6),"Toạ độ ngoài Gia Lai (đảo vĩ/kinh độ?)",IF(Q218="","Chọn cách xác định",IF(U218&gt;20000,"Dời hơn 20 km – kiểm tra lại","OK")))),IF(AND(N218&lt;&gt;"Sửa vị trí",OR(O218&lt;&gt;"",P218&lt;&gt;"")),"Có toạ độ mới nhưng kết quả không phải Sửa vị trí","OK")))</f>
        <v/>
      </c>
    </row>
    <row r="219">
      <c r="A219" s="9" t="n">
        <v>215</v>
      </c>
      <c r="B219" s="9" t="inlineStr">
        <is>
          <t>be5cefb8-e069-78a1-a416-31967361ba5f</t>
        </is>
      </c>
      <c r="C219" s="9" t="inlineStr">
        <is>
          <t>Trung bình</t>
        </is>
      </c>
      <c r="D219" s="10" t="inlineStr">
        <is>
          <t>Cửa hàng Xăng dầu Petrolimex Số 21</t>
        </is>
      </c>
      <c r="E219" s="9" t="inlineStr">
        <is>
          <t>Cây xăng</t>
        </is>
      </c>
      <c r="F219" s="9" t="inlineStr">
        <is>
          <t>OpenStreetMap</t>
        </is>
      </c>
      <c r="G219" s="10" t="inlineStr">
        <is>
          <t>Xã Phù Mỹ, Gia Lai</t>
        </is>
      </c>
      <c r="H219" s="9" t="inlineStr">
        <is>
          <t>Xã Phù Mỹ</t>
        </is>
      </c>
      <c r="I219" s="11" t="n">
        <v>14.202374</v>
      </c>
      <c r="J219" s="11" t="n">
        <v>109.061216</v>
      </c>
      <c r="K219" s="9" t="inlineStr">
        <is>
          <t>Đã đối chiếu</t>
        </is>
      </c>
      <c r="L219" s="10" t="n"/>
      <c r="M219" s="12" t="inlineStr">
        <is>
          <t>Bản đồ</t>
        </is>
      </c>
      <c r="N219" s="13" t="n"/>
      <c r="O219" s="14" t="n"/>
      <c r="P219" s="14" t="n"/>
      <c r="Q219" s="13" t="n"/>
      <c r="R219" s="15" t="n"/>
      <c r="S219" s="13" t="n"/>
      <c r="T219" s="13" t="n"/>
      <c r="U219" s="16">
        <f>IF(AND(ISNUMBER(O219),ISNUMBER(P219)),ROUND(SQRT(((P219-J219)*111320*COS(RADIANS(I219)))^2+((O219-I219)*110540)^2),0),"")</f>
        <v/>
      </c>
      <c r="V219" s="17">
        <f>IF(N219="","",IF(N219="Sửa vị trí",IF(OR(O219="",P219=""),"Thiếu vĩ độ / kinh độ mới",IF(OR(O219&lt;12.5,O219&gt;15,P219&lt;107,P219&gt;109.6),"Toạ độ ngoài Gia Lai (đảo vĩ/kinh độ?)",IF(Q219="","Chọn cách xác định",IF(U219&gt;20000,"Dời hơn 20 km – kiểm tra lại","OK")))),IF(AND(N219&lt;&gt;"Sửa vị trí",OR(O219&lt;&gt;"",P219&lt;&gt;"")),"Có toạ độ mới nhưng kết quả không phải Sửa vị trí","OK")))</f>
        <v/>
      </c>
    </row>
    <row r="220">
      <c r="A220" s="9" t="n">
        <v>216</v>
      </c>
      <c r="B220" s="9" t="inlineStr">
        <is>
          <t>12363ef1-1d62-1c79-b69e-6aeaa64d1a80</t>
        </is>
      </c>
      <c r="C220" s="9" t="inlineStr">
        <is>
          <t>Trung bình</t>
        </is>
      </c>
      <c r="D220" s="10" t="inlineStr">
        <is>
          <t>Petroloil</t>
        </is>
      </c>
      <c r="E220" s="9" t="inlineStr">
        <is>
          <t>Cây xăng</t>
        </is>
      </c>
      <c r="F220" s="9" t="inlineStr">
        <is>
          <t>OpenStreetMap</t>
        </is>
      </c>
      <c r="G220" s="10" t="inlineStr">
        <is>
          <t>Xã Phù Mỹ, Gia Lai</t>
        </is>
      </c>
      <c r="H220" s="9" t="inlineStr">
        <is>
          <t>Xã Phù Mỹ</t>
        </is>
      </c>
      <c r="I220" s="11" t="n">
        <v>14.190846</v>
      </c>
      <c r="J220" s="11" t="n">
        <v>109.042795</v>
      </c>
      <c r="K220" s="9" t="inlineStr">
        <is>
          <t>Đã đối chiếu</t>
        </is>
      </c>
      <c r="L220" s="10" t="n"/>
      <c r="M220" s="12" t="inlineStr">
        <is>
          <t>Bản đồ</t>
        </is>
      </c>
      <c r="N220" s="13" t="n"/>
      <c r="O220" s="14" t="n"/>
      <c r="P220" s="14" t="n"/>
      <c r="Q220" s="13" t="n"/>
      <c r="R220" s="15" t="n"/>
      <c r="S220" s="13" t="n"/>
      <c r="T220" s="13" t="n"/>
      <c r="U220" s="16">
        <f>IF(AND(ISNUMBER(O220),ISNUMBER(P220)),ROUND(SQRT(((P220-J220)*111320*COS(RADIANS(I220)))^2+((O220-I220)*110540)^2),0),"")</f>
        <v/>
      </c>
      <c r="V220" s="17">
        <f>IF(N220="","",IF(N220="Sửa vị trí",IF(OR(O220="",P220=""),"Thiếu vĩ độ / kinh độ mới",IF(OR(O220&lt;12.5,O220&gt;15,P220&lt;107,P220&gt;109.6),"Toạ độ ngoài Gia Lai (đảo vĩ/kinh độ?)",IF(Q220="","Chọn cách xác định",IF(U220&gt;20000,"Dời hơn 20 km – kiểm tra lại","OK")))),IF(AND(N220&lt;&gt;"Sửa vị trí",OR(O220&lt;&gt;"",P220&lt;&gt;"")),"Có toạ độ mới nhưng kết quả không phải Sửa vị trí","OK")))</f>
        <v/>
      </c>
    </row>
    <row r="221">
      <c r="A221" s="9" t="n">
        <v>217</v>
      </c>
      <c r="B221" s="9" t="inlineStr">
        <is>
          <t>adb04234-a08a-018a-7ada-84e228b06f80</t>
        </is>
      </c>
      <c r="C221" s="9" t="inlineStr">
        <is>
          <t>Trung bình</t>
        </is>
      </c>
      <c r="D221" s="10" t="inlineStr">
        <is>
          <t>Cây xăng (Xã Phù Mỹ Bắc)</t>
        </is>
      </c>
      <c r="E221" s="9" t="inlineStr">
        <is>
          <t>Cây xăng</t>
        </is>
      </c>
      <c r="F221" s="9" t="inlineStr">
        <is>
          <t>OpenStreetMap</t>
        </is>
      </c>
      <c r="G221" s="10" t="inlineStr">
        <is>
          <t>Xã Phù Mỹ Bắc, Gia Lai</t>
        </is>
      </c>
      <c r="H221" s="9" t="inlineStr">
        <is>
          <t>Xã Phù Mỹ Bắc</t>
        </is>
      </c>
      <c r="I221" s="11" t="n">
        <v>14.374409</v>
      </c>
      <c r="J221" s="11" t="n">
        <v>109.114247</v>
      </c>
      <c r="K221" s="9" t="inlineStr">
        <is>
          <t>Đã đối chiếu</t>
        </is>
      </c>
      <c r="L221" s="10" t="n"/>
      <c r="M221" s="12" t="inlineStr">
        <is>
          <t>Bản đồ</t>
        </is>
      </c>
      <c r="N221" s="13" t="n"/>
      <c r="O221" s="14" t="n"/>
      <c r="P221" s="14" t="n"/>
      <c r="Q221" s="13" t="n"/>
      <c r="R221" s="15" t="n"/>
      <c r="S221" s="13" t="n"/>
      <c r="T221" s="13" t="n"/>
      <c r="U221" s="16">
        <f>IF(AND(ISNUMBER(O221),ISNUMBER(P221)),ROUND(SQRT(((P221-J221)*111320*COS(RADIANS(I221)))^2+((O221-I221)*110540)^2),0),"")</f>
        <v/>
      </c>
      <c r="V221" s="17">
        <f>IF(N221="","",IF(N221="Sửa vị trí",IF(OR(O221="",P221=""),"Thiếu vĩ độ / kinh độ mới",IF(OR(O221&lt;12.5,O221&gt;15,P221&lt;107,P221&gt;109.6),"Toạ độ ngoài Gia Lai (đảo vĩ/kinh độ?)",IF(Q221="","Chọn cách xác định",IF(U221&gt;20000,"Dời hơn 20 km – kiểm tra lại","OK")))),IF(AND(N221&lt;&gt;"Sửa vị trí",OR(O221&lt;&gt;"",P221&lt;&gt;"")),"Có toạ độ mới nhưng kết quả không phải Sửa vị trí","OK")))</f>
        <v/>
      </c>
    </row>
    <row r="222">
      <c r="A222" s="9" t="n">
        <v>218</v>
      </c>
      <c r="B222" s="9" t="inlineStr">
        <is>
          <t>e3842692-f88b-7c68-c831-67188ad81b4d</t>
        </is>
      </c>
      <c r="C222" s="9" t="inlineStr">
        <is>
          <t>Trung bình</t>
        </is>
      </c>
      <c r="D222" s="10" t="inlineStr">
        <is>
          <t>PV Oil</t>
        </is>
      </c>
      <c r="E222" s="9" t="inlineStr">
        <is>
          <t>Cây xăng</t>
        </is>
      </c>
      <c r="F222" s="9" t="inlineStr">
        <is>
          <t>OpenStreetMap</t>
        </is>
      </c>
      <c r="G222" s="10" t="inlineStr">
        <is>
          <t>Xã Phù Mỹ Bắc, Gia Lai</t>
        </is>
      </c>
      <c r="H222" s="9" t="inlineStr">
        <is>
          <t>Xã Phù Mỹ Bắc</t>
        </is>
      </c>
      <c r="I222" s="11" t="n">
        <v>14.373808</v>
      </c>
      <c r="J222" s="11" t="n">
        <v>109.111165</v>
      </c>
      <c r="K222" s="9" t="inlineStr">
        <is>
          <t>Đã đối chiếu</t>
        </is>
      </c>
      <c r="L222" s="10" t="n"/>
      <c r="M222" s="12" t="inlineStr">
        <is>
          <t>Bản đồ</t>
        </is>
      </c>
      <c r="N222" s="13" t="n"/>
      <c r="O222" s="14" t="n"/>
      <c r="P222" s="14" t="n"/>
      <c r="Q222" s="13" t="n"/>
      <c r="R222" s="15" t="n"/>
      <c r="S222" s="13" t="n"/>
      <c r="T222" s="13" t="n"/>
      <c r="U222" s="16">
        <f>IF(AND(ISNUMBER(O222),ISNUMBER(P222)),ROUND(SQRT(((P222-J222)*111320*COS(RADIANS(I222)))^2+((O222-I222)*110540)^2),0),"")</f>
        <v/>
      </c>
      <c r="V222" s="17">
        <f>IF(N222="","",IF(N222="Sửa vị trí",IF(OR(O222="",P222=""),"Thiếu vĩ độ / kinh độ mới",IF(OR(O222&lt;12.5,O222&gt;15,P222&lt;107,P222&gt;109.6),"Toạ độ ngoài Gia Lai (đảo vĩ/kinh độ?)",IF(Q222="","Chọn cách xác định",IF(U222&gt;20000,"Dời hơn 20 km – kiểm tra lại","OK")))),IF(AND(N222&lt;&gt;"Sửa vị trí",OR(O222&lt;&gt;"",P222&lt;&gt;"")),"Có toạ độ mới nhưng kết quả không phải Sửa vị trí","OK")))</f>
        <v/>
      </c>
    </row>
    <row r="223">
      <c r="A223" s="9" t="n">
        <v>219</v>
      </c>
      <c r="B223" s="9" t="inlineStr">
        <is>
          <t>3d093972-90f3-cc3c-8ef4-df27e462b31e</t>
        </is>
      </c>
      <c r="C223" s="9" t="inlineStr">
        <is>
          <t>Trung bình</t>
        </is>
      </c>
      <c r="D223" s="10" t="inlineStr">
        <is>
          <t>Potlplimexc</t>
        </is>
      </c>
      <c r="E223" s="9" t="inlineStr">
        <is>
          <t>Cây xăng</t>
        </is>
      </c>
      <c r="F223" s="9" t="inlineStr">
        <is>
          <t>OpenStreetMap</t>
        </is>
      </c>
      <c r="G223" s="10" t="inlineStr">
        <is>
          <t>Xã Phù Mỹ Bắc, Gia Lai</t>
        </is>
      </c>
      <c r="H223" s="9" t="inlineStr">
        <is>
          <t>Xã Phù Mỹ Bắc</t>
        </is>
      </c>
      <c r="I223" s="11" t="n">
        <v>14.299369</v>
      </c>
      <c r="J223" s="11" t="n">
        <v>109.077199</v>
      </c>
      <c r="K223" s="9" t="inlineStr">
        <is>
          <t>Đã đối chiếu</t>
        </is>
      </c>
      <c r="L223" s="10" t="n"/>
      <c r="M223" s="12" t="inlineStr">
        <is>
          <t>Bản đồ</t>
        </is>
      </c>
      <c r="N223" s="13" t="n"/>
      <c r="O223" s="14" t="n"/>
      <c r="P223" s="14" t="n"/>
      <c r="Q223" s="13" t="n"/>
      <c r="R223" s="15" t="n"/>
      <c r="S223" s="13" t="n"/>
      <c r="T223" s="13" t="n"/>
      <c r="U223" s="16">
        <f>IF(AND(ISNUMBER(O223),ISNUMBER(P223)),ROUND(SQRT(((P223-J223)*111320*COS(RADIANS(I223)))^2+((O223-I223)*110540)^2),0),"")</f>
        <v/>
      </c>
      <c r="V223" s="17">
        <f>IF(N223="","",IF(N223="Sửa vị trí",IF(OR(O223="",P223=""),"Thiếu vĩ độ / kinh độ mới",IF(OR(O223&lt;12.5,O223&gt;15,P223&lt;107,P223&gt;109.6),"Toạ độ ngoài Gia Lai (đảo vĩ/kinh độ?)",IF(Q223="","Chọn cách xác định",IF(U223&gt;20000,"Dời hơn 20 km – kiểm tra lại","OK")))),IF(AND(N223&lt;&gt;"Sửa vị trí",OR(O223&lt;&gt;"",P223&lt;&gt;"")),"Có toạ độ mới nhưng kết quả không phải Sửa vị trí","OK")))</f>
        <v/>
      </c>
    </row>
    <row r="224">
      <c r="A224" s="9" t="n">
        <v>220</v>
      </c>
      <c r="B224" s="9" t="inlineStr">
        <is>
          <t>67032b24-97d6-fdeb-3903-6d9981bd6674</t>
        </is>
      </c>
      <c r="C224" s="9" t="inlineStr">
        <is>
          <t>Trung bình</t>
        </is>
      </c>
      <c r="D224" s="10" t="inlineStr">
        <is>
          <t>Cây xăng (Xã Phù Mỹ Đông)</t>
        </is>
      </c>
      <c r="E224" s="9" t="inlineStr">
        <is>
          <t>Cây xăng</t>
        </is>
      </c>
      <c r="F224" s="9" t="inlineStr">
        <is>
          <t>OpenStreetMap</t>
        </is>
      </c>
      <c r="G224" s="10" t="inlineStr">
        <is>
          <t>Xã Phù Mỹ Đông, Gia Lai</t>
        </is>
      </c>
      <c r="H224" s="9" t="inlineStr">
        <is>
          <t>Xã Phù Mỹ Đông</t>
        </is>
      </c>
      <c r="I224" s="11" t="n">
        <v>14.318895</v>
      </c>
      <c r="J224" s="11" t="n">
        <v>109.151658</v>
      </c>
      <c r="K224" s="9" t="inlineStr">
        <is>
          <t>Đã đối chiếu</t>
        </is>
      </c>
      <c r="L224" s="10" t="n"/>
      <c r="M224" s="12" t="inlineStr">
        <is>
          <t>Bản đồ</t>
        </is>
      </c>
      <c r="N224" s="13" t="n"/>
      <c r="O224" s="14" t="n"/>
      <c r="P224" s="14" t="n"/>
      <c r="Q224" s="13" t="n"/>
      <c r="R224" s="15" t="n"/>
      <c r="S224" s="13" t="n"/>
      <c r="T224" s="13" t="n"/>
      <c r="U224" s="16">
        <f>IF(AND(ISNUMBER(O224),ISNUMBER(P224)),ROUND(SQRT(((P224-J224)*111320*COS(RADIANS(I224)))^2+((O224-I224)*110540)^2),0),"")</f>
        <v/>
      </c>
      <c r="V224" s="17">
        <f>IF(N224="","",IF(N224="Sửa vị trí",IF(OR(O224="",P224=""),"Thiếu vĩ độ / kinh độ mới",IF(OR(O224&lt;12.5,O224&gt;15,P224&lt;107,P224&gt;109.6),"Toạ độ ngoài Gia Lai (đảo vĩ/kinh độ?)",IF(Q224="","Chọn cách xác định",IF(U224&gt;20000,"Dời hơn 20 km – kiểm tra lại","OK")))),IF(AND(N224&lt;&gt;"Sửa vị trí",OR(O224&lt;&gt;"",P224&lt;&gt;"")),"Có toạ độ mới nhưng kết quả không phải Sửa vị trí","OK")))</f>
        <v/>
      </c>
    </row>
    <row r="225">
      <c r="A225" s="9" t="n">
        <v>221</v>
      </c>
      <c r="B225" s="9" t="inlineStr">
        <is>
          <t>d72e7f46-82ea-8c09-a9cd-f361c7995ee1</t>
        </is>
      </c>
      <c r="C225" s="9" t="inlineStr">
        <is>
          <t>Trung bình</t>
        </is>
      </c>
      <c r="D225" s="10" t="inlineStr">
        <is>
          <t>Cây xăng (Xã Phù Mỹ Đông)</t>
        </is>
      </c>
      <c r="E225" s="9" t="inlineStr">
        <is>
          <t>Cây xăng</t>
        </is>
      </c>
      <c r="F225" s="9" t="inlineStr">
        <is>
          <t>OpenStreetMap</t>
        </is>
      </c>
      <c r="G225" s="10" t="inlineStr">
        <is>
          <t>Xã Phù Mỹ Đông, Gia Lai</t>
        </is>
      </c>
      <c r="H225" s="9" t="inlineStr">
        <is>
          <t>Xã Phù Mỹ Đông</t>
        </is>
      </c>
      <c r="I225" s="11" t="n">
        <v>14.213815</v>
      </c>
      <c r="J225" s="11" t="n">
        <v>109.161719</v>
      </c>
      <c r="K225" s="9" t="inlineStr">
        <is>
          <t>Đã đối chiếu</t>
        </is>
      </c>
      <c r="L225" s="10" t="n"/>
      <c r="M225" s="12" t="inlineStr">
        <is>
          <t>Bản đồ</t>
        </is>
      </c>
      <c r="N225" s="13" t="n"/>
      <c r="O225" s="14" t="n"/>
      <c r="P225" s="14" t="n"/>
      <c r="Q225" s="13" t="n"/>
      <c r="R225" s="15" t="n"/>
      <c r="S225" s="13" t="n"/>
      <c r="T225" s="13" t="n"/>
      <c r="U225" s="16">
        <f>IF(AND(ISNUMBER(O225),ISNUMBER(P225)),ROUND(SQRT(((P225-J225)*111320*COS(RADIANS(I225)))^2+((O225-I225)*110540)^2),0),"")</f>
        <v/>
      </c>
      <c r="V225" s="17">
        <f>IF(N225="","",IF(N225="Sửa vị trí",IF(OR(O225="",P225=""),"Thiếu vĩ độ / kinh độ mới",IF(OR(O225&lt;12.5,O225&gt;15,P225&lt;107,P225&gt;109.6),"Toạ độ ngoài Gia Lai (đảo vĩ/kinh độ?)",IF(Q225="","Chọn cách xác định",IF(U225&gt;20000,"Dời hơn 20 km – kiểm tra lại","OK")))),IF(AND(N225&lt;&gt;"Sửa vị trí",OR(O225&lt;&gt;"",P225&lt;&gt;"")),"Có toạ độ mới nhưng kết quả không phải Sửa vị trí","OK")))</f>
        <v/>
      </c>
    </row>
    <row r="226">
      <c r="A226" s="9" t="n">
        <v>222</v>
      </c>
      <c r="B226" s="9" t="inlineStr">
        <is>
          <t>10e6ada9-1075-d2d0-f328-5dc96cfebd9f</t>
        </is>
      </c>
      <c r="C226" s="9" t="inlineStr">
        <is>
          <t>Trung bình</t>
        </is>
      </c>
      <c r="D226" s="10" t="inlineStr">
        <is>
          <t>Cây xăng (Xã Phù Mỹ Đông)</t>
        </is>
      </c>
      <c r="E226" s="9" t="inlineStr">
        <is>
          <t>Cây xăng</t>
        </is>
      </c>
      <c r="F226" s="9" t="inlineStr">
        <is>
          <t>OpenStreetMap</t>
        </is>
      </c>
      <c r="G226" s="10" t="inlineStr">
        <is>
          <t>Xã Phù Mỹ Đông, Gia Lai</t>
        </is>
      </c>
      <c r="H226" s="9" t="inlineStr">
        <is>
          <t>Xã Phù Mỹ Đông</t>
        </is>
      </c>
      <c r="I226" s="11" t="n">
        <v>14.232638</v>
      </c>
      <c r="J226" s="11" t="n">
        <v>109.189398</v>
      </c>
      <c r="K226" s="9" t="inlineStr">
        <is>
          <t>Đã đối chiếu</t>
        </is>
      </c>
      <c r="L226" s="10" t="n"/>
      <c r="M226" s="12" t="inlineStr">
        <is>
          <t>Bản đồ</t>
        </is>
      </c>
      <c r="N226" s="13" t="n"/>
      <c r="O226" s="14" t="n"/>
      <c r="P226" s="14" t="n"/>
      <c r="Q226" s="13" t="n"/>
      <c r="R226" s="15" t="n"/>
      <c r="S226" s="13" t="n"/>
      <c r="T226" s="13" t="n"/>
      <c r="U226" s="16">
        <f>IF(AND(ISNUMBER(O226),ISNUMBER(P226)),ROUND(SQRT(((P226-J226)*111320*COS(RADIANS(I226)))^2+((O226-I226)*110540)^2),0),"")</f>
        <v/>
      </c>
      <c r="V226" s="17">
        <f>IF(N226="","",IF(N226="Sửa vị trí",IF(OR(O226="",P226=""),"Thiếu vĩ độ / kinh độ mới",IF(OR(O226&lt;12.5,O226&gt;15,P226&lt;107,P226&gt;109.6),"Toạ độ ngoài Gia Lai (đảo vĩ/kinh độ?)",IF(Q226="","Chọn cách xác định",IF(U226&gt;20000,"Dời hơn 20 km – kiểm tra lại","OK")))),IF(AND(N226&lt;&gt;"Sửa vị trí",OR(O226&lt;&gt;"",P226&lt;&gt;"")),"Có toạ độ mới nhưng kết quả không phải Sửa vị trí","OK")))</f>
        <v/>
      </c>
    </row>
    <row r="227">
      <c r="A227" s="9" t="n">
        <v>223</v>
      </c>
      <c r="B227" s="9" t="inlineStr">
        <is>
          <t>c162c34c-8c6e-0919-3fb5-1c44f65af895</t>
        </is>
      </c>
      <c r="C227" s="9" t="inlineStr">
        <is>
          <t>Trung bình</t>
        </is>
      </c>
      <c r="D227" s="10" t="inlineStr">
        <is>
          <t>Cây xăng (Xã Phù Mỹ Đông)</t>
        </is>
      </c>
      <c r="E227" s="9" t="inlineStr">
        <is>
          <t>Cây xăng</t>
        </is>
      </c>
      <c r="F227" s="9" t="inlineStr">
        <is>
          <t>OpenStreetMap</t>
        </is>
      </c>
      <c r="G227" s="10" t="inlineStr">
        <is>
          <t>Xã Phù Mỹ Đông, Gia Lai</t>
        </is>
      </c>
      <c r="H227" s="9" t="inlineStr">
        <is>
          <t>Xã Phù Mỹ Đông</t>
        </is>
      </c>
      <c r="I227" s="11" t="n">
        <v>14.271083</v>
      </c>
      <c r="J227" s="11" t="n">
        <v>109.175833</v>
      </c>
      <c r="K227" s="9" t="inlineStr">
        <is>
          <t>Đã đối chiếu</t>
        </is>
      </c>
      <c r="L227" s="10" t="n"/>
      <c r="M227" s="12" t="inlineStr">
        <is>
          <t>Bản đồ</t>
        </is>
      </c>
      <c r="N227" s="13" t="n"/>
      <c r="O227" s="14" t="n"/>
      <c r="P227" s="14" t="n"/>
      <c r="Q227" s="13" t="n"/>
      <c r="R227" s="15" t="n"/>
      <c r="S227" s="13" t="n"/>
      <c r="T227" s="13" t="n"/>
      <c r="U227" s="16">
        <f>IF(AND(ISNUMBER(O227),ISNUMBER(P227)),ROUND(SQRT(((P227-J227)*111320*COS(RADIANS(I227)))^2+((O227-I227)*110540)^2),0),"")</f>
        <v/>
      </c>
      <c r="V227" s="17">
        <f>IF(N227="","",IF(N227="Sửa vị trí",IF(OR(O227="",P227=""),"Thiếu vĩ độ / kinh độ mới",IF(OR(O227&lt;12.5,O227&gt;15,P227&lt;107,P227&gt;109.6),"Toạ độ ngoài Gia Lai (đảo vĩ/kinh độ?)",IF(Q227="","Chọn cách xác định",IF(U227&gt;20000,"Dời hơn 20 km – kiểm tra lại","OK")))),IF(AND(N227&lt;&gt;"Sửa vị trí",OR(O227&lt;&gt;"",P227&lt;&gt;"")),"Có toạ độ mới nhưng kết quả không phải Sửa vị trí","OK")))</f>
        <v/>
      </c>
    </row>
    <row r="228">
      <c r="A228" s="9" t="n">
        <v>224</v>
      </c>
      <c r="B228" s="9" t="inlineStr">
        <is>
          <t>988ba656-5df6-1af4-ac30-3a91cabbc25a</t>
        </is>
      </c>
      <c r="C228" s="9" t="inlineStr">
        <is>
          <t>Trung bình</t>
        </is>
      </c>
      <c r="D228" s="10" t="inlineStr">
        <is>
          <t>Cây xăng (Xã Phù Mỹ Đông)</t>
        </is>
      </c>
      <c r="E228" s="9" t="inlineStr">
        <is>
          <t>Cây xăng</t>
        </is>
      </c>
      <c r="F228" s="9" t="inlineStr">
        <is>
          <t>OpenStreetMap</t>
        </is>
      </c>
      <c r="G228" s="10" t="inlineStr">
        <is>
          <t>Xã Phù Mỹ Đông, Gia Lai</t>
        </is>
      </c>
      <c r="H228" s="9" t="inlineStr">
        <is>
          <t>Xã Phù Mỹ Đông</t>
        </is>
      </c>
      <c r="I228" s="11" t="n">
        <v>14.274659</v>
      </c>
      <c r="J228" s="11" t="n">
        <v>109.173987</v>
      </c>
      <c r="K228" s="9" t="inlineStr">
        <is>
          <t>Đã đối chiếu</t>
        </is>
      </c>
      <c r="L228" s="10" t="n"/>
      <c r="M228" s="12" t="inlineStr">
        <is>
          <t>Bản đồ</t>
        </is>
      </c>
      <c r="N228" s="13" t="n"/>
      <c r="O228" s="14" t="n"/>
      <c r="P228" s="14" t="n"/>
      <c r="Q228" s="13" t="n"/>
      <c r="R228" s="15" t="n"/>
      <c r="S228" s="13" t="n"/>
      <c r="T228" s="13" t="n"/>
      <c r="U228" s="16">
        <f>IF(AND(ISNUMBER(O228),ISNUMBER(P228)),ROUND(SQRT(((P228-J228)*111320*COS(RADIANS(I228)))^2+((O228-I228)*110540)^2),0),"")</f>
        <v/>
      </c>
      <c r="V228" s="17">
        <f>IF(N228="","",IF(N228="Sửa vị trí",IF(OR(O228="",P228=""),"Thiếu vĩ độ / kinh độ mới",IF(OR(O228&lt;12.5,O228&gt;15,P228&lt;107,P228&gt;109.6),"Toạ độ ngoài Gia Lai (đảo vĩ/kinh độ?)",IF(Q228="","Chọn cách xác định",IF(U228&gt;20000,"Dời hơn 20 km – kiểm tra lại","OK")))),IF(AND(N228&lt;&gt;"Sửa vị trí",OR(O228&lt;&gt;"",P228&lt;&gt;"")),"Có toạ độ mới nhưng kết quả không phải Sửa vị trí","OK")))</f>
        <v/>
      </c>
    </row>
    <row r="229">
      <c r="A229" s="9" t="n">
        <v>225</v>
      </c>
      <c r="B229" s="9" t="inlineStr">
        <is>
          <t>8feb3217-04eb-4d07-218a-f5aac7d4e562</t>
        </is>
      </c>
      <c r="C229" s="9" t="inlineStr">
        <is>
          <t>Trung bình</t>
        </is>
      </c>
      <c r="D229" s="10" t="inlineStr">
        <is>
          <t>Cửa hàng Xăng dầu</t>
        </is>
      </c>
      <c r="E229" s="9" t="inlineStr">
        <is>
          <t>Cây xăng</t>
        </is>
      </c>
      <c r="F229" s="9" t="inlineStr">
        <is>
          <t>OpenStreetMap</t>
        </is>
      </c>
      <c r="G229" s="10" t="inlineStr">
        <is>
          <t>Xã Phù Mỹ Đông, Gia Lai</t>
        </is>
      </c>
      <c r="H229" s="9" t="inlineStr">
        <is>
          <t>Xã Phù Mỹ Đông</t>
        </is>
      </c>
      <c r="I229" s="11" t="n">
        <v>14.233944</v>
      </c>
      <c r="J229" s="11" t="n">
        <v>109.190329</v>
      </c>
      <c r="K229" s="9" t="inlineStr">
        <is>
          <t>Đã đối chiếu</t>
        </is>
      </c>
      <c r="L229" s="10" t="n"/>
      <c r="M229" s="12" t="inlineStr">
        <is>
          <t>Bản đồ</t>
        </is>
      </c>
      <c r="N229" s="13" t="n"/>
      <c r="O229" s="14" t="n"/>
      <c r="P229" s="14" t="n"/>
      <c r="Q229" s="13" t="n"/>
      <c r="R229" s="15" t="n"/>
      <c r="S229" s="13" t="n"/>
      <c r="T229" s="13" t="n"/>
      <c r="U229" s="16">
        <f>IF(AND(ISNUMBER(O229),ISNUMBER(P229)),ROUND(SQRT(((P229-J229)*111320*COS(RADIANS(I229)))^2+((O229-I229)*110540)^2),0),"")</f>
        <v/>
      </c>
      <c r="V229" s="17">
        <f>IF(N229="","",IF(N229="Sửa vị trí",IF(OR(O229="",P229=""),"Thiếu vĩ độ / kinh độ mới",IF(OR(O229&lt;12.5,O229&gt;15,P229&lt;107,P229&gt;109.6),"Toạ độ ngoài Gia Lai (đảo vĩ/kinh độ?)",IF(Q229="","Chọn cách xác định",IF(U229&gt;20000,"Dời hơn 20 km – kiểm tra lại","OK")))),IF(AND(N229&lt;&gt;"Sửa vị trí",OR(O229&lt;&gt;"",P229&lt;&gt;"")),"Có toạ độ mới nhưng kết quả không phải Sửa vị trí","OK")))</f>
        <v/>
      </c>
    </row>
    <row r="230">
      <c r="A230" s="9" t="n">
        <v>226</v>
      </c>
      <c r="B230" s="9" t="inlineStr">
        <is>
          <t>3ea11ca6-d04a-8af6-a4c4-577bffc43ad0</t>
        </is>
      </c>
      <c r="C230" s="9" t="inlineStr">
        <is>
          <t>Trung bình</t>
        </is>
      </c>
      <c r="D230" s="10" t="inlineStr">
        <is>
          <t>Cửa hàng Xăng dầu</t>
        </is>
      </c>
      <c r="E230" s="9" t="inlineStr">
        <is>
          <t>Cây xăng</t>
        </is>
      </c>
      <c r="F230" s="9" t="inlineStr">
        <is>
          <t>OpenStreetMap</t>
        </is>
      </c>
      <c r="G230" s="10" t="inlineStr">
        <is>
          <t>Xã Phù Mỹ Đông, Gia Lai</t>
        </is>
      </c>
      <c r="H230" s="9" t="inlineStr">
        <is>
          <t>Xã Phù Mỹ Đông</t>
        </is>
      </c>
      <c r="I230" s="11" t="n">
        <v>14.279573</v>
      </c>
      <c r="J230" s="11" t="n">
        <v>109.174842</v>
      </c>
      <c r="K230" s="9" t="inlineStr">
        <is>
          <t>Đã đối chiếu</t>
        </is>
      </c>
      <c r="L230" s="10" t="n"/>
      <c r="M230" s="12" t="inlineStr">
        <is>
          <t>Bản đồ</t>
        </is>
      </c>
      <c r="N230" s="13" t="n"/>
      <c r="O230" s="14" t="n"/>
      <c r="P230" s="14" t="n"/>
      <c r="Q230" s="13" t="n"/>
      <c r="R230" s="15" t="n"/>
      <c r="S230" s="13" t="n"/>
      <c r="T230" s="13" t="n"/>
      <c r="U230" s="16">
        <f>IF(AND(ISNUMBER(O230),ISNUMBER(P230)),ROUND(SQRT(((P230-J230)*111320*COS(RADIANS(I230)))^2+((O230-I230)*110540)^2),0),"")</f>
        <v/>
      </c>
      <c r="V230" s="17">
        <f>IF(N230="","",IF(N230="Sửa vị trí",IF(OR(O230="",P230=""),"Thiếu vĩ độ / kinh độ mới",IF(OR(O230&lt;12.5,O230&gt;15,P230&lt;107,P230&gt;109.6),"Toạ độ ngoài Gia Lai (đảo vĩ/kinh độ?)",IF(Q230="","Chọn cách xác định",IF(U230&gt;20000,"Dời hơn 20 km – kiểm tra lại","OK")))),IF(AND(N230&lt;&gt;"Sửa vị trí",OR(O230&lt;&gt;"",P230&lt;&gt;"")),"Có toạ độ mới nhưng kết quả không phải Sửa vị trí","OK")))</f>
        <v/>
      </c>
    </row>
    <row r="231">
      <c r="A231" s="9" t="n">
        <v>227</v>
      </c>
      <c r="B231" s="9" t="inlineStr">
        <is>
          <t>5e7eb3be-2964-0630-2e74-37ccf6b04597</t>
        </is>
      </c>
      <c r="C231" s="9" t="inlineStr">
        <is>
          <t>Trung bình</t>
        </is>
      </c>
      <c r="D231" s="10" t="inlineStr">
        <is>
          <t>Petrolimex</t>
        </is>
      </c>
      <c r="E231" s="9" t="inlineStr">
        <is>
          <t>Cây xăng</t>
        </is>
      </c>
      <c r="F231" s="9" t="inlineStr">
        <is>
          <t>OpenStreetMap</t>
        </is>
      </c>
      <c r="G231" s="10" t="inlineStr">
        <is>
          <t>Xã Phù Mỹ Đông, Gia Lai</t>
        </is>
      </c>
      <c r="H231" s="9" t="inlineStr">
        <is>
          <t>Xã Phù Mỹ Đông</t>
        </is>
      </c>
      <c r="I231" s="11" t="n">
        <v>14.22354</v>
      </c>
      <c r="J231" s="11" t="n">
        <v>109.161932</v>
      </c>
      <c r="K231" s="9" t="inlineStr">
        <is>
          <t>Đã đối chiếu</t>
        </is>
      </c>
      <c r="L231" s="10" t="n"/>
      <c r="M231" s="12" t="inlineStr">
        <is>
          <t>Bản đồ</t>
        </is>
      </c>
      <c r="N231" s="13" t="n"/>
      <c r="O231" s="14" t="n"/>
      <c r="P231" s="14" t="n"/>
      <c r="Q231" s="13" t="n"/>
      <c r="R231" s="15" t="n"/>
      <c r="S231" s="13" t="n"/>
      <c r="T231" s="13" t="n"/>
      <c r="U231" s="16">
        <f>IF(AND(ISNUMBER(O231),ISNUMBER(P231)),ROUND(SQRT(((P231-J231)*111320*COS(RADIANS(I231)))^2+((O231-I231)*110540)^2),0),"")</f>
        <v/>
      </c>
      <c r="V231" s="17">
        <f>IF(N231="","",IF(N231="Sửa vị trí",IF(OR(O231="",P231=""),"Thiếu vĩ độ / kinh độ mới",IF(OR(O231&lt;12.5,O231&gt;15,P231&lt;107,P231&gt;109.6),"Toạ độ ngoài Gia Lai (đảo vĩ/kinh độ?)",IF(Q231="","Chọn cách xác định",IF(U231&gt;20000,"Dời hơn 20 km – kiểm tra lại","OK")))),IF(AND(N231&lt;&gt;"Sửa vị trí",OR(O231&lt;&gt;"",P231&lt;&gt;"")),"Có toạ độ mới nhưng kết quả không phải Sửa vị trí","OK")))</f>
        <v/>
      </c>
    </row>
    <row r="232">
      <c r="A232" s="9" t="n">
        <v>228</v>
      </c>
      <c r="B232" s="9" t="inlineStr">
        <is>
          <t>75445679-c4bc-bd28-ec55-a2abfc594eb5</t>
        </is>
      </c>
      <c r="C232" s="9" t="inlineStr">
        <is>
          <t>Trung bình</t>
        </is>
      </c>
      <c r="D232" s="10" t="inlineStr">
        <is>
          <t>PV Oil</t>
        </is>
      </c>
      <c r="E232" s="9" t="inlineStr">
        <is>
          <t>Cây xăng</t>
        </is>
      </c>
      <c r="F232" s="9" t="inlineStr">
        <is>
          <t>OpenStreetMap</t>
        </is>
      </c>
      <c r="G232" s="10" t="inlineStr">
        <is>
          <t>Xã Phú Thiện, Gia Lai</t>
        </is>
      </c>
      <c r="H232" s="9" t="inlineStr">
        <is>
          <t>Xã Phú Thiện</t>
        </is>
      </c>
      <c r="I232" s="11" t="n">
        <v>13.485476</v>
      </c>
      <c r="J232" s="11" t="n">
        <v>108.373383</v>
      </c>
      <c r="K232" s="9" t="inlineStr">
        <is>
          <t>Đã đối chiếu</t>
        </is>
      </c>
      <c r="L232" s="10" t="n"/>
      <c r="M232" s="12" t="inlineStr">
        <is>
          <t>Bản đồ</t>
        </is>
      </c>
      <c r="N232" s="13" t="n"/>
      <c r="O232" s="14" t="n"/>
      <c r="P232" s="14" t="n"/>
      <c r="Q232" s="13" t="n"/>
      <c r="R232" s="15" t="n"/>
      <c r="S232" s="13" t="n"/>
      <c r="T232" s="13" t="n"/>
      <c r="U232" s="16">
        <f>IF(AND(ISNUMBER(O232),ISNUMBER(P232)),ROUND(SQRT(((P232-J232)*111320*COS(RADIANS(I232)))^2+((O232-I232)*110540)^2),0),"")</f>
        <v/>
      </c>
      <c r="V232" s="17">
        <f>IF(N232="","",IF(N232="Sửa vị trí",IF(OR(O232="",P232=""),"Thiếu vĩ độ / kinh độ mới",IF(OR(O232&lt;12.5,O232&gt;15,P232&lt;107,P232&gt;109.6),"Toạ độ ngoài Gia Lai (đảo vĩ/kinh độ?)",IF(Q232="","Chọn cách xác định",IF(U232&gt;20000,"Dời hơn 20 km – kiểm tra lại","OK")))),IF(AND(N232&lt;&gt;"Sửa vị trí",OR(O232&lt;&gt;"",P232&lt;&gt;"")),"Có toạ độ mới nhưng kết quả không phải Sửa vị trí","OK")))</f>
        <v/>
      </c>
    </row>
    <row r="233">
      <c r="A233" s="9" t="n">
        <v>229</v>
      </c>
      <c r="B233" s="9" t="inlineStr">
        <is>
          <t>11c5d7ea-ebc9-0a37-fca8-1d4b65e92edb</t>
        </is>
      </c>
      <c r="C233" s="9" t="inlineStr">
        <is>
          <t>Trung bình</t>
        </is>
      </c>
      <c r="D233" s="10" t="inlineStr">
        <is>
          <t>Petrolimex</t>
        </is>
      </c>
      <c r="E233" s="9" t="inlineStr">
        <is>
          <t>Cây xăng</t>
        </is>
      </c>
      <c r="F233" s="9" t="inlineStr">
        <is>
          <t>OpenStreetMap</t>
        </is>
      </c>
      <c r="G233" s="10" t="inlineStr">
        <is>
          <t>Xã Phú Thiện, Gia Lai</t>
        </is>
      </c>
      <c r="H233" s="9" t="inlineStr">
        <is>
          <t>Xã Phú Thiện</t>
        </is>
      </c>
      <c r="I233" s="11" t="n">
        <v>13.528797</v>
      </c>
      <c r="J233" s="11" t="n">
        <v>108.317647</v>
      </c>
      <c r="K233" s="9" t="inlineStr">
        <is>
          <t>Đã đối chiếu</t>
        </is>
      </c>
      <c r="L233" s="10" t="n"/>
      <c r="M233" s="12" t="inlineStr">
        <is>
          <t>Bản đồ</t>
        </is>
      </c>
      <c r="N233" s="13" t="n"/>
      <c r="O233" s="14" t="n"/>
      <c r="P233" s="14" t="n"/>
      <c r="Q233" s="13" t="n"/>
      <c r="R233" s="15" t="n"/>
      <c r="S233" s="13" t="n"/>
      <c r="T233" s="13" t="n"/>
      <c r="U233" s="16">
        <f>IF(AND(ISNUMBER(O233),ISNUMBER(P233)),ROUND(SQRT(((P233-J233)*111320*COS(RADIANS(I233)))^2+((O233-I233)*110540)^2),0),"")</f>
        <v/>
      </c>
      <c r="V233" s="17">
        <f>IF(N233="","",IF(N233="Sửa vị trí",IF(OR(O233="",P233=""),"Thiếu vĩ độ / kinh độ mới",IF(OR(O233&lt;12.5,O233&gt;15,P233&lt;107,P233&gt;109.6),"Toạ độ ngoài Gia Lai (đảo vĩ/kinh độ?)",IF(Q233="","Chọn cách xác định",IF(U233&gt;20000,"Dời hơn 20 km – kiểm tra lại","OK")))),IF(AND(N233&lt;&gt;"Sửa vị trí",OR(O233&lt;&gt;"",P233&lt;&gt;"")),"Có toạ độ mới nhưng kết quả không phải Sửa vị trí","OK")))</f>
        <v/>
      </c>
    </row>
    <row r="234">
      <c r="A234" s="9" t="n">
        <v>230</v>
      </c>
      <c r="B234" s="9" t="inlineStr">
        <is>
          <t>0ecc4c0b-1083-cbe7-dd2d-d22c208cdca6</t>
        </is>
      </c>
      <c r="C234" s="9" t="inlineStr">
        <is>
          <t>Trung bình</t>
        </is>
      </c>
      <c r="D234" s="10" t="inlineStr">
        <is>
          <t>Petrolimex</t>
        </is>
      </c>
      <c r="E234" s="9" t="inlineStr">
        <is>
          <t>Cây xăng</t>
        </is>
      </c>
      <c r="F234" s="9" t="inlineStr">
        <is>
          <t>OpenStreetMap</t>
        </is>
      </c>
      <c r="G234" s="10" t="inlineStr">
        <is>
          <t>Xã Phú Thiện, Gia Lai</t>
        </is>
      </c>
      <c r="H234" s="9" t="inlineStr">
        <is>
          <t>Xã Phú Thiện</t>
        </is>
      </c>
      <c r="I234" s="11" t="n">
        <v>13.528321</v>
      </c>
      <c r="J234" s="11" t="n">
        <v>108.322829</v>
      </c>
      <c r="K234" s="9" t="inlineStr">
        <is>
          <t>Đã đối chiếu</t>
        </is>
      </c>
      <c r="L234" s="10" t="n"/>
      <c r="M234" s="12" t="inlineStr">
        <is>
          <t>Bản đồ</t>
        </is>
      </c>
      <c r="N234" s="13" t="n"/>
      <c r="O234" s="14" t="n"/>
      <c r="P234" s="14" t="n"/>
      <c r="Q234" s="13" t="n"/>
      <c r="R234" s="15" t="n"/>
      <c r="S234" s="13" t="n"/>
      <c r="T234" s="13" t="n"/>
      <c r="U234" s="16">
        <f>IF(AND(ISNUMBER(O234),ISNUMBER(P234)),ROUND(SQRT(((P234-J234)*111320*COS(RADIANS(I234)))^2+((O234-I234)*110540)^2),0),"")</f>
        <v/>
      </c>
      <c r="V234" s="17">
        <f>IF(N234="","",IF(N234="Sửa vị trí",IF(OR(O234="",P234=""),"Thiếu vĩ độ / kinh độ mới",IF(OR(O234&lt;12.5,O234&gt;15,P234&lt;107,P234&gt;109.6),"Toạ độ ngoài Gia Lai (đảo vĩ/kinh độ?)",IF(Q234="","Chọn cách xác định",IF(U234&gt;20000,"Dời hơn 20 km – kiểm tra lại","OK")))),IF(AND(N234&lt;&gt;"Sửa vị trí",OR(O234&lt;&gt;"",P234&lt;&gt;"")),"Có toạ độ mới nhưng kết quả không phải Sửa vị trí","OK")))</f>
        <v/>
      </c>
    </row>
    <row r="235">
      <c r="A235" s="9" t="n">
        <v>231</v>
      </c>
      <c r="B235" s="9" t="inlineStr">
        <is>
          <t>cb90f21c-bed7-2979-e317-fc5945b0f4db</t>
        </is>
      </c>
      <c r="C235" s="9" t="inlineStr">
        <is>
          <t>Trung bình</t>
        </is>
      </c>
      <c r="D235" s="10" t="inlineStr">
        <is>
          <t>PV Oil</t>
        </is>
      </c>
      <c r="E235" s="9" t="inlineStr">
        <is>
          <t>Cây xăng</t>
        </is>
      </c>
      <c r="F235" s="9" t="inlineStr">
        <is>
          <t>OpenStreetMap</t>
        </is>
      </c>
      <c r="G235" s="10" t="inlineStr">
        <is>
          <t>Xã Phú Túc, Gia Lai</t>
        </is>
      </c>
      <c r="H235" s="9" t="inlineStr">
        <is>
          <t>Xã Phú Túc</t>
        </is>
      </c>
      <c r="I235" s="11" t="n">
        <v>13.187186</v>
      </c>
      <c r="J235" s="11" t="n">
        <v>108.697892</v>
      </c>
      <c r="K235" s="9" t="inlineStr">
        <is>
          <t>Đã đối chiếu</t>
        </is>
      </c>
      <c r="L235" s="10" t="n"/>
      <c r="M235" s="12" t="inlineStr">
        <is>
          <t>Bản đồ</t>
        </is>
      </c>
      <c r="N235" s="13" t="n"/>
      <c r="O235" s="14" t="n"/>
      <c r="P235" s="14" t="n"/>
      <c r="Q235" s="13" t="n"/>
      <c r="R235" s="15" t="n"/>
      <c r="S235" s="13" t="n"/>
      <c r="T235" s="13" t="n"/>
      <c r="U235" s="16">
        <f>IF(AND(ISNUMBER(O235),ISNUMBER(P235)),ROUND(SQRT(((P235-J235)*111320*COS(RADIANS(I235)))^2+((O235-I235)*110540)^2),0),"")</f>
        <v/>
      </c>
      <c r="V235" s="17">
        <f>IF(N235="","",IF(N235="Sửa vị trí",IF(OR(O235="",P235=""),"Thiếu vĩ độ / kinh độ mới",IF(OR(O235&lt;12.5,O235&gt;15,P235&lt;107,P235&gt;109.6),"Toạ độ ngoài Gia Lai (đảo vĩ/kinh độ?)",IF(Q235="","Chọn cách xác định",IF(U235&gt;20000,"Dời hơn 20 km – kiểm tra lại","OK")))),IF(AND(N235&lt;&gt;"Sửa vị trí",OR(O235&lt;&gt;"",P235&lt;&gt;"")),"Có toạ độ mới nhưng kết quả không phải Sửa vị trí","OK")))</f>
        <v/>
      </c>
    </row>
    <row r="236">
      <c r="A236" s="9" t="n">
        <v>232</v>
      </c>
      <c r="B236" s="9" t="inlineStr">
        <is>
          <t>c2e669e1-ea1d-e007-dc61-652ba1de1730</t>
        </is>
      </c>
      <c r="C236" s="9" t="inlineStr">
        <is>
          <t>Trung bình</t>
        </is>
      </c>
      <c r="D236" s="10" t="inlineStr">
        <is>
          <t>PV Oil</t>
        </is>
      </c>
      <c r="E236" s="9" t="inlineStr">
        <is>
          <t>Cây xăng</t>
        </is>
      </c>
      <c r="F236" s="9" t="inlineStr">
        <is>
          <t>OpenStreetMap</t>
        </is>
      </c>
      <c r="G236" s="10" t="inlineStr">
        <is>
          <t>Xã Phú Túc, Gia Lai</t>
        </is>
      </c>
      <c r="H236" s="9" t="inlineStr">
        <is>
          <t>Xã Phú Túc</t>
        </is>
      </c>
      <c r="I236" s="11" t="n">
        <v>13.210248</v>
      </c>
      <c r="J236" s="11" t="n">
        <v>108.679111</v>
      </c>
      <c r="K236" s="9" t="inlineStr">
        <is>
          <t>Đã đối chiếu</t>
        </is>
      </c>
      <c r="L236" s="10" t="n"/>
      <c r="M236" s="12" t="inlineStr">
        <is>
          <t>Bản đồ</t>
        </is>
      </c>
      <c r="N236" s="13" t="n"/>
      <c r="O236" s="14" t="n"/>
      <c r="P236" s="14" t="n"/>
      <c r="Q236" s="13" t="n"/>
      <c r="R236" s="15" t="n"/>
      <c r="S236" s="13" t="n"/>
      <c r="T236" s="13" t="n"/>
      <c r="U236" s="16">
        <f>IF(AND(ISNUMBER(O236),ISNUMBER(P236)),ROUND(SQRT(((P236-J236)*111320*COS(RADIANS(I236)))^2+((O236-I236)*110540)^2),0),"")</f>
        <v/>
      </c>
      <c r="V236" s="17">
        <f>IF(N236="","",IF(N236="Sửa vị trí",IF(OR(O236="",P236=""),"Thiếu vĩ độ / kinh độ mới",IF(OR(O236&lt;12.5,O236&gt;15,P236&lt;107,P236&gt;109.6),"Toạ độ ngoài Gia Lai (đảo vĩ/kinh độ?)",IF(Q236="","Chọn cách xác định",IF(U236&gt;20000,"Dời hơn 20 km – kiểm tra lại","OK")))),IF(AND(N236&lt;&gt;"Sửa vị trí",OR(O236&lt;&gt;"",P236&lt;&gt;"")),"Có toạ độ mới nhưng kết quả không phải Sửa vị trí","OK")))</f>
        <v/>
      </c>
    </row>
    <row r="237">
      <c r="A237" s="9" t="n">
        <v>233</v>
      </c>
      <c r="B237" s="9" t="inlineStr">
        <is>
          <t>5f78d206-0d1b-cf3f-d868-83582df35bc1</t>
        </is>
      </c>
      <c r="C237" s="9" t="inlineStr">
        <is>
          <t>Trung bình</t>
        </is>
      </c>
      <c r="D237" s="10" t="inlineStr">
        <is>
          <t>Petrolimex</t>
        </is>
      </c>
      <c r="E237" s="9" t="inlineStr">
        <is>
          <t>Cây xăng</t>
        </is>
      </c>
      <c r="F237" s="9" t="inlineStr">
        <is>
          <t>OpenStreetMap</t>
        </is>
      </c>
      <c r="G237" s="10" t="inlineStr">
        <is>
          <t>Xã Phú Túc, Gia Lai</t>
        </is>
      </c>
      <c r="H237" s="9" t="inlineStr">
        <is>
          <t>Xã Phú Túc</t>
        </is>
      </c>
      <c r="I237" s="11" t="n">
        <v>13.213804</v>
      </c>
      <c r="J237" s="11" t="n">
        <v>108.675532</v>
      </c>
      <c r="K237" s="9" t="inlineStr">
        <is>
          <t>Đã đối chiếu</t>
        </is>
      </c>
      <c r="L237" s="10" t="n"/>
      <c r="M237" s="12" t="inlineStr">
        <is>
          <t>Bản đồ</t>
        </is>
      </c>
      <c r="N237" s="13" t="n"/>
      <c r="O237" s="14" t="n"/>
      <c r="P237" s="14" t="n"/>
      <c r="Q237" s="13" t="n"/>
      <c r="R237" s="15" t="n"/>
      <c r="S237" s="13" t="n"/>
      <c r="T237" s="13" t="n"/>
      <c r="U237" s="16">
        <f>IF(AND(ISNUMBER(O237),ISNUMBER(P237)),ROUND(SQRT(((P237-J237)*111320*COS(RADIANS(I237)))^2+((O237-I237)*110540)^2),0),"")</f>
        <v/>
      </c>
      <c r="V237" s="17">
        <f>IF(N237="","",IF(N237="Sửa vị trí",IF(OR(O237="",P237=""),"Thiếu vĩ độ / kinh độ mới",IF(OR(O237&lt;12.5,O237&gt;15,P237&lt;107,P237&gt;109.6),"Toạ độ ngoài Gia Lai (đảo vĩ/kinh độ?)",IF(Q237="","Chọn cách xác định",IF(U237&gt;20000,"Dời hơn 20 km – kiểm tra lại","OK")))),IF(AND(N237&lt;&gt;"Sửa vị trí",OR(O237&lt;&gt;"",P237&lt;&gt;"")),"Có toạ độ mới nhưng kết quả không phải Sửa vị trí","OK")))</f>
        <v/>
      </c>
    </row>
    <row r="238">
      <c r="A238" s="9" t="n">
        <v>234</v>
      </c>
      <c r="B238" s="9" t="inlineStr">
        <is>
          <t>e45a5d0e-9f51-8282-8300-d8a3c6d5a99f</t>
        </is>
      </c>
      <c r="C238" s="9" t="inlineStr">
        <is>
          <t>Trung bình</t>
        </is>
      </c>
      <c r="D238" s="10" t="inlineStr">
        <is>
          <t>Petrolimex</t>
        </is>
      </c>
      <c r="E238" s="9" t="inlineStr">
        <is>
          <t>Cây xăng</t>
        </is>
      </c>
      <c r="F238" s="9" t="inlineStr">
        <is>
          <t>OpenStreetMap</t>
        </is>
      </c>
      <c r="G238" s="10" t="inlineStr">
        <is>
          <t>Xã Phú Túc, Gia Lai</t>
        </is>
      </c>
      <c r="H238" s="9" t="inlineStr">
        <is>
          <t>Xã Phú Túc</t>
        </is>
      </c>
      <c r="I238" s="11" t="n">
        <v>13.171877</v>
      </c>
      <c r="J238" s="11" t="n">
        <v>108.719714</v>
      </c>
      <c r="K238" s="9" t="inlineStr">
        <is>
          <t>Đã đối chiếu</t>
        </is>
      </c>
      <c r="L238" s="10" t="n"/>
      <c r="M238" s="12" t="inlineStr">
        <is>
          <t>Bản đồ</t>
        </is>
      </c>
      <c r="N238" s="13" t="n"/>
      <c r="O238" s="14" t="n"/>
      <c r="P238" s="14" t="n"/>
      <c r="Q238" s="13" t="n"/>
      <c r="R238" s="15" t="n"/>
      <c r="S238" s="13" t="n"/>
      <c r="T238" s="13" t="n"/>
      <c r="U238" s="16">
        <f>IF(AND(ISNUMBER(O238),ISNUMBER(P238)),ROUND(SQRT(((P238-J238)*111320*COS(RADIANS(I238)))^2+((O238-I238)*110540)^2),0),"")</f>
        <v/>
      </c>
      <c r="V238" s="17">
        <f>IF(N238="","",IF(N238="Sửa vị trí",IF(OR(O238="",P238=""),"Thiếu vĩ độ / kinh độ mới",IF(OR(O238&lt;12.5,O238&gt;15,P238&lt;107,P238&gt;109.6),"Toạ độ ngoài Gia Lai (đảo vĩ/kinh độ?)",IF(Q238="","Chọn cách xác định",IF(U238&gt;20000,"Dời hơn 20 km – kiểm tra lại","OK")))),IF(AND(N238&lt;&gt;"Sửa vị trí",OR(O238&lt;&gt;"",P238&lt;&gt;"")),"Có toạ độ mới nhưng kết quả không phải Sửa vị trí","OK")))</f>
        <v/>
      </c>
    </row>
    <row r="239">
      <c r="A239" s="9" t="n">
        <v>235</v>
      </c>
      <c r="B239" s="9" t="inlineStr">
        <is>
          <t>b07eb8a4-2e34-c722-ed73-1d81f09523e8</t>
        </is>
      </c>
      <c r="C239" s="9" t="inlineStr">
        <is>
          <t>Trung bình</t>
        </is>
      </c>
      <c r="D239" s="10" t="inlineStr">
        <is>
          <t>Cây Xăng Lam Hồng</t>
        </is>
      </c>
      <c r="E239" s="9" t="inlineStr">
        <is>
          <t>Cây xăng</t>
        </is>
      </c>
      <c r="F239" s="9" t="inlineStr">
        <is>
          <t>OpenStreetMap</t>
        </is>
      </c>
      <c r="G239" s="10" t="inlineStr">
        <is>
          <t>Xã Tuy Phước, Gia Lai</t>
        </is>
      </c>
      <c r="H239" s="9" t="inlineStr">
        <is>
          <t>Xã Tuy Phước</t>
        </is>
      </c>
      <c r="I239" s="11" t="n">
        <v>13.800359</v>
      </c>
      <c r="J239" s="11" t="n">
        <v>109.144275</v>
      </c>
      <c r="K239" s="9" t="inlineStr">
        <is>
          <t>Đã đối chiếu</t>
        </is>
      </c>
      <c r="L239" s="10" t="n"/>
      <c r="M239" s="12" t="inlineStr">
        <is>
          <t>Bản đồ</t>
        </is>
      </c>
      <c r="N239" s="13" t="n"/>
      <c r="O239" s="14" t="n"/>
      <c r="P239" s="14" t="n"/>
      <c r="Q239" s="13" t="n"/>
      <c r="R239" s="15" t="n"/>
      <c r="S239" s="13" t="n"/>
      <c r="T239" s="13" t="n"/>
      <c r="U239" s="16">
        <f>IF(AND(ISNUMBER(O239),ISNUMBER(P239)),ROUND(SQRT(((P239-J239)*111320*COS(RADIANS(I239)))^2+((O239-I239)*110540)^2),0),"")</f>
        <v/>
      </c>
      <c r="V239" s="17">
        <f>IF(N239="","",IF(N239="Sửa vị trí",IF(OR(O239="",P239=""),"Thiếu vĩ độ / kinh độ mới",IF(OR(O239&lt;12.5,O239&gt;15,P239&lt;107,P239&gt;109.6),"Toạ độ ngoài Gia Lai (đảo vĩ/kinh độ?)",IF(Q239="","Chọn cách xác định",IF(U239&gt;20000,"Dời hơn 20 km – kiểm tra lại","OK")))),IF(AND(N239&lt;&gt;"Sửa vị trí",OR(O239&lt;&gt;"",P239&lt;&gt;"")),"Có toạ độ mới nhưng kết quả không phải Sửa vị trí","OK")))</f>
        <v/>
      </c>
    </row>
    <row r="240">
      <c r="A240" s="9" t="n">
        <v>236</v>
      </c>
      <c r="B240" s="9" t="inlineStr">
        <is>
          <t>0edd1d29-ea2f-7808-b0ef-1ffe24a3e51b</t>
        </is>
      </c>
      <c r="C240" s="9" t="inlineStr">
        <is>
          <t>Trung bình</t>
        </is>
      </c>
      <c r="D240" s="10" t="inlineStr">
        <is>
          <t>Cây xăng (Xã Tuy Phước)</t>
        </is>
      </c>
      <c r="E240" s="9" t="inlineStr">
        <is>
          <t>Cây xăng</t>
        </is>
      </c>
      <c r="F240" s="9" t="inlineStr">
        <is>
          <t>OpenStreetMap</t>
        </is>
      </c>
      <c r="G240" s="10" t="inlineStr">
        <is>
          <t>Xã Tuy Phước, Gia Lai</t>
        </is>
      </c>
      <c r="H240" s="9" t="inlineStr">
        <is>
          <t>Xã Tuy Phước</t>
        </is>
      </c>
      <c r="I240" s="11" t="n">
        <v>13.853625</v>
      </c>
      <c r="J240" s="11" t="n">
        <v>109.134297</v>
      </c>
      <c r="K240" s="9" t="inlineStr">
        <is>
          <t>Đã đối chiếu</t>
        </is>
      </c>
      <c r="L240" s="10" t="n"/>
      <c r="M240" s="12" t="inlineStr">
        <is>
          <t>Bản đồ</t>
        </is>
      </c>
      <c r="N240" s="13" t="n"/>
      <c r="O240" s="14" t="n"/>
      <c r="P240" s="14" t="n"/>
      <c r="Q240" s="13" t="n"/>
      <c r="R240" s="15" t="n"/>
      <c r="S240" s="13" t="n"/>
      <c r="T240" s="13" t="n"/>
      <c r="U240" s="16">
        <f>IF(AND(ISNUMBER(O240),ISNUMBER(P240)),ROUND(SQRT(((P240-J240)*111320*COS(RADIANS(I240)))^2+((O240-I240)*110540)^2),0),"")</f>
        <v/>
      </c>
      <c r="V240" s="17">
        <f>IF(N240="","",IF(N240="Sửa vị trí",IF(OR(O240="",P240=""),"Thiếu vĩ độ / kinh độ mới",IF(OR(O240&lt;12.5,O240&gt;15,P240&lt;107,P240&gt;109.6),"Toạ độ ngoài Gia Lai (đảo vĩ/kinh độ?)",IF(Q240="","Chọn cách xác định",IF(U240&gt;20000,"Dời hơn 20 km – kiểm tra lại","OK")))),IF(AND(N240&lt;&gt;"Sửa vị trí",OR(O240&lt;&gt;"",P240&lt;&gt;"")),"Có toạ độ mới nhưng kết quả không phải Sửa vị trí","OK")))</f>
        <v/>
      </c>
    </row>
    <row r="241">
      <c r="A241" s="9" t="n">
        <v>237</v>
      </c>
      <c r="B241" s="9" t="inlineStr">
        <is>
          <t>84d11601-e166-c754-55a7-94ec9ba41c51</t>
        </is>
      </c>
      <c r="C241" s="9" t="inlineStr">
        <is>
          <t>Trung bình</t>
        </is>
      </c>
      <c r="D241" s="10" t="inlineStr">
        <is>
          <t>Cây xăng (Xã Tuy Phước)</t>
        </is>
      </c>
      <c r="E241" s="9" t="inlineStr">
        <is>
          <t>Cây xăng</t>
        </is>
      </c>
      <c r="F241" s="9" t="inlineStr">
        <is>
          <t>OpenStreetMap</t>
        </is>
      </c>
      <c r="G241" s="10" t="inlineStr">
        <is>
          <t>Xã Tuy Phước, Gia Lai</t>
        </is>
      </c>
      <c r="H241" s="9" t="inlineStr">
        <is>
          <t>Xã Tuy Phước</t>
        </is>
      </c>
      <c r="I241" s="11" t="n">
        <v>13.823982</v>
      </c>
      <c r="J241" s="11" t="n">
        <v>109.145368</v>
      </c>
      <c r="K241" s="9" t="inlineStr">
        <is>
          <t>Đã đối chiếu</t>
        </is>
      </c>
      <c r="L241" s="10" t="n"/>
      <c r="M241" s="12" t="inlineStr">
        <is>
          <t>Bản đồ</t>
        </is>
      </c>
      <c r="N241" s="13" t="n"/>
      <c r="O241" s="14" t="n"/>
      <c r="P241" s="14" t="n"/>
      <c r="Q241" s="13" t="n"/>
      <c r="R241" s="15" t="n"/>
      <c r="S241" s="13" t="n"/>
      <c r="T241" s="13" t="n"/>
      <c r="U241" s="16">
        <f>IF(AND(ISNUMBER(O241),ISNUMBER(P241)),ROUND(SQRT(((P241-J241)*111320*COS(RADIANS(I241)))^2+((O241-I241)*110540)^2),0),"")</f>
        <v/>
      </c>
      <c r="V241" s="17">
        <f>IF(N241="","",IF(N241="Sửa vị trí",IF(OR(O241="",P241=""),"Thiếu vĩ độ / kinh độ mới",IF(OR(O241&lt;12.5,O241&gt;15,P241&lt;107,P241&gt;109.6),"Toạ độ ngoài Gia Lai (đảo vĩ/kinh độ?)",IF(Q241="","Chọn cách xác định",IF(U241&gt;20000,"Dời hơn 20 km – kiểm tra lại","OK")))),IF(AND(N241&lt;&gt;"Sửa vị trí",OR(O241&lt;&gt;"",P241&lt;&gt;"")),"Có toạ độ mới nhưng kết quả không phải Sửa vị trí","OK")))</f>
        <v/>
      </c>
    </row>
    <row r="242">
      <c r="A242" s="9" t="n">
        <v>238</v>
      </c>
      <c r="B242" s="9" t="inlineStr">
        <is>
          <t>0a97b0c2-bb6c-db20-867d-3392d7a537e9</t>
        </is>
      </c>
      <c r="C242" s="9" t="inlineStr">
        <is>
          <t>Trung bình</t>
        </is>
      </c>
      <c r="D242" s="10" t="inlineStr">
        <is>
          <t>Cửa hàng Xăng dầu Bảy Cường</t>
        </is>
      </c>
      <c r="E242" s="9" t="inlineStr">
        <is>
          <t>Cây xăng</t>
        </is>
      </c>
      <c r="F242" s="9" t="inlineStr">
        <is>
          <t>OpenStreetMap</t>
        </is>
      </c>
      <c r="G242" s="10" t="inlineStr">
        <is>
          <t>Xã Tuy Phước, Gia Lai</t>
        </is>
      </c>
      <c r="H242" s="9" t="inlineStr">
        <is>
          <t>Xã Tuy Phước</t>
        </is>
      </c>
      <c r="I242" s="11" t="n">
        <v>13.825272</v>
      </c>
      <c r="J242" s="11" t="n">
        <v>109.157592</v>
      </c>
      <c r="K242" s="9" t="inlineStr">
        <is>
          <t>Đã đối chiếu</t>
        </is>
      </c>
      <c r="L242" s="10" t="n"/>
      <c r="M242" s="12" t="inlineStr">
        <is>
          <t>Bản đồ</t>
        </is>
      </c>
      <c r="N242" s="13" t="n"/>
      <c r="O242" s="14" t="n"/>
      <c r="P242" s="14" t="n"/>
      <c r="Q242" s="13" t="n"/>
      <c r="R242" s="15" t="n"/>
      <c r="S242" s="13" t="n"/>
      <c r="T242" s="13" t="n"/>
      <c r="U242" s="16">
        <f>IF(AND(ISNUMBER(O242),ISNUMBER(P242)),ROUND(SQRT(((P242-J242)*111320*COS(RADIANS(I242)))^2+((O242-I242)*110540)^2),0),"")</f>
        <v/>
      </c>
      <c r="V242" s="17">
        <f>IF(N242="","",IF(N242="Sửa vị trí",IF(OR(O242="",P242=""),"Thiếu vĩ độ / kinh độ mới",IF(OR(O242&lt;12.5,O242&gt;15,P242&lt;107,P242&gt;109.6),"Toạ độ ngoài Gia Lai (đảo vĩ/kinh độ?)",IF(Q242="","Chọn cách xác định",IF(U242&gt;20000,"Dời hơn 20 km – kiểm tra lại","OK")))),IF(AND(N242&lt;&gt;"Sửa vị trí",OR(O242&lt;&gt;"",P242&lt;&gt;"")),"Có toạ độ mới nhưng kết quả không phải Sửa vị trí","OK")))</f>
        <v/>
      </c>
    </row>
    <row r="243">
      <c r="A243" s="9" t="n">
        <v>239</v>
      </c>
      <c r="B243" s="9" t="inlineStr">
        <is>
          <t>a23bf7a3-de9d-e1f9-0d1f-b19ae499afa4</t>
        </is>
      </c>
      <c r="C243" s="9" t="inlineStr">
        <is>
          <t>Trung bình</t>
        </is>
      </c>
      <c r="D243" s="10" t="inlineStr">
        <is>
          <t>Cửa hàng xăng dầu Bình An</t>
        </is>
      </c>
      <c r="E243" s="9" t="inlineStr">
        <is>
          <t>Cây xăng</t>
        </is>
      </c>
      <c r="F243" s="9" t="inlineStr">
        <is>
          <t>OpenStreetMap</t>
        </is>
      </c>
      <c r="G243" s="10" t="inlineStr">
        <is>
          <t>Quốc lộ 1A - Đường Trần Phú, Xã Tuy Phước, Gia Lai</t>
        </is>
      </c>
      <c r="H243" s="9" t="inlineStr">
        <is>
          <t>Xã Tuy Phước</t>
        </is>
      </c>
      <c r="I243" s="11" t="n">
        <v>13.863847</v>
      </c>
      <c r="J243" s="11" t="n">
        <v>109.131215</v>
      </c>
      <c r="K243" s="9" t="inlineStr">
        <is>
          <t>Đã đối chiếu</t>
        </is>
      </c>
      <c r="L243" s="10" t="n"/>
      <c r="M243" s="12" t="inlineStr">
        <is>
          <t>Bản đồ</t>
        </is>
      </c>
      <c r="N243" s="13" t="n"/>
      <c r="O243" s="14" t="n"/>
      <c r="P243" s="14" t="n"/>
      <c r="Q243" s="13" t="n"/>
      <c r="R243" s="15" t="n"/>
      <c r="S243" s="13" t="n"/>
      <c r="T243" s="13" t="n"/>
      <c r="U243" s="16">
        <f>IF(AND(ISNUMBER(O243),ISNUMBER(P243)),ROUND(SQRT(((P243-J243)*111320*COS(RADIANS(I243)))^2+((O243-I243)*110540)^2),0),"")</f>
        <v/>
      </c>
      <c r="V243" s="17">
        <f>IF(N243="","",IF(N243="Sửa vị trí",IF(OR(O243="",P243=""),"Thiếu vĩ độ / kinh độ mới",IF(OR(O243&lt;12.5,O243&gt;15,P243&lt;107,P243&gt;109.6),"Toạ độ ngoài Gia Lai (đảo vĩ/kinh độ?)",IF(Q243="","Chọn cách xác định",IF(U243&gt;20000,"Dời hơn 20 km – kiểm tra lại","OK")))),IF(AND(N243&lt;&gt;"Sửa vị trí",OR(O243&lt;&gt;"",P243&lt;&gt;"")),"Có toạ độ mới nhưng kết quả không phải Sửa vị trí","OK")))</f>
        <v/>
      </c>
    </row>
    <row r="244">
      <c r="A244" s="9" t="n">
        <v>240</v>
      </c>
      <c r="B244" s="9" t="inlineStr">
        <is>
          <t>55a03721-38d8-ce40-996f-e8af8d2d7b34</t>
        </is>
      </c>
      <c r="C244" s="9" t="inlineStr">
        <is>
          <t>Trung bình</t>
        </is>
      </c>
      <c r="D244" s="10" t="inlineStr">
        <is>
          <t>Cửa hàng xăng dầu Yến Tùng 4</t>
        </is>
      </c>
      <c r="E244" s="9" t="inlineStr">
        <is>
          <t>Cây xăng</t>
        </is>
      </c>
      <c r="F244" s="9" t="inlineStr">
        <is>
          <t>OpenStreetMap</t>
        </is>
      </c>
      <c r="G244" s="10" t="inlineStr">
        <is>
          <t>Quốc lộ 1A - Đường Trần Phú, Xã Tuy Phước, Gia Lai</t>
        </is>
      </c>
      <c r="H244" s="9" t="inlineStr">
        <is>
          <t>Xã Tuy Phước</t>
        </is>
      </c>
      <c r="I244" s="11" t="n">
        <v>13.852446</v>
      </c>
      <c r="J244" s="11" t="n">
        <v>109.134898</v>
      </c>
      <c r="K244" s="9" t="inlineStr">
        <is>
          <t>Đã đối chiếu</t>
        </is>
      </c>
      <c r="L244" s="10" t="n"/>
      <c r="M244" s="12" t="inlineStr">
        <is>
          <t>Bản đồ</t>
        </is>
      </c>
      <c r="N244" s="13" t="n"/>
      <c r="O244" s="14" t="n"/>
      <c r="P244" s="14" t="n"/>
      <c r="Q244" s="13" t="n"/>
      <c r="R244" s="15" t="n"/>
      <c r="S244" s="13" t="n"/>
      <c r="T244" s="13" t="n"/>
      <c r="U244" s="16">
        <f>IF(AND(ISNUMBER(O244),ISNUMBER(P244)),ROUND(SQRT(((P244-J244)*111320*COS(RADIANS(I244)))^2+((O244-I244)*110540)^2),0),"")</f>
        <v/>
      </c>
      <c r="V244" s="17">
        <f>IF(N244="","",IF(N244="Sửa vị trí",IF(OR(O244="",P244=""),"Thiếu vĩ độ / kinh độ mới",IF(OR(O244&lt;12.5,O244&gt;15,P244&lt;107,P244&gt;109.6),"Toạ độ ngoài Gia Lai (đảo vĩ/kinh độ?)",IF(Q244="","Chọn cách xác định",IF(U244&gt;20000,"Dời hơn 20 km – kiểm tra lại","OK")))),IF(AND(N244&lt;&gt;"Sửa vị trí",OR(O244&lt;&gt;"",P244&lt;&gt;"")),"Có toạ độ mới nhưng kết quả không phải Sửa vị trí","OK")))</f>
        <v/>
      </c>
    </row>
    <row r="245">
      <c r="A245" s="9" t="n">
        <v>241</v>
      </c>
      <c r="B245" s="9" t="inlineStr">
        <is>
          <t>5ec95719-4a73-3502-3a0a-895c61a48141</t>
        </is>
      </c>
      <c r="C245" s="9" t="inlineStr">
        <is>
          <t>Trung bình</t>
        </is>
      </c>
      <c r="D245" s="10" t="inlineStr">
        <is>
          <t>Cửa hàng xăng dầu số 18 - Petro</t>
        </is>
      </c>
      <c r="E245" s="9" t="inlineStr">
        <is>
          <t>Cây xăng</t>
        </is>
      </c>
      <c r="F245" s="9" t="inlineStr">
        <is>
          <t>OpenStreetMap</t>
        </is>
      </c>
      <c r="G245" s="10" t="inlineStr">
        <is>
          <t>Quốc lộ 19, Xã Tuy Phước, Gia Lai</t>
        </is>
      </c>
      <c r="H245" s="9" t="inlineStr">
        <is>
          <t>Xã Tuy Phước</t>
        </is>
      </c>
      <c r="I245" s="11" t="n">
        <v>13.860556</v>
      </c>
      <c r="J245" s="11" t="n">
        <v>109.137292</v>
      </c>
      <c r="K245" s="9" t="inlineStr">
        <is>
          <t>Đã đối chiếu</t>
        </is>
      </c>
      <c r="L245" s="10" t="n"/>
      <c r="M245" s="12" t="inlineStr">
        <is>
          <t>Bản đồ</t>
        </is>
      </c>
      <c r="N245" s="13" t="n"/>
      <c r="O245" s="14" t="n"/>
      <c r="P245" s="14" t="n"/>
      <c r="Q245" s="13" t="n"/>
      <c r="R245" s="15" t="n"/>
      <c r="S245" s="13" t="n"/>
      <c r="T245" s="13" t="n"/>
      <c r="U245" s="16">
        <f>IF(AND(ISNUMBER(O245),ISNUMBER(P245)),ROUND(SQRT(((P245-J245)*111320*COS(RADIANS(I245)))^2+((O245-I245)*110540)^2),0),"")</f>
        <v/>
      </c>
      <c r="V245" s="17">
        <f>IF(N245="","",IF(N245="Sửa vị trí",IF(OR(O245="",P245=""),"Thiếu vĩ độ / kinh độ mới",IF(OR(O245&lt;12.5,O245&gt;15,P245&lt;107,P245&gt;109.6),"Toạ độ ngoài Gia Lai (đảo vĩ/kinh độ?)",IF(Q245="","Chọn cách xác định",IF(U245&gt;20000,"Dời hơn 20 km – kiểm tra lại","OK")))),IF(AND(N245&lt;&gt;"Sửa vị trí",OR(O245&lt;&gt;"",P245&lt;&gt;"")),"Có toạ độ mới nhưng kết quả không phải Sửa vị trí","OK")))</f>
        <v/>
      </c>
    </row>
    <row r="246">
      <c r="A246" s="9" t="n">
        <v>242</v>
      </c>
      <c r="B246" s="9" t="inlineStr">
        <is>
          <t>500c5420-6577-ed43-37fb-86fe4dc6d605</t>
        </is>
      </c>
      <c r="C246" s="9" t="inlineStr">
        <is>
          <t>Trung bình</t>
        </is>
      </c>
      <c r="D246" s="10" t="inlineStr">
        <is>
          <t>Trạm xăng dầu Trung Hường</t>
        </is>
      </c>
      <c r="E246" s="9" t="inlineStr">
        <is>
          <t>Cây xăng</t>
        </is>
      </c>
      <c r="F246" s="9" t="inlineStr">
        <is>
          <t>OpenStreetMap</t>
        </is>
      </c>
      <c r="G246" s="10" t="inlineStr">
        <is>
          <t>Quốc lộ 1A - Đường Trần Phú, Xã Tuy Phước, Gia Lai</t>
        </is>
      </c>
      <c r="H246" s="9" t="inlineStr">
        <is>
          <t>Xã Tuy Phước</t>
        </is>
      </c>
      <c r="I246" s="11" t="n">
        <v>13.836962</v>
      </c>
      <c r="J246" s="11" t="n">
        <v>109.141157</v>
      </c>
      <c r="K246" s="9" t="inlineStr">
        <is>
          <t>Đã đối chiếu</t>
        </is>
      </c>
      <c r="L246" s="10" t="n"/>
      <c r="M246" s="12" t="inlineStr">
        <is>
          <t>Bản đồ</t>
        </is>
      </c>
      <c r="N246" s="13" t="n"/>
      <c r="O246" s="14" t="n"/>
      <c r="P246" s="14" t="n"/>
      <c r="Q246" s="13" t="n"/>
      <c r="R246" s="15" t="n"/>
      <c r="S246" s="13" t="n"/>
      <c r="T246" s="13" t="n"/>
      <c r="U246" s="16">
        <f>IF(AND(ISNUMBER(O246),ISNUMBER(P246)),ROUND(SQRT(((P246-J246)*111320*COS(RADIANS(I246)))^2+((O246-I246)*110540)^2),0),"")</f>
        <v/>
      </c>
      <c r="V246" s="17">
        <f>IF(N246="","",IF(N246="Sửa vị trí",IF(OR(O246="",P246=""),"Thiếu vĩ độ / kinh độ mới",IF(OR(O246&lt;12.5,O246&gt;15,P246&lt;107,P246&gt;109.6),"Toạ độ ngoài Gia Lai (đảo vĩ/kinh độ?)",IF(Q246="","Chọn cách xác định",IF(U246&gt;20000,"Dời hơn 20 km – kiểm tra lại","OK")))),IF(AND(N246&lt;&gt;"Sửa vị trí",OR(O246&lt;&gt;"",P246&lt;&gt;"")),"Có toạ độ mới nhưng kết quả không phải Sửa vị trí","OK")))</f>
        <v/>
      </c>
    </row>
    <row r="247">
      <c r="A247" s="9" t="n">
        <v>243</v>
      </c>
      <c r="B247" s="9" t="inlineStr">
        <is>
          <t>96612e2a-d9ce-6424-7155-38dfe3d2442f</t>
        </is>
      </c>
      <c r="C247" s="9" t="inlineStr">
        <is>
          <t>Trung bình</t>
        </is>
      </c>
      <c r="D247" s="10" t="inlineStr">
        <is>
          <t>Tô Công</t>
        </is>
      </c>
      <c r="E247" s="9" t="inlineStr">
        <is>
          <t>Cây xăng</t>
        </is>
      </c>
      <c r="F247" s="9" t="inlineStr">
        <is>
          <t>OpenStreetMap</t>
        </is>
      </c>
      <c r="G247" s="10" t="inlineStr">
        <is>
          <t>Xã Tuy Phước, Gia Lai</t>
        </is>
      </c>
      <c r="H247" s="9" t="inlineStr">
        <is>
          <t>Xã Tuy Phước</t>
        </is>
      </c>
      <c r="I247" s="11" t="n">
        <v>13.810054</v>
      </c>
      <c r="J247" s="11" t="n">
        <v>109.147303</v>
      </c>
      <c r="K247" s="9" t="inlineStr">
        <is>
          <t>Đã đối chiếu</t>
        </is>
      </c>
      <c r="L247" s="10" t="n"/>
      <c r="M247" s="12" t="inlineStr">
        <is>
          <t>Bản đồ</t>
        </is>
      </c>
      <c r="N247" s="13" t="n"/>
      <c r="O247" s="14" t="n"/>
      <c r="P247" s="14" t="n"/>
      <c r="Q247" s="13" t="n"/>
      <c r="R247" s="15" t="n"/>
      <c r="S247" s="13" t="n"/>
      <c r="T247" s="13" t="n"/>
      <c r="U247" s="16">
        <f>IF(AND(ISNUMBER(O247),ISNUMBER(P247)),ROUND(SQRT(((P247-J247)*111320*COS(RADIANS(I247)))^2+((O247-I247)*110540)^2),0),"")</f>
        <v/>
      </c>
      <c r="V247" s="17">
        <f>IF(N247="","",IF(N247="Sửa vị trí",IF(OR(O247="",P247=""),"Thiếu vĩ độ / kinh độ mới",IF(OR(O247&lt;12.5,O247&gt;15,P247&lt;107,P247&gt;109.6),"Toạ độ ngoài Gia Lai (đảo vĩ/kinh độ?)",IF(Q247="","Chọn cách xác định",IF(U247&gt;20000,"Dời hơn 20 km – kiểm tra lại","OK")))),IF(AND(N247&lt;&gt;"Sửa vị trí",OR(O247&lt;&gt;"",P247&lt;&gt;"")),"Có toạ độ mới nhưng kết quả không phải Sửa vị trí","OK")))</f>
        <v/>
      </c>
    </row>
    <row r="248">
      <c r="A248" s="9" t="n">
        <v>244</v>
      </c>
      <c r="B248" s="9" t="inlineStr">
        <is>
          <t>3aefa007-9030-181f-e656-f6e9bb8e9617</t>
        </is>
      </c>
      <c r="C248" s="9" t="inlineStr">
        <is>
          <t>Trung bình</t>
        </is>
      </c>
      <c r="D248" s="10" t="inlineStr">
        <is>
          <t>Cây xăng (Xã Tuy Phước Đông)</t>
        </is>
      </c>
      <c r="E248" s="9" t="inlineStr">
        <is>
          <t>Cây xăng</t>
        </is>
      </c>
      <c r="F248" s="9" t="inlineStr">
        <is>
          <t>OpenStreetMap</t>
        </is>
      </c>
      <c r="G248" s="10" t="inlineStr">
        <is>
          <t>Xã Tuy Phước Đông, Gia Lai</t>
        </is>
      </c>
      <c r="H248" s="9" t="inlineStr">
        <is>
          <t>Xã Tuy Phước Đông</t>
        </is>
      </c>
      <c r="I248" s="11" t="n">
        <v>13.896329</v>
      </c>
      <c r="J248" s="11" t="n">
        <v>109.257087</v>
      </c>
      <c r="K248" s="9" t="inlineStr">
        <is>
          <t>Đã đối chiếu</t>
        </is>
      </c>
      <c r="L248" s="10" t="n"/>
      <c r="M248" s="12" t="inlineStr">
        <is>
          <t>Bản đồ</t>
        </is>
      </c>
      <c r="N248" s="13" t="n"/>
      <c r="O248" s="14" t="n"/>
      <c r="P248" s="14" t="n"/>
      <c r="Q248" s="13" t="n"/>
      <c r="R248" s="15" t="n"/>
      <c r="S248" s="13" t="n"/>
      <c r="T248" s="13" t="n"/>
      <c r="U248" s="16">
        <f>IF(AND(ISNUMBER(O248),ISNUMBER(P248)),ROUND(SQRT(((P248-J248)*111320*COS(RADIANS(I248)))^2+((O248-I248)*110540)^2),0),"")</f>
        <v/>
      </c>
      <c r="V248" s="17">
        <f>IF(N248="","",IF(N248="Sửa vị trí",IF(OR(O248="",P248=""),"Thiếu vĩ độ / kinh độ mới",IF(OR(O248&lt;12.5,O248&gt;15,P248&lt;107,P248&gt;109.6),"Toạ độ ngoài Gia Lai (đảo vĩ/kinh độ?)",IF(Q248="","Chọn cách xác định",IF(U248&gt;20000,"Dời hơn 20 km – kiểm tra lại","OK")))),IF(AND(N248&lt;&gt;"Sửa vị trí",OR(O248&lt;&gt;"",P248&lt;&gt;"")),"Có toạ độ mới nhưng kết quả không phải Sửa vị trí","OK")))</f>
        <v/>
      </c>
    </row>
    <row r="249">
      <c r="A249" s="9" t="n">
        <v>245</v>
      </c>
      <c r="B249" s="9" t="inlineStr">
        <is>
          <t>18f26db2-aaa2-79e5-9fd9-9bc0ea29f5e0</t>
        </is>
      </c>
      <c r="C249" s="9" t="inlineStr">
        <is>
          <t>Trung bình</t>
        </is>
      </c>
      <c r="D249" s="10" t="inlineStr">
        <is>
          <t>Cây xăng (Xã Tây Sơn)</t>
        </is>
      </c>
      <c r="E249" s="9" t="inlineStr">
        <is>
          <t>Cây xăng</t>
        </is>
      </c>
      <c r="F249" s="9" t="inlineStr">
        <is>
          <t>OpenStreetMap</t>
        </is>
      </c>
      <c r="G249" s="10" t="inlineStr">
        <is>
          <t>Quang Trung, Xã Tây Sơn, Gia Lai</t>
        </is>
      </c>
      <c r="H249" s="9" t="inlineStr">
        <is>
          <t>Xã Tây Sơn</t>
        </is>
      </c>
      <c r="I249" s="11" t="n">
        <v>13.908124</v>
      </c>
      <c r="J249" s="11" t="n">
        <v>108.91817</v>
      </c>
      <c r="K249" s="9" t="inlineStr">
        <is>
          <t>Đã đối chiếu</t>
        </is>
      </c>
      <c r="L249" s="10" t="n"/>
      <c r="M249" s="12" t="inlineStr">
        <is>
          <t>Bản đồ</t>
        </is>
      </c>
      <c r="N249" s="13" t="n"/>
      <c r="O249" s="14" t="n"/>
      <c r="P249" s="14" t="n"/>
      <c r="Q249" s="13" t="n"/>
      <c r="R249" s="15" t="n"/>
      <c r="S249" s="13" t="n"/>
      <c r="T249" s="13" t="n"/>
      <c r="U249" s="16">
        <f>IF(AND(ISNUMBER(O249),ISNUMBER(P249)),ROUND(SQRT(((P249-J249)*111320*COS(RADIANS(I249)))^2+((O249-I249)*110540)^2),0),"")</f>
        <v/>
      </c>
      <c r="V249" s="17">
        <f>IF(N249="","",IF(N249="Sửa vị trí",IF(OR(O249="",P249=""),"Thiếu vĩ độ / kinh độ mới",IF(OR(O249&lt;12.5,O249&gt;15,P249&lt;107,P249&gt;109.6),"Toạ độ ngoài Gia Lai (đảo vĩ/kinh độ?)",IF(Q249="","Chọn cách xác định",IF(U249&gt;20000,"Dời hơn 20 km – kiểm tra lại","OK")))),IF(AND(N249&lt;&gt;"Sửa vị trí",OR(O249&lt;&gt;"",P249&lt;&gt;"")),"Có toạ độ mới nhưng kết quả không phải Sửa vị trí","OK")))</f>
        <v/>
      </c>
    </row>
    <row r="250">
      <c r="A250" s="9" t="n">
        <v>246</v>
      </c>
      <c r="B250" s="9" t="inlineStr">
        <is>
          <t>23bfd92b-fef2-7e24-14ff-ca7ebc4781db</t>
        </is>
      </c>
      <c r="C250" s="9" t="inlineStr">
        <is>
          <t>Trung bình</t>
        </is>
      </c>
      <c r="D250" s="10" t="inlineStr">
        <is>
          <t>Cây xăng (Xã Tây Sơn)</t>
        </is>
      </c>
      <c r="E250" s="9" t="inlineStr">
        <is>
          <t>Cây xăng</t>
        </is>
      </c>
      <c r="F250" s="9" t="inlineStr">
        <is>
          <t>OpenStreetMap</t>
        </is>
      </c>
      <c r="G250" s="10" t="inlineStr">
        <is>
          <t>Tỉnh lộ 636, Xã Tây Sơn, Gia Lai</t>
        </is>
      </c>
      <c r="H250" s="9" t="inlineStr">
        <is>
          <t>Xã Tây Sơn</t>
        </is>
      </c>
      <c r="I250" s="11" t="n">
        <v>13.926691</v>
      </c>
      <c r="J250" s="11" t="n">
        <v>108.923037</v>
      </c>
      <c r="K250" s="9" t="inlineStr">
        <is>
          <t>Đã đối chiếu</t>
        </is>
      </c>
      <c r="L250" s="10" t="n"/>
      <c r="M250" s="12" t="inlineStr">
        <is>
          <t>Bản đồ</t>
        </is>
      </c>
      <c r="N250" s="13" t="n"/>
      <c r="O250" s="14" t="n"/>
      <c r="P250" s="14" t="n"/>
      <c r="Q250" s="13" t="n"/>
      <c r="R250" s="15" t="n"/>
      <c r="S250" s="13" t="n"/>
      <c r="T250" s="13" t="n"/>
      <c r="U250" s="16">
        <f>IF(AND(ISNUMBER(O250),ISNUMBER(P250)),ROUND(SQRT(((P250-J250)*111320*COS(RADIANS(I250)))^2+((O250-I250)*110540)^2),0),"")</f>
        <v/>
      </c>
      <c r="V250" s="17">
        <f>IF(N250="","",IF(N250="Sửa vị trí",IF(OR(O250="",P250=""),"Thiếu vĩ độ / kinh độ mới",IF(OR(O250&lt;12.5,O250&gt;15,P250&lt;107,P250&gt;109.6),"Toạ độ ngoài Gia Lai (đảo vĩ/kinh độ?)",IF(Q250="","Chọn cách xác định",IF(U250&gt;20000,"Dời hơn 20 km – kiểm tra lại","OK")))),IF(AND(N250&lt;&gt;"Sửa vị trí",OR(O250&lt;&gt;"",P250&lt;&gt;"")),"Có toạ độ mới nhưng kết quả không phải Sửa vị trí","OK")))</f>
        <v/>
      </c>
    </row>
    <row r="251">
      <c r="A251" s="9" t="n">
        <v>247</v>
      </c>
      <c r="B251" s="9" t="inlineStr">
        <is>
          <t>1118dd20-ff16-a77b-a62e-e8997bc263af</t>
        </is>
      </c>
      <c r="C251" s="9" t="inlineStr">
        <is>
          <t>Trung bình</t>
        </is>
      </c>
      <c r="D251" s="10" t="inlineStr">
        <is>
          <t>Cây xăng (Xã Tây Sơn)</t>
        </is>
      </c>
      <c r="E251" s="9" t="inlineStr">
        <is>
          <t>Cây xăng</t>
        </is>
      </c>
      <c r="F251" s="9" t="inlineStr">
        <is>
          <t>OpenStreetMap</t>
        </is>
      </c>
      <c r="G251" s="10" t="inlineStr">
        <is>
          <t>Nguyễn Huệ, Xã Tây Sơn, Gia Lai</t>
        </is>
      </c>
      <c r="H251" s="9" t="inlineStr">
        <is>
          <t>Xã Tây Sơn</t>
        </is>
      </c>
      <c r="I251" s="11" t="n">
        <v>13.907589</v>
      </c>
      <c r="J251" s="11" t="n">
        <v>108.922672</v>
      </c>
      <c r="K251" s="9" t="inlineStr">
        <is>
          <t>Đã đối chiếu</t>
        </is>
      </c>
      <c r="L251" s="10" t="n"/>
      <c r="M251" s="12" t="inlineStr">
        <is>
          <t>Bản đồ</t>
        </is>
      </c>
      <c r="N251" s="13" t="n"/>
      <c r="O251" s="14" t="n"/>
      <c r="P251" s="14" t="n"/>
      <c r="Q251" s="13" t="n"/>
      <c r="R251" s="15" t="n"/>
      <c r="S251" s="13" t="n"/>
      <c r="T251" s="13" t="n"/>
      <c r="U251" s="16">
        <f>IF(AND(ISNUMBER(O251),ISNUMBER(P251)),ROUND(SQRT(((P251-J251)*111320*COS(RADIANS(I251)))^2+((O251-I251)*110540)^2),0),"")</f>
        <v/>
      </c>
      <c r="V251" s="17">
        <f>IF(N251="","",IF(N251="Sửa vị trí",IF(OR(O251="",P251=""),"Thiếu vĩ độ / kinh độ mới",IF(OR(O251&lt;12.5,O251&gt;15,P251&lt;107,P251&gt;109.6),"Toạ độ ngoài Gia Lai (đảo vĩ/kinh độ?)",IF(Q251="","Chọn cách xác định",IF(U251&gt;20000,"Dời hơn 20 km – kiểm tra lại","OK")))),IF(AND(N251&lt;&gt;"Sửa vị trí",OR(O251&lt;&gt;"",P251&lt;&gt;"")),"Có toạ độ mới nhưng kết quả không phải Sửa vị trí","OK")))</f>
        <v/>
      </c>
    </row>
    <row r="252">
      <c r="A252" s="9" t="n">
        <v>248</v>
      </c>
      <c r="B252" s="9" t="inlineStr">
        <is>
          <t>dd31f3dc-45b6-fcf8-0ccc-79b87e24d3ba</t>
        </is>
      </c>
      <c r="C252" s="9" t="inlineStr">
        <is>
          <t>Trung bình</t>
        </is>
      </c>
      <c r="D252" s="10" t="inlineStr">
        <is>
          <t>Xâng dầu Hiếu Ngọc</t>
        </is>
      </c>
      <c r="E252" s="9" t="inlineStr">
        <is>
          <t>Cây xăng</t>
        </is>
      </c>
      <c r="F252" s="9" t="inlineStr">
        <is>
          <t>OpenStreetMap</t>
        </is>
      </c>
      <c r="G252" s="10" t="inlineStr">
        <is>
          <t>AH 19, Xã Tây Sơn, Gia Lai</t>
        </is>
      </c>
      <c r="H252" s="9" t="inlineStr">
        <is>
          <t>Xã Tây Sơn</t>
        </is>
      </c>
      <c r="I252" s="11" t="n">
        <v>13.900693</v>
      </c>
      <c r="J252" s="11" t="n">
        <v>108.937689</v>
      </c>
      <c r="K252" s="9" t="inlineStr">
        <is>
          <t>Đã đối chiếu</t>
        </is>
      </c>
      <c r="L252" s="10" t="n"/>
      <c r="M252" s="12" t="inlineStr">
        <is>
          <t>Bản đồ</t>
        </is>
      </c>
      <c r="N252" s="13" t="n"/>
      <c r="O252" s="14" t="n"/>
      <c r="P252" s="14" t="n"/>
      <c r="Q252" s="13" t="n"/>
      <c r="R252" s="15" t="n"/>
      <c r="S252" s="13" t="n"/>
      <c r="T252" s="13" t="n"/>
      <c r="U252" s="16">
        <f>IF(AND(ISNUMBER(O252),ISNUMBER(P252)),ROUND(SQRT(((P252-J252)*111320*COS(RADIANS(I252)))^2+((O252-I252)*110540)^2),0),"")</f>
        <v/>
      </c>
      <c r="V252" s="17">
        <f>IF(N252="","",IF(N252="Sửa vị trí",IF(OR(O252="",P252=""),"Thiếu vĩ độ / kinh độ mới",IF(OR(O252&lt;12.5,O252&gt;15,P252&lt;107,P252&gt;109.6),"Toạ độ ngoài Gia Lai (đảo vĩ/kinh độ?)",IF(Q252="","Chọn cách xác định",IF(U252&gt;20000,"Dời hơn 20 km – kiểm tra lại","OK")))),IF(AND(N252&lt;&gt;"Sửa vị trí",OR(O252&lt;&gt;"",P252&lt;&gt;"")),"Có toạ độ mới nhưng kết quả không phải Sửa vị trí","OK")))</f>
        <v/>
      </c>
    </row>
    <row r="253">
      <c r="A253" s="9" t="n">
        <v>249</v>
      </c>
      <c r="B253" s="9" t="inlineStr">
        <is>
          <t>7d162de5-3325-7cf5-ff70-9d8604dd9b80</t>
        </is>
      </c>
      <c r="C253" s="9" t="inlineStr">
        <is>
          <t>Trung bình</t>
        </is>
      </c>
      <c r="D253" s="10" t="inlineStr">
        <is>
          <t>Mipecorp</t>
        </is>
      </c>
      <c r="E253" s="9" t="inlineStr">
        <is>
          <t>Cây xăng</t>
        </is>
      </c>
      <c r="F253" s="9" t="inlineStr">
        <is>
          <t>OpenStreetMap</t>
        </is>
      </c>
      <c r="G253" s="10" t="inlineStr">
        <is>
          <t>Xã Uar, Gia Lai</t>
        </is>
      </c>
      <c r="H253" s="9" t="inlineStr">
        <is>
          <t>Xã Uar</t>
        </is>
      </c>
      <c r="I253" s="11" t="n">
        <v>13.339455</v>
      </c>
      <c r="J253" s="11" t="n">
        <v>108.538382</v>
      </c>
      <c r="K253" s="9" t="inlineStr">
        <is>
          <t>Đã đối chiếu</t>
        </is>
      </c>
      <c r="L253" s="10" t="n"/>
      <c r="M253" s="12" t="inlineStr">
        <is>
          <t>Bản đồ</t>
        </is>
      </c>
      <c r="N253" s="13" t="n"/>
      <c r="O253" s="14" t="n"/>
      <c r="P253" s="14" t="n"/>
      <c r="Q253" s="13" t="n"/>
      <c r="R253" s="15" t="n"/>
      <c r="S253" s="13" t="n"/>
      <c r="T253" s="13" t="n"/>
      <c r="U253" s="16">
        <f>IF(AND(ISNUMBER(O253),ISNUMBER(P253)),ROUND(SQRT(((P253-J253)*111320*COS(RADIANS(I253)))^2+((O253-I253)*110540)^2),0),"")</f>
        <v/>
      </c>
      <c r="V253" s="17">
        <f>IF(N253="","",IF(N253="Sửa vị trí",IF(OR(O253="",P253=""),"Thiếu vĩ độ / kinh độ mới",IF(OR(O253&lt;12.5,O253&gt;15,P253&lt;107,P253&gt;109.6),"Toạ độ ngoài Gia Lai (đảo vĩ/kinh độ?)",IF(Q253="","Chọn cách xác định",IF(U253&gt;20000,"Dời hơn 20 km – kiểm tra lại","OK")))),IF(AND(N253&lt;&gt;"Sửa vị trí",OR(O253&lt;&gt;"",P253&lt;&gt;"")),"Có toạ độ mới nhưng kết quả không phải Sửa vị trí","OK")))</f>
        <v/>
      </c>
    </row>
    <row r="254">
      <c r="A254" s="9" t="n">
        <v>250</v>
      </c>
      <c r="B254" s="9" t="inlineStr">
        <is>
          <t>5dc73118-344a-56f9-7ec9-ff7752f9299a</t>
        </is>
      </c>
      <c r="C254" s="9" t="inlineStr">
        <is>
          <t>Trung bình</t>
        </is>
      </c>
      <c r="D254" s="10" t="inlineStr">
        <is>
          <t>PV Oil</t>
        </is>
      </c>
      <c r="E254" s="9" t="inlineStr">
        <is>
          <t>Cây xăng</t>
        </is>
      </c>
      <c r="F254" s="9" t="inlineStr">
        <is>
          <t>OpenStreetMap</t>
        </is>
      </c>
      <c r="G254" s="10" t="inlineStr">
        <is>
          <t>Xã Uar, Gia Lai</t>
        </is>
      </c>
      <c r="H254" s="9" t="inlineStr">
        <is>
          <t>Xã Uar</t>
        </is>
      </c>
      <c r="I254" s="11" t="n">
        <v>13.311231</v>
      </c>
      <c r="J254" s="11" t="n">
        <v>108.59123</v>
      </c>
      <c r="K254" s="9" t="inlineStr">
        <is>
          <t>Đã đối chiếu</t>
        </is>
      </c>
      <c r="L254" s="10" t="n"/>
      <c r="M254" s="12" t="inlineStr">
        <is>
          <t>Bản đồ</t>
        </is>
      </c>
      <c r="N254" s="13" t="n"/>
      <c r="O254" s="14" t="n"/>
      <c r="P254" s="14" t="n"/>
      <c r="Q254" s="13" t="n"/>
      <c r="R254" s="15" t="n"/>
      <c r="S254" s="13" t="n"/>
      <c r="T254" s="13" t="n"/>
      <c r="U254" s="16">
        <f>IF(AND(ISNUMBER(O254),ISNUMBER(P254)),ROUND(SQRT(((P254-J254)*111320*COS(RADIANS(I254)))^2+((O254-I254)*110540)^2),0),"")</f>
        <v/>
      </c>
      <c r="V254" s="17">
        <f>IF(N254="","",IF(N254="Sửa vị trí",IF(OR(O254="",P254=""),"Thiếu vĩ độ / kinh độ mới",IF(OR(O254&lt;12.5,O254&gt;15,P254&lt;107,P254&gt;109.6),"Toạ độ ngoài Gia Lai (đảo vĩ/kinh độ?)",IF(Q254="","Chọn cách xác định",IF(U254&gt;20000,"Dời hơn 20 km – kiểm tra lại","OK")))),IF(AND(N254&lt;&gt;"Sửa vị trí",OR(O254&lt;&gt;"",P254&lt;&gt;"")),"Có toạ độ mới nhưng kết quả không phải Sửa vị trí","OK")))</f>
        <v/>
      </c>
    </row>
    <row r="255">
      <c r="A255" s="9" t="n">
        <v>251</v>
      </c>
      <c r="B255" s="9" t="inlineStr">
        <is>
          <t>76e933f2-706f-b3b5-a5f3-a623fc484d12</t>
        </is>
      </c>
      <c r="C255" s="9" t="inlineStr">
        <is>
          <t>Trung bình</t>
        </is>
      </c>
      <c r="D255" s="10" t="inlineStr">
        <is>
          <t>Petrolimex</t>
        </is>
      </c>
      <c r="E255" s="9" t="inlineStr">
        <is>
          <t>Cây xăng</t>
        </is>
      </c>
      <c r="F255" s="9" t="inlineStr">
        <is>
          <t>OpenStreetMap</t>
        </is>
      </c>
      <c r="G255" s="10" t="inlineStr">
        <is>
          <t>Xã Uar, Gia Lai</t>
        </is>
      </c>
      <c r="H255" s="9" t="inlineStr">
        <is>
          <t>Xã Uar</t>
        </is>
      </c>
      <c r="I255" s="11" t="n">
        <v>13.317988</v>
      </c>
      <c r="J255" s="11" t="n">
        <v>108.587806</v>
      </c>
      <c r="K255" s="9" t="inlineStr">
        <is>
          <t>Đã đối chiếu</t>
        </is>
      </c>
      <c r="L255" s="10" t="n"/>
      <c r="M255" s="12" t="inlineStr">
        <is>
          <t>Bản đồ</t>
        </is>
      </c>
      <c r="N255" s="13" t="n"/>
      <c r="O255" s="14" t="n"/>
      <c r="P255" s="14" t="n"/>
      <c r="Q255" s="13" t="n"/>
      <c r="R255" s="15" t="n"/>
      <c r="S255" s="13" t="n"/>
      <c r="T255" s="13" t="n"/>
      <c r="U255" s="16">
        <f>IF(AND(ISNUMBER(O255),ISNUMBER(P255)),ROUND(SQRT(((P255-J255)*111320*COS(RADIANS(I255)))^2+((O255-I255)*110540)^2),0),"")</f>
        <v/>
      </c>
      <c r="V255" s="17">
        <f>IF(N255="","",IF(N255="Sửa vị trí",IF(OR(O255="",P255=""),"Thiếu vĩ độ / kinh độ mới",IF(OR(O255&lt;12.5,O255&gt;15,P255&lt;107,P255&gt;109.6),"Toạ độ ngoài Gia Lai (đảo vĩ/kinh độ?)",IF(Q255="","Chọn cách xác định",IF(U255&gt;20000,"Dời hơn 20 km – kiểm tra lại","OK")))),IF(AND(N255&lt;&gt;"Sửa vị trí",OR(O255&lt;&gt;"",P255&lt;&gt;"")),"Có toạ độ mới nhưng kết quả không phải Sửa vị trí","OK")))</f>
        <v/>
      </c>
    </row>
    <row r="256">
      <c r="A256" s="9" t="n">
        <v>252</v>
      </c>
      <c r="B256" s="9" t="inlineStr">
        <is>
          <t>bb066af8-e1e6-df71-1ffe-01b586707c53</t>
        </is>
      </c>
      <c r="C256" s="9" t="inlineStr">
        <is>
          <t>Trung bình</t>
        </is>
      </c>
      <c r="D256" s="10" t="inlineStr">
        <is>
          <t>Cửa Hàng Xăng Dầu Số 35-Công ty Xăng Dầu Bình Định</t>
        </is>
      </c>
      <c r="E256" s="9" t="inlineStr">
        <is>
          <t>Cây xăng</t>
        </is>
      </c>
      <c r="F256" s="9" t="inlineStr">
        <is>
          <t>OpenStreetMap</t>
        </is>
      </c>
      <c r="G256" s="10" t="inlineStr">
        <is>
          <t>Xã Vĩnh Thạnh, Gia Lai</t>
        </is>
      </c>
      <c r="H256" s="9" t="inlineStr">
        <is>
          <t>Xã Vĩnh Thạnh</t>
        </is>
      </c>
      <c r="I256" s="11" t="n">
        <v>14.097919</v>
      </c>
      <c r="J256" s="11" t="n">
        <v>108.786228</v>
      </c>
      <c r="K256" s="9" t="inlineStr">
        <is>
          <t>Đã đối chiếu</t>
        </is>
      </c>
      <c r="L256" s="10" t="n"/>
      <c r="M256" s="12" t="inlineStr">
        <is>
          <t>Bản đồ</t>
        </is>
      </c>
      <c r="N256" s="13" t="n"/>
      <c r="O256" s="14" t="n"/>
      <c r="P256" s="14" t="n"/>
      <c r="Q256" s="13" t="n"/>
      <c r="R256" s="15" t="n"/>
      <c r="S256" s="13" t="n"/>
      <c r="T256" s="13" t="n"/>
      <c r="U256" s="16">
        <f>IF(AND(ISNUMBER(O256),ISNUMBER(P256)),ROUND(SQRT(((P256-J256)*111320*COS(RADIANS(I256)))^2+((O256-I256)*110540)^2),0),"")</f>
        <v/>
      </c>
      <c r="V256" s="17">
        <f>IF(N256="","",IF(N256="Sửa vị trí",IF(OR(O256="",P256=""),"Thiếu vĩ độ / kinh độ mới",IF(OR(O256&lt;12.5,O256&gt;15,P256&lt;107,P256&gt;109.6),"Toạ độ ngoài Gia Lai (đảo vĩ/kinh độ?)",IF(Q256="","Chọn cách xác định",IF(U256&gt;20000,"Dời hơn 20 km – kiểm tra lại","OK")))),IF(AND(N256&lt;&gt;"Sửa vị trí",OR(O256&lt;&gt;"",P256&lt;&gt;"")),"Có toạ độ mới nhưng kết quả không phải Sửa vị trí","OK")))</f>
        <v/>
      </c>
    </row>
    <row r="257">
      <c r="A257" s="9" t="n">
        <v>253</v>
      </c>
      <c r="B257" s="9" t="inlineStr">
        <is>
          <t>e5e454f7-821c-bcff-fa7c-05a4ae706d9c</t>
        </is>
      </c>
      <c r="C257" s="9" t="inlineStr">
        <is>
          <t>Trung bình</t>
        </is>
      </c>
      <c r="D257" s="10" t="inlineStr">
        <is>
          <t>Xăng Dầu Hiền Lạc</t>
        </is>
      </c>
      <c r="E257" s="9" t="inlineStr">
        <is>
          <t>Cây xăng</t>
        </is>
      </c>
      <c r="F257" s="9" t="inlineStr">
        <is>
          <t>OpenStreetMap</t>
        </is>
      </c>
      <c r="G257" s="10" t="inlineStr">
        <is>
          <t>Xã Vĩnh Thạnh, Gia Lai</t>
        </is>
      </c>
      <c r="H257" s="9" t="inlineStr">
        <is>
          <t>Xã Vĩnh Thạnh</t>
        </is>
      </c>
      <c r="I257" s="11" t="n">
        <v>14.08943</v>
      </c>
      <c r="J257" s="11" t="n">
        <v>108.784657</v>
      </c>
      <c r="K257" s="9" t="inlineStr">
        <is>
          <t>Đã đối chiếu</t>
        </is>
      </c>
      <c r="L257" s="10" t="n"/>
      <c r="M257" s="12" t="inlineStr">
        <is>
          <t>Bản đồ</t>
        </is>
      </c>
      <c r="N257" s="13" t="n"/>
      <c r="O257" s="14" t="n"/>
      <c r="P257" s="14" t="n"/>
      <c r="Q257" s="13" t="n"/>
      <c r="R257" s="15" t="n"/>
      <c r="S257" s="13" t="n"/>
      <c r="T257" s="13" t="n"/>
      <c r="U257" s="16">
        <f>IF(AND(ISNUMBER(O257),ISNUMBER(P257)),ROUND(SQRT(((P257-J257)*111320*COS(RADIANS(I257)))^2+((O257-I257)*110540)^2),0),"")</f>
        <v/>
      </c>
      <c r="V257" s="17">
        <f>IF(N257="","",IF(N257="Sửa vị trí",IF(OR(O257="",P257=""),"Thiếu vĩ độ / kinh độ mới",IF(OR(O257&lt;12.5,O257&gt;15,P257&lt;107,P257&gt;109.6),"Toạ độ ngoài Gia Lai (đảo vĩ/kinh độ?)",IF(Q257="","Chọn cách xác định",IF(U257&gt;20000,"Dời hơn 20 km – kiểm tra lại","OK")))),IF(AND(N257&lt;&gt;"Sửa vị trí",OR(O257&lt;&gt;"",P257&lt;&gt;"")),"Có toạ độ mới nhưng kết quả không phải Sửa vị trí","OK")))</f>
        <v/>
      </c>
    </row>
    <row r="258">
      <c r="A258" s="9" t="n">
        <v>254</v>
      </c>
      <c r="B258" s="9" t="inlineStr">
        <is>
          <t>9d8ff281-768e-a5b9-329b-a2857ee02d10</t>
        </is>
      </c>
      <c r="C258" s="9" t="inlineStr">
        <is>
          <t>Trung bình</t>
        </is>
      </c>
      <c r="D258" s="10" t="inlineStr">
        <is>
          <t>Cây xăng (Xã Đề Gi)</t>
        </is>
      </c>
      <c r="E258" s="9" t="inlineStr">
        <is>
          <t>Cây xăng</t>
        </is>
      </c>
      <c r="F258" s="9" t="inlineStr">
        <is>
          <t>OpenStreetMap</t>
        </is>
      </c>
      <c r="G258" s="10" t="inlineStr">
        <is>
          <t>Xã Đề Gi, Gia Lai</t>
        </is>
      </c>
      <c r="H258" s="9" t="inlineStr">
        <is>
          <t>Xã Đề Gi</t>
        </is>
      </c>
      <c r="I258" s="11" t="n">
        <v>14.09706</v>
      </c>
      <c r="J258" s="11" t="n">
        <v>109.193139</v>
      </c>
      <c r="K258" s="9" t="inlineStr">
        <is>
          <t>Đã đối chiếu</t>
        </is>
      </c>
      <c r="L258" s="10" t="n"/>
      <c r="M258" s="12" t="inlineStr">
        <is>
          <t>Bản đồ</t>
        </is>
      </c>
      <c r="N258" s="13" t="n"/>
      <c r="O258" s="14" t="n"/>
      <c r="P258" s="14" t="n"/>
      <c r="Q258" s="13" t="n"/>
      <c r="R258" s="15" t="n"/>
      <c r="S258" s="13" t="n"/>
      <c r="T258" s="13" t="n"/>
      <c r="U258" s="16">
        <f>IF(AND(ISNUMBER(O258),ISNUMBER(P258)),ROUND(SQRT(((P258-J258)*111320*COS(RADIANS(I258)))^2+((O258-I258)*110540)^2),0),"")</f>
        <v/>
      </c>
      <c r="V258" s="17">
        <f>IF(N258="","",IF(N258="Sửa vị trí",IF(OR(O258="",P258=""),"Thiếu vĩ độ / kinh độ mới",IF(OR(O258&lt;12.5,O258&gt;15,P258&lt;107,P258&gt;109.6),"Toạ độ ngoài Gia Lai (đảo vĩ/kinh độ?)",IF(Q258="","Chọn cách xác định",IF(U258&gt;20000,"Dời hơn 20 km – kiểm tra lại","OK")))),IF(AND(N258&lt;&gt;"Sửa vị trí",OR(O258&lt;&gt;"",P258&lt;&gt;"")),"Có toạ độ mới nhưng kết quả không phải Sửa vị trí","OK")))</f>
        <v/>
      </c>
    </row>
    <row r="259">
      <c r="A259" s="9" t="n">
        <v>255</v>
      </c>
      <c r="B259" s="9" t="inlineStr">
        <is>
          <t>93b5c3eb-8797-0439-2063-e1b558c709b2</t>
        </is>
      </c>
      <c r="C259" s="9" t="inlineStr">
        <is>
          <t>Trung bình</t>
        </is>
      </c>
      <c r="D259" s="10" t="inlineStr">
        <is>
          <t>Petrolimex</t>
        </is>
      </c>
      <c r="E259" s="9" t="inlineStr">
        <is>
          <t>Cây xăng</t>
        </is>
      </c>
      <c r="F259" s="9" t="inlineStr">
        <is>
          <t>OpenStreetMap</t>
        </is>
      </c>
      <c r="G259" s="10" t="inlineStr">
        <is>
          <t>Xã Đề Gi, Gia Lai</t>
        </is>
      </c>
      <c r="H259" s="9" t="inlineStr">
        <is>
          <t>Xã Đề Gi</t>
        </is>
      </c>
      <c r="I259" s="11" t="n">
        <v>14.129296</v>
      </c>
      <c r="J259" s="11" t="n">
        <v>109.169857</v>
      </c>
      <c r="K259" s="9" t="inlineStr">
        <is>
          <t>Đã đối chiếu</t>
        </is>
      </c>
      <c r="L259" s="10" t="n"/>
      <c r="M259" s="12" t="inlineStr">
        <is>
          <t>Bản đồ</t>
        </is>
      </c>
      <c r="N259" s="13" t="n"/>
      <c r="O259" s="14" t="n"/>
      <c r="P259" s="14" t="n"/>
      <c r="Q259" s="13" t="n"/>
      <c r="R259" s="15" t="n"/>
      <c r="S259" s="13" t="n"/>
      <c r="T259" s="13" t="n"/>
      <c r="U259" s="16">
        <f>IF(AND(ISNUMBER(O259),ISNUMBER(P259)),ROUND(SQRT(((P259-J259)*111320*COS(RADIANS(I259)))^2+((O259-I259)*110540)^2),0),"")</f>
        <v/>
      </c>
      <c r="V259" s="17">
        <f>IF(N259="","",IF(N259="Sửa vị trí",IF(OR(O259="",P259=""),"Thiếu vĩ độ / kinh độ mới",IF(OR(O259&lt;12.5,O259&gt;15,P259&lt;107,P259&gt;109.6),"Toạ độ ngoài Gia Lai (đảo vĩ/kinh độ?)",IF(Q259="","Chọn cách xác định",IF(U259&gt;20000,"Dời hơn 20 km – kiểm tra lại","OK")))),IF(AND(N259&lt;&gt;"Sửa vị trí",OR(O259&lt;&gt;"",P259&lt;&gt;"")),"Có toạ độ mới nhưng kết quả không phải Sửa vị trí","OK")))</f>
        <v/>
      </c>
    </row>
    <row r="260">
      <c r="A260" s="9" t="n">
        <v>256</v>
      </c>
      <c r="B260" s="9" t="inlineStr">
        <is>
          <t>d90896f8-7807-c454-613e-86ca288dfb43</t>
        </is>
      </c>
      <c r="C260" s="9" t="inlineStr">
        <is>
          <t>Trung bình</t>
        </is>
      </c>
      <c r="D260" s="10" t="inlineStr">
        <is>
          <t>Cửa hàng Xăng dầu</t>
        </is>
      </c>
      <c r="E260" s="9" t="inlineStr">
        <is>
          <t>Cây xăng</t>
        </is>
      </c>
      <c r="F260" s="9" t="inlineStr">
        <is>
          <t>OpenStreetMap</t>
        </is>
      </c>
      <c r="G260" s="10" t="inlineStr">
        <is>
          <t>Xã Đức Cơ, Gia Lai</t>
        </is>
      </c>
      <c r="H260" s="9" t="inlineStr">
        <is>
          <t>Xã Đức Cơ</t>
        </is>
      </c>
      <c r="I260" s="11" t="n">
        <v>13.817506</v>
      </c>
      <c r="J260" s="11" t="n">
        <v>107.718482</v>
      </c>
      <c r="K260" s="9" t="inlineStr">
        <is>
          <t>Đã đối chiếu</t>
        </is>
      </c>
      <c r="L260" s="10" t="n"/>
      <c r="M260" s="12" t="inlineStr">
        <is>
          <t>Bản đồ</t>
        </is>
      </c>
      <c r="N260" s="13" t="n"/>
      <c r="O260" s="14" t="n"/>
      <c r="P260" s="14" t="n"/>
      <c r="Q260" s="13" t="n"/>
      <c r="R260" s="15" t="n"/>
      <c r="S260" s="13" t="n"/>
      <c r="T260" s="13" t="n"/>
      <c r="U260" s="16">
        <f>IF(AND(ISNUMBER(O260),ISNUMBER(P260)),ROUND(SQRT(((P260-J260)*111320*COS(RADIANS(I260)))^2+((O260-I260)*110540)^2),0),"")</f>
        <v/>
      </c>
      <c r="V260" s="17">
        <f>IF(N260="","",IF(N260="Sửa vị trí",IF(OR(O260="",P260=""),"Thiếu vĩ độ / kinh độ mới",IF(OR(O260&lt;12.5,O260&gt;15,P260&lt;107,P260&gt;109.6),"Toạ độ ngoài Gia Lai (đảo vĩ/kinh độ?)",IF(Q260="","Chọn cách xác định",IF(U260&gt;20000,"Dời hơn 20 km – kiểm tra lại","OK")))),IF(AND(N260&lt;&gt;"Sửa vị trí",OR(O260&lt;&gt;"",P260&lt;&gt;"")),"Có toạ độ mới nhưng kết quả không phải Sửa vị trí","OK")))</f>
        <v/>
      </c>
    </row>
    <row r="261">
      <c r="A261" s="9" t="n">
        <v>257</v>
      </c>
      <c r="B261" s="9" t="inlineStr">
        <is>
          <t>a55310aa-4201-0dc1-07a3-a28f0ec1a33b</t>
        </is>
      </c>
      <c r="C261" s="9" t="inlineStr">
        <is>
          <t>Trung bình</t>
        </is>
      </c>
      <c r="D261" s="10" t="inlineStr">
        <is>
          <t>Cửa hàng Xăng dầu</t>
        </is>
      </c>
      <c r="E261" s="9" t="inlineStr">
        <is>
          <t>Cây xăng</t>
        </is>
      </c>
      <c r="F261" s="9" t="inlineStr">
        <is>
          <t>OpenStreetMap</t>
        </is>
      </c>
      <c r="G261" s="10" t="inlineStr">
        <is>
          <t>Xã Đức Cơ, Gia Lai</t>
        </is>
      </c>
      <c r="H261" s="9" t="inlineStr">
        <is>
          <t>Xã Đức Cơ</t>
        </is>
      </c>
      <c r="I261" s="11" t="n">
        <v>13.800779</v>
      </c>
      <c r="J261" s="11" t="n">
        <v>107.687452</v>
      </c>
      <c r="K261" s="9" t="inlineStr">
        <is>
          <t>Đã đối chiếu</t>
        </is>
      </c>
      <c r="L261" s="10" t="n"/>
      <c r="M261" s="12" t="inlineStr">
        <is>
          <t>Bản đồ</t>
        </is>
      </c>
      <c r="N261" s="13" t="n"/>
      <c r="O261" s="14" t="n"/>
      <c r="P261" s="14" t="n"/>
      <c r="Q261" s="13" t="n"/>
      <c r="R261" s="15" t="n"/>
      <c r="S261" s="13" t="n"/>
      <c r="T261" s="13" t="n"/>
      <c r="U261" s="16">
        <f>IF(AND(ISNUMBER(O261),ISNUMBER(P261)),ROUND(SQRT(((P261-J261)*111320*COS(RADIANS(I261)))^2+((O261-I261)*110540)^2),0),"")</f>
        <v/>
      </c>
      <c r="V261" s="17">
        <f>IF(N261="","",IF(N261="Sửa vị trí",IF(OR(O261="",P261=""),"Thiếu vĩ độ / kinh độ mới",IF(OR(O261&lt;12.5,O261&gt;15,P261&lt;107,P261&gt;109.6),"Toạ độ ngoài Gia Lai (đảo vĩ/kinh độ?)",IF(Q261="","Chọn cách xác định",IF(U261&gt;20000,"Dời hơn 20 km – kiểm tra lại","OK")))),IF(AND(N261&lt;&gt;"Sửa vị trí",OR(O261&lt;&gt;"",P261&lt;&gt;"")),"Có toạ độ mới nhưng kết quả không phải Sửa vị trí","OK")))</f>
        <v/>
      </c>
    </row>
    <row r="262">
      <c r="A262" s="9" t="n">
        <v>258</v>
      </c>
      <c r="B262" s="9" t="inlineStr">
        <is>
          <t>7b41f898-320f-ac9d-5a8b-835e013fd7bf</t>
        </is>
      </c>
      <c r="C262" s="9" t="inlineStr">
        <is>
          <t>Trung bình</t>
        </is>
      </c>
      <c r="D262" s="10" t="inlineStr">
        <is>
          <t>Cửa hàng Xăng dầu</t>
        </is>
      </c>
      <c r="E262" s="9" t="inlineStr">
        <is>
          <t>Cây xăng</t>
        </is>
      </c>
      <c r="F262" s="9" t="inlineStr">
        <is>
          <t>OpenStreetMap</t>
        </is>
      </c>
      <c r="G262" s="10" t="inlineStr">
        <is>
          <t>Xã Đức Cơ, Gia Lai</t>
        </is>
      </c>
      <c r="H262" s="9" t="inlineStr">
        <is>
          <t>Xã Đức Cơ</t>
        </is>
      </c>
      <c r="I262" s="11" t="n">
        <v>13.813859</v>
      </c>
      <c r="J262" s="11" t="n">
        <v>107.712302</v>
      </c>
      <c r="K262" s="9" t="inlineStr">
        <is>
          <t>Đã đối chiếu</t>
        </is>
      </c>
      <c r="L262" s="10" t="n"/>
      <c r="M262" s="12" t="inlineStr">
        <is>
          <t>Bản đồ</t>
        </is>
      </c>
      <c r="N262" s="13" t="n"/>
      <c r="O262" s="14" t="n"/>
      <c r="P262" s="14" t="n"/>
      <c r="Q262" s="13" t="n"/>
      <c r="R262" s="15" t="n"/>
      <c r="S262" s="13" t="n"/>
      <c r="T262" s="13" t="n"/>
      <c r="U262" s="16">
        <f>IF(AND(ISNUMBER(O262),ISNUMBER(P262)),ROUND(SQRT(((P262-J262)*111320*COS(RADIANS(I262)))^2+((O262-I262)*110540)^2),0),"")</f>
        <v/>
      </c>
      <c r="V262" s="17">
        <f>IF(N262="","",IF(N262="Sửa vị trí",IF(OR(O262="",P262=""),"Thiếu vĩ độ / kinh độ mới",IF(OR(O262&lt;12.5,O262&gt;15,P262&lt;107,P262&gt;109.6),"Toạ độ ngoài Gia Lai (đảo vĩ/kinh độ?)",IF(Q262="","Chọn cách xác định",IF(U262&gt;20000,"Dời hơn 20 km – kiểm tra lại","OK")))),IF(AND(N262&lt;&gt;"Sửa vị trí",OR(O262&lt;&gt;"",P262&lt;&gt;"")),"Có toạ độ mới nhưng kết quả không phải Sửa vị trí","OK")))</f>
        <v/>
      </c>
    </row>
    <row r="263">
      <c r="A263" s="9" t="n">
        <v>259</v>
      </c>
      <c r="B263" s="9" t="inlineStr">
        <is>
          <t>8871277f-f2a4-dc62-1e87-dc6829b43345</t>
        </is>
      </c>
      <c r="C263" s="9" t="inlineStr">
        <is>
          <t>Trung bình</t>
        </is>
      </c>
      <c r="D263" s="10" t="inlineStr">
        <is>
          <t>Station Essence</t>
        </is>
      </c>
      <c r="E263" s="9" t="inlineStr">
        <is>
          <t>Cây xăng</t>
        </is>
      </c>
      <c r="F263" s="9" t="inlineStr">
        <is>
          <t>OpenStreetMap</t>
        </is>
      </c>
      <c r="G263" s="10" t="inlineStr">
        <is>
          <t>Xã Đức Cơ, Gia Lai</t>
        </is>
      </c>
      <c r="H263" s="9" t="inlineStr">
        <is>
          <t>Xã Đức Cơ</t>
        </is>
      </c>
      <c r="I263" s="11" t="n">
        <v>13.812426</v>
      </c>
      <c r="J263" s="11" t="n">
        <v>107.708464</v>
      </c>
      <c r="K263" s="9" t="inlineStr">
        <is>
          <t>Đã đối chiếu</t>
        </is>
      </c>
      <c r="L263" s="10" t="n"/>
      <c r="M263" s="12" t="inlineStr">
        <is>
          <t>Bản đồ</t>
        </is>
      </c>
      <c r="N263" s="13" t="n"/>
      <c r="O263" s="14" t="n"/>
      <c r="P263" s="14" t="n"/>
      <c r="Q263" s="13" t="n"/>
      <c r="R263" s="15" t="n"/>
      <c r="S263" s="13" t="n"/>
      <c r="T263" s="13" t="n"/>
      <c r="U263" s="16">
        <f>IF(AND(ISNUMBER(O263),ISNUMBER(P263)),ROUND(SQRT(((P263-J263)*111320*COS(RADIANS(I263)))^2+((O263-I263)*110540)^2),0),"")</f>
        <v/>
      </c>
      <c r="V263" s="17">
        <f>IF(N263="","",IF(N263="Sửa vị trí",IF(OR(O263="",P263=""),"Thiếu vĩ độ / kinh độ mới",IF(OR(O263&lt;12.5,O263&gt;15,P263&lt;107,P263&gt;109.6),"Toạ độ ngoài Gia Lai (đảo vĩ/kinh độ?)",IF(Q263="","Chọn cách xác định",IF(U263&gt;20000,"Dời hơn 20 km – kiểm tra lại","OK")))),IF(AND(N263&lt;&gt;"Sửa vị trí",OR(O263&lt;&gt;"",P263&lt;&gt;"")),"Có toạ độ mới nhưng kết quả không phải Sửa vị trí","OK")))</f>
        <v/>
      </c>
    </row>
    <row r="264">
      <c r="A264" s="9" t="n">
        <v>260</v>
      </c>
      <c r="B264" s="9" t="inlineStr">
        <is>
          <t>8d1ff7de-5811-434d-ab2b-526e24a08f32</t>
        </is>
      </c>
      <c r="C264" s="9" t="inlineStr">
        <is>
          <t>Trung bình</t>
        </is>
      </c>
      <c r="D264" s="10" t="inlineStr">
        <is>
          <t>Biển Hồ Pleiku</t>
        </is>
      </c>
      <c r="E264" s="9" t="inlineStr">
        <is>
          <t>Danh lam thắng cảnh</t>
        </is>
      </c>
      <c r="F264" s="9" t="inlineStr">
        <is>
          <t>Dữ liệu gialai-travel</t>
        </is>
      </c>
      <c r="G264" s="10" t="inlineStr">
        <is>
          <t>Xã Biển Hồ, TP. Pleiku, Gia Lai (cách trung tâm thành phố ~5km)</t>
        </is>
      </c>
      <c r="H264" s="9" t="inlineStr">
        <is>
          <t>Xã Biển Hồ</t>
        </is>
      </c>
      <c r="I264" s="11" t="n">
        <v>14.046859</v>
      </c>
      <c r="J264" s="11" t="n">
        <v>107.996007</v>
      </c>
      <c r="K264" s="9" t="inlineStr">
        <is>
          <t>Đã hiệu chỉnh tự động</t>
        </is>
      </c>
      <c r="L264" s="10" t="inlineStr">
        <is>
          <t>Đã hiệu chỉnh theo OpenStreetMap (node/13105153109), dời 4766 m</t>
        </is>
      </c>
      <c r="M264" s="12" t="inlineStr">
        <is>
          <t>Bản đồ</t>
        </is>
      </c>
      <c r="N264" s="13" t="n"/>
      <c r="O264" s="14" t="n"/>
      <c r="P264" s="14" t="n"/>
      <c r="Q264" s="13" t="n"/>
      <c r="R264" s="15" t="n"/>
      <c r="S264" s="13" t="n"/>
      <c r="T264" s="13" t="n"/>
      <c r="U264" s="16">
        <f>IF(AND(ISNUMBER(O264),ISNUMBER(P264)),ROUND(SQRT(((P264-J264)*111320*COS(RADIANS(I264)))^2+((O264-I264)*110540)^2),0),"")</f>
        <v/>
      </c>
      <c r="V264" s="17">
        <f>IF(N264="","",IF(N264="Sửa vị trí",IF(OR(O264="",P264=""),"Thiếu vĩ độ / kinh độ mới",IF(OR(O264&lt;12.5,O264&gt;15,P264&lt;107,P264&gt;109.6),"Toạ độ ngoài Gia Lai (đảo vĩ/kinh độ?)",IF(Q264="","Chọn cách xác định",IF(U264&gt;20000,"Dời hơn 20 km – kiểm tra lại","OK")))),IF(AND(N264&lt;&gt;"Sửa vị trí",OR(O264&lt;&gt;"",P264&lt;&gt;"")),"Có toạ độ mới nhưng kết quả không phải Sửa vị trí","OK")))</f>
        <v/>
      </c>
    </row>
    <row r="265">
      <c r="A265" s="9" t="n">
        <v>261</v>
      </c>
      <c r="B265" s="9" t="inlineStr">
        <is>
          <t>7ac49226-9446-7eaf-1bf4-a089954efbfb</t>
        </is>
      </c>
      <c r="C265" s="9" t="inlineStr">
        <is>
          <t>Trung bình</t>
        </is>
      </c>
      <c r="D265" s="10" t="inlineStr">
        <is>
          <t>ABC HOTEL</t>
        </is>
      </c>
      <c r="E265" s="9" t="inlineStr">
        <is>
          <t>Khách sạn</t>
        </is>
      </c>
      <c r="F265" s="9" t="inlineStr">
        <is>
          <t>OpenStreetMap</t>
        </is>
      </c>
      <c r="G265" s="10" t="inlineStr">
        <is>
          <t>Phường Diên Hồng, Gia Lai</t>
        </is>
      </c>
      <c r="H265" s="9" t="inlineStr">
        <is>
          <t>Phường Diên Hồng</t>
        </is>
      </c>
      <c r="I265" s="11" t="n">
        <v>13.969184</v>
      </c>
      <c r="J265" s="11" t="n">
        <v>107.988988</v>
      </c>
      <c r="K265" s="9" t="inlineStr">
        <is>
          <t>Đã đối chiếu</t>
        </is>
      </c>
      <c r="L265" s="10" t="n"/>
      <c r="M265" s="12" t="inlineStr">
        <is>
          <t>Bản đồ</t>
        </is>
      </c>
      <c r="N265" s="13" t="n"/>
      <c r="O265" s="14" t="n"/>
      <c r="P265" s="14" t="n"/>
      <c r="Q265" s="13" t="n"/>
      <c r="R265" s="15" t="n"/>
      <c r="S265" s="13" t="n"/>
      <c r="T265" s="13" t="n"/>
      <c r="U265" s="16">
        <f>IF(AND(ISNUMBER(O265),ISNUMBER(P265)),ROUND(SQRT(((P265-J265)*111320*COS(RADIANS(I265)))^2+((O265-I265)*110540)^2),0),"")</f>
        <v/>
      </c>
      <c r="V265" s="17">
        <f>IF(N265="","",IF(N265="Sửa vị trí",IF(OR(O265="",P265=""),"Thiếu vĩ độ / kinh độ mới",IF(OR(O265&lt;12.5,O265&gt;15,P265&lt;107,P265&gt;109.6),"Toạ độ ngoài Gia Lai (đảo vĩ/kinh độ?)",IF(Q265="","Chọn cách xác định",IF(U265&gt;20000,"Dời hơn 20 km – kiểm tra lại","OK")))),IF(AND(N265&lt;&gt;"Sửa vị trí",OR(O265&lt;&gt;"",P265&lt;&gt;"")),"Có toạ độ mới nhưng kết quả không phải Sửa vị trí","OK")))</f>
        <v/>
      </c>
    </row>
    <row r="266">
      <c r="A266" s="9" t="n">
        <v>262</v>
      </c>
      <c r="B266" s="9" t="inlineStr">
        <is>
          <t>bc7eff7a-bdf0-ee14-30ed-34d4a7d55a9d</t>
        </is>
      </c>
      <c r="C266" s="9" t="inlineStr">
        <is>
          <t>Trung bình</t>
        </is>
      </c>
      <c r="D266" s="10" t="inlineStr">
        <is>
          <t>Diora Hotel &amp; Apartment</t>
        </is>
      </c>
      <c r="E266" s="9" t="inlineStr">
        <is>
          <t>Khách sạn</t>
        </is>
      </c>
      <c r="F266" s="9" t="inlineStr">
        <is>
          <t>OpenStreetMap</t>
        </is>
      </c>
      <c r="G266" s="10" t="inlineStr">
        <is>
          <t>Phường Diên Hồng, Gia Lai</t>
        </is>
      </c>
      <c r="H266" s="9" t="inlineStr">
        <is>
          <t>Phường Diên Hồng</t>
        </is>
      </c>
      <c r="I266" s="11" t="n">
        <v>13.972615</v>
      </c>
      <c r="J266" s="11" t="n">
        <v>107.988967</v>
      </c>
      <c r="K266" s="9" t="inlineStr">
        <is>
          <t>Đã đối chiếu</t>
        </is>
      </c>
      <c r="L266" s="10" t="n"/>
      <c r="M266" s="12" t="inlineStr">
        <is>
          <t>Bản đồ</t>
        </is>
      </c>
      <c r="N266" s="13" t="n"/>
      <c r="O266" s="14" t="n"/>
      <c r="P266" s="14" t="n"/>
      <c r="Q266" s="13" t="n"/>
      <c r="R266" s="15" t="n"/>
      <c r="S266" s="13" t="n"/>
      <c r="T266" s="13" t="n"/>
      <c r="U266" s="16">
        <f>IF(AND(ISNUMBER(O266),ISNUMBER(P266)),ROUND(SQRT(((P266-J266)*111320*COS(RADIANS(I266)))^2+((O266-I266)*110540)^2),0),"")</f>
        <v/>
      </c>
      <c r="V266" s="17">
        <f>IF(N266="","",IF(N266="Sửa vị trí",IF(OR(O266="",P266=""),"Thiếu vĩ độ / kinh độ mới",IF(OR(O266&lt;12.5,O266&gt;15,P266&lt;107,P266&gt;109.6),"Toạ độ ngoài Gia Lai (đảo vĩ/kinh độ?)",IF(Q266="","Chọn cách xác định",IF(U266&gt;20000,"Dời hơn 20 km – kiểm tra lại","OK")))),IF(AND(N266&lt;&gt;"Sửa vị trí",OR(O266&lt;&gt;"",P266&lt;&gt;"")),"Có toạ độ mới nhưng kết quả không phải Sửa vị trí","OK")))</f>
        <v/>
      </c>
    </row>
    <row r="267">
      <c r="A267" s="9" t="n">
        <v>263</v>
      </c>
      <c r="B267" s="9" t="inlineStr">
        <is>
          <t>bf65e84a-1d13-f560-1026-76d4dd776701</t>
        </is>
      </c>
      <c r="C267" s="9" t="inlineStr">
        <is>
          <t>Trung bình</t>
        </is>
      </c>
      <c r="D267" s="10" t="inlineStr">
        <is>
          <t>Duc Long Hotel 1</t>
        </is>
      </c>
      <c r="E267" s="9" t="inlineStr">
        <is>
          <t>Khách sạn</t>
        </is>
      </c>
      <c r="F267" s="9" t="inlineStr">
        <is>
          <t>OpenStreetMap</t>
        </is>
      </c>
      <c r="G267" s="10" t="inlineStr">
        <is>
          <t>Phường Diên Hồng, Gia Lai</t>
        </is>
      </c>
      <c r="H267" s="9" t="inlineStr">
        <is>
          <t>Phường Diên Hồng</t>
        </is>
      </c>
      <c r="I267" s="11" t="n">
        <v>13.98012</v>
      </c>
      <c r="J267" s="11" t="n">
        <v>107.996299</v>
      </c>
      <c r="K267" s="9" t="inlineStr">
        <is>
          <t>Đã đối chiếu</t>
        </is>
      </c>
      <c r="L267" s="10" t="n"/>
      <c r="M267" s="12" t="inlineStr">
        <is>
          <t>Bản đồ</t>
        </is>
      </c>
      <c r="N267" s="13" t="n"/>
      <c r="O267" s="14" t="n"/>
      <c r="P267" s="14" t="n"/>
      <c r="Q267" s="13" t="n"/>
      <c r="R267" s="15" t="n"/>
      <c r="S267" s="13" t="n"/>
      <c r="T267" s="13" t="n"/>
      <c r="U267" s="16">
        <f>IF(AND(ISNUMBER(O267),ISNUMBER(P267)),ROUND(SQRT(((P267-J267)*111320*COS(RADIANS(I267)))^2+((O267-I267)*110540)^2),0),"")</f>
        <v/>
      </c>
      <c r="V267" s="17">
        <f>IF(N267="","",IF(N267="Sửa vị trí",IF(OR(O267="",P267=""),"Thiếu vĩ độ / kinh độ mới",IF(OR(O267&lt;12.5,O267&gt;15,P267&lt;107,P267&gt;109.6),"Toạ độ ngoài Gia Lai (đảo vĩ/kinh độ?)",IF(Q267="","Chọn cách xác định",IF(U267&gt;20000,"Dời hơn 20 km – kiểm tra lại","OK")))),IF(AND(N267&lt;&gt;"Sửa vị trí",OR(O267&lt;&gt;"",P267&lt;&gt;"")),"Có toạ độ mới nhưng kết quả không phải Sửa vị trí","OK")))</f>
        <v/>
      </c>
    </row>
    <row r="268">
      <c r="A268" s="9" t="n">
        <v>264</v>
      </c>
      <c r="B268" s="9" t="inlineStr">
        <is>
          <t>cf8a57a7-1403-b029-42b9-22a1a71fc658</t>
        </is>
      </c>
      <c r="C268" s="9" t="inlineStr">
        <is>
          <t>Trung bình</t>
        </is>
      </c>
      <c r="D268" s="10" t="inlineStr">
        <is>
          <t>Gia Bảo</t>
        </is>
      </c>
      <c r="E268" s="9" t="inlineStr">
        <is>
          <t>Khách sạn</t>
        </is>
      </c>
      <c r="F268" s="9" t="inlineStr">
        <is>
          <t>OpenStreetMap</t>
        </is>
      </c>
      <c r="G268" s="10" t="inlineStr">
        <is>
          <t>Phường Diên Hồng, Gia Lai</t>
        </is>
      </c>
      <c r="H268" s="9" t="inlineStr">
        <is>
          <t>Phường Diên Hồng</t>
        </is>
      </c>
      <c r="I268" s="11" t="n">
        <v>13.983239</v>
      </c>
      <c r="J268" s="11" t="n">
        <v>107.991046</v>
      </c>
      <c r="K268" s="9" t="inlineStr">
        <is>
          <t>Đã đối chiếu</t>
        </is>
      </c>
      <c r="L268" s="10" t="n"/>
      <c r="M268" s="12" t="inlineStr">
        <is>
          <t>Bản đồ</t>
        </is>
      </c>
      <c r="N268" s="13" t="n"/>
      <c r="O268" s="14" t="n"/>
      <c r="P268" s="14" t="n"/>
      <c r="Q268" s="13" t="n"/>
      <c r="R268" s="15" t="n"/>
      <c r="S268" s="13" t="n"/>
      <c r="T268" s="13" t="n"/>
      <c r="U268" s="16">
        <f>IF(AND(ISNUMBER(O268),ISNUMBER(P268)),ROUND(SQRT(((P268-J268)*111320*COS(RADIANS(I268)))^2+((O268-I268)*110540)^2),0),"")</f>
        <v/>
      </c>
      <c r="V268" s="17">
        <f>IF(N268="","",IF(N268="Sửa vị trí",IF(OR(O268="",P268=""),"Thiếu vĩ độ / kinh độ mới",IF(OR(O268&lt;12.5,O268&gt;15,P268&lt;107,P268&gt;109.6),"Toạ độ ngoài Gia Lai (đảo vĩ/kinh độ?)",IF(Q268="","Chọn cách xác định",IF(U268&gt;20000,"Dời hơn 20 km – kiểm tra lại","OK")))),IF(AND(N268&lt;&gt;"Sửa vị trí",OR(O268&lt;&gt;"",P268&lt;&gt;"")),"Có toạ độ mới nhưng kết quả không phải Sửa vị trí","OK")))</f>
        <v/>
      </c>
    </row>
    <row r="269">
      <c r="A269" s="9" t="n">
        <v>265</v>
      </c>
      <c r="B269" s="9" t="inlineStr">
        <is>
          <t>b29dd809-a06d-eaaf-707d-c40e66d1f069</t>
        </is>
      </c>
      <c r="C269" s="9" t="inlineStr">
        <is>
          <t>Trung bình</t>
        </is>
      </c>
      <c r="D269" s="10" t="inlineStr">
        <is>
          <t>KS Thanh Bình</t>
        </is>
      </c>
      <c r="E269" s="9" t="inlineStr">
        <is>
          <t>Khách sạn</t>
        </is>
      </c>
      <c r="F269" s="9" t="inlineStr">
        <is>
          <t>OpenStreetMap</t>
        </is>
      </c>
      <c r="G269" s="10" t="inlineStr">
        <is>
          <t>Phường Diên Hồng, Gia Lai</t>
        </is>
      </c>
      <c r="H269" s="9" t="inlineStr">
        <is>
          <t>Phường Diên Hồng</t>
        </is>
      </c>
      <c r="I269" s="11" t="n">
        <v>13.978302</v>
      </c>
      <c r="J269" s="11" t="n">
        <v>107.986994</v>
      </c>
      <c r="K269" s="9" t="inlineStr">
        <is>
          <t>Đã đối chiếu</t>
        </is>
      </c>
      <c r="L269" s="10" t="n"/>
      <c r="M269" s="12" t="inlineStr">
        <is>
          <t>Bản đồ</t>
        </is>
      </c>
      <c r="N269" s="13" t="n"/>
      <c r="O269" s="14" t="n"/>
      <c r="P269" s="14" t="n"/>
      <c r="Q269" s="13" t="n"/>
      <c r="R269" s="15" t="n"/>
      <c r="S269" s="13" t="n"/>
      <c r="T269" s="13" t="n"/>
      <c r="U269" s="16">
        <f>IF(AND(ISNUMBER(O269),ISNUMBER(P269)),ROUND(SQRT(((P269-J269)*111320*COS(RADIANS(I269)))^2+((O269-I269)*110540)^2),0),"")</f>
        <v/>
      </c>
      <c r="V269" s="17">
        <f>IF(N269="","",IF(N269="Sửa vị trí",IF(OR(O269="",P269=""),"Thiếu vĩ độ / kinh độ mới",IF(OR(O269&lt;12.5,O269&gt;15,P269&lt;107,P269&gt;109.6),"Toạ độ ngoài Gia Lai (đảo vĩ/kinh độ?)",IF(Q269="","Chọn cách xác định",IF(U269&gt;20000,"Dời hơn 20 km – kiểm tra lại","OK")))),IF(AND(N269&lt;&gt;"Sửa vị trí",OR(O269&lt;&gt;"",P269&lt;&gt;"")),"Có toạ độ mới nhưng kết quả không phải Sửa vị trí","OK")))</f>
        <v/>
      </c>
    </row>
    <row r="270">
      <c r="A270" s="9" t="n">
        <v>266</v>
      </c>
      <c r="B270" s="9" t="inlineStr">
        <is>
          <t>5a5ae272-5fe9-c47c-fa20-a23bdcd59098</t>
        </is>
      </c>
      <c r="C270" s="9" t="inlineStr">
        <is>
          <t>Trung bình</t>
        </is>
      </c>
      <c r="D270" s="10" t="inlineStr">
        <is>
          <t>Khách sạn Relax</t>
        </is>
      </c>
      <c r="E270" s="9" t="inlineStr">
        <is>
          <t>Khách sạn</t>
        </is>
      </c>
      <c r="F270" s="9" t="inlineStr">
        <is>
          <t>OpenStreetMap</t>
        </is>
      </c>
      <c r="G270" s="10" t="inlineStr">
        <is>
          <t>Phường Diên Hồng, Gia Lai</t>
        </is>
      </c>
      <c r="H270" s="9" t="inlineStr">
        <is>
          <t>Phường Diên Hồng</t>
        </is>
      </c>
      <c r="I270" s="11" t="n">
        <v>13.980267</v>
      </c>
      <c r="J270" s="11" t="n">
        <v>107.989479</v>
      </c>
      <c r="K270" s="9" t="inlineStr">
        <is>
          <t>Đã đối chiếu</t>
        </is>
      </c>
      <c r="L270" s="10" t="n"/>
      <c r="M270" s="12" t="inlineStr">
        <is>
          <t>Bản đồ</t>
        </is>
      </c>
      <c r="N270" s="13" t="n"/>
      <c r="O270" s="14" t="n"/>
      <c r="P270" s="14" t="n"/>
      <c r="Q270" s="13" t="n"/>
      <c r="R270" s="15" t="n"/>
      <c r="S270" s="13" t="n"/>
      <c r="T270" s="13" t="n"/>
      <c r="U270" s="16">
        <f>IF(AND(ISNUMBER(O270),ISNUMBER(P270)),ROUND(SQRT(((P270-J270)*111320*COS(RADIANS(I270)))^2+((O270-I270)*110540)^2),0),"")</f>
        <v/>
      </c>
      <c r="V270" s="17">
        <f>IF(N270="","",IF(N270="Sửa vị trí",IF(OR(O270="",P270=""),"Thiếu vĩ độ / kinh độ mới",IF(OR(O270&lt;12.5,O270&gt;15,P270&lt;107,P270&gt;109.6),"Toạ độ ngoài Gia Lai (đảo vĩ/kinh độ?)",IF(Q270="","Chọn cách xác định",IF(U270&gt;20000,"Dời hơn 20 km – kiểm tra lại","OK")))),IF(AND(N270&lt;&gt;"Sửa vị trí",OR(O270&lt;&gt;"",P270&lt;&gt;"")),"Có toạ độ mới nhưng kết quả không phải Sửa vị trí","OK")))</f>
        <v/>
      </c>
    </row>
    <row r="271">
      <c r="A271" s="9" t="n">
        <v>267</v>
      </c>
      <c r="B271" s="9" t="inlineStr">
        <is>
          <t>506a9ebd-920d-b377-03fe-b99505438399</t>
        </is>
      </c>
      <c r="C271" s="9" t="inlineStr">
        <is>
          <t>Trung bình</t>
        </is>
      </c>
      <c r="D271" s="10" t="inlineStr">
        <is>
          <t>Nhà khách CA tỉnh Gia Lai</t>
        </is>
      </c>
      <c r="E271" s="9" t="inlineStr">
        <is>
          <t>Khách sạn</t>
        </is>
      </c>
      <c r="F271" s="9" t="inlineStr">
        <is>
          <t>OpenStreetMap</t>
        </is>
      </c>
      <c r="G271" s="10" t="inlineStr">
        <is>
          <t>Phường Diên Hồng, Gia Lai</t>
        </is>
      </c>
      <c r="H271" s="9" t="inlineStr">
        <is>
          <t>Phường Diên Hồng</t>
        </is>
      </c>
      <c r="I271" s="11" t="n">
        <v>13.976554</v>
      </c>
      <c r="J271" s="11" t="n">
        <v>108.000868</v>
      </c>
      <c r="K271" s="9" t="inlineStr">
        <is>
          <t>Đã đối chiếu</t>
        </is>
      </c>
      <c r="L271" s="10" t="n"/>
      <c r="M271" s="12" t="inlineStr">
        <is>
          <t>Bản đồ</t>
        </is>
      </c>
      <c r="N271" s="13" t="n"/>
      <c r="O271" s="14" t="n"/>
      <c r="P271" s="14" t="n"/>
      <c r="Q271" s="13" t="n"/>
      <c r="R271" s="15" t="n"/>
      <c r="S271" s="13" t="n"/>
      <c r="T271" s="13" t="n"/>
      <c r="U271" s="16">
        <f>IF(AND(ISNUMBER(O271),ISNUMBER(P271)),ROUND(SQRT(((P271-J271)*111320*COS(RADIANS(I271)))^2+((O271-I271)*110540)^2),0),"")</f>
        <v/>
      </c>
      <c r="V271" s="17">
        <f>IF(N271="","",IF(N271="Sửa vị trí",IF(OR(O271="",P271=""),"Thiếu vĩ độ / kinh độ mới",IF(OR(O271&lt;12.5,O271&gt;15,P271&lt;107,P271&gt;109.6),"Toạ độ ngoài Gia Lai (đảo vĩ/kinh độ?)",IF(Q271="","Chọn cách xác định",IF(U271&gt;20000,"Dời hơn 20 km – kiểm tra lại","OK")))),IF(AND(N271&lt;&gt;"Sửa vị trí",OR(O271&lt;&gt;"",P271&lt;&gt;"")),"Có toạ độ mới nhưng kết quả không phải Sửa vị trí","OK")))</f>
        <v/>
      </c>
    </row>
    <row r="272">
      <c r="A272" s="9" t="n">
        <v>268</v>
      </c>
      <c r="B272" s="9" t="inlineStr">
        <is>
          <t>afd9ace6-73cd-b861-d589-e9b224a774ba</t>
        </is>
      </c>
      <c r="C272" s="9" t="inlineStr">
        <is>
          <t>Trung bình</t>
        </is>
      </c>
      <c r="D272" s="10" t="inlineStr">
        <is>
          <t>Pleiku Highlands Boutique Hotel</t>
        </is>
      </c>
      <c r="E272" s="9" t="inlineStr">
        <is>
          <t>Khách sạn</t>
        </is>
      </c>
      <c r="F272" s="9" t="inlineStr">
        <is>
          <t>OpenStreetMap</t>
        </is>
      </c>
      <c r="G272" s="10" t="inlineStr">
        <is>
          <t>Phường Diên Hồng, Gia Lai</t>
        </is>
      </c>
      <c r="H272" s="9" t="inlineStr">
        <is>
          <t>Phường Diên Hồng</t>
        </is>
      </c>
      <c r="I272" s="11" t="n">
        <v>13.970364</v>
      </c>
      <c r="J272" s="11" t="n">
        <v>107.999584</v>
      </c>
      <c r="K272" s="9" t="inlineStr">
        <is>
          <t>Đã đối chiếu</t>
        </is>
      </c>
      <c r="L272" s="10" t="n"/>
      <c r="M272" s="12" t="inlineStr">
        <is>
          <t>Bản đồ</t>
        </is>
      </c>
      <c r="N272" s="13" t="n"/>
      <c r="O272" s="14" t="n"/>
      <c r="P272" s="14" t="n"/>
      <c r="Q272" s="13" t="n"/>
      <c r="R272" s="15" t="n"/>
      <c r="S272" s="13" t="n"/>
      <c r="T272" s="13" t="n"/>
      <c r="U272" s="16">
        <f>IF(AND(ISNUMBER(O272),ISNUMBER(P272)),ROUND(SQRT(((P272-J272)*111320*COS(RADIANS(I272)))^2+((O272-I272)*110540)^2),0),"")</f>
        <v/>
      </c>
      <c r="V272" s="17">
        <f>IF(N272="","",IF(N272="Sửa vị trí",IF(OR(O272="",P272=""),"Thiếu vĩ độ / kinh độ mới",IF(OR(O272&lt;12.5,O272&gt;15,P272&lt;107,P272&gt;109.6),"Toạ độ ngoài Gia Lai (đảo vĩ/kinh độ?)",IF(Q272="","Chọn cách xác định",IF(U272&gt;20000,"Dời hơn 20 km – kiểm tra lại","OK")))),IF(AND(N272&lt;&gt;"Sửa vị trí",OR(O272&lt;&gt;"",P272&lt;&gt;"")),"Có toạ độ mới nhưng kết quả không phải Sửa vị trí","OK")))</f>
        <v/>
      </c>
    </row>
    <row r="273">
      <c r="A273" s="9" t="n">
        <v>269</v>
      </c>
      <c r="B273" s="9" t="inlineStr">
        <is>
          <t>6c5840c4-1de3-a30a-494d-8530bd929e56</t>
        </is>
      </c>
      <c r="C273" s="9" t="inlineStr">
        <is>
          <t>Trung bình</t>
        </is>
      </c>
      <c r="D273" s="10" t="inlineStr">
        <is>
          <t>Tre Xanh Hotel</t>
        </is>
      </c>
      <c r="E273" s="9" t="inlineStr">
        <is>
          <t>Khách sạn</t>
        </is>
      </c>
      <c r="F273" s="9" t="inlineStr">
        <is>
          <t>OpenStreetMap</t>
        </is>
      </c>
      <c r="G273" s="10" t="inlineStr">
        <is>
          <t>9 Hai Bà Trưng, Phường Diên Hồng, Gia Lai</t>
        </is>
      </c>
      <c r="H273" s="9" t="inlineStr">
        <is>
          <t>Phường Diên Hồng</t>
        </is>
      </c>
      <c r="I273" s="11" t="n">
        <v>13.979965</v>
      </c>
      <c r="J273" s="11" t="n">
        <v>107.998626</v>
      </c>
      <c r="K273" s="9" t="inlineStr">
        <is>
          <t>Đã đối chiếu</t>
        </is>
      </c>
      <c r="L273" s="10" t="n"/>
      <c r="M273" s="12" t="inlineStr">
        <is>
          <t>Bản đồ</t>
        </is>
      </c>
      <c r="N273" s="13" t="n"/>
      <c r="O273" s="14" t="n"/>
      <c r="P273" s="14" t="n"/>
      <c r="Q273" s="13" t="n"/>
      <c r="R273" s="15" t="n"/>
      <c r="S273" s="13" t="n"/>
      <c r="T273" s="13" t="n"/>
      <c r="U273" s="16">
        <f>IF(AND(ISNUMBER(O273),ISNUMBER(P273)),ROUND(SQRT(((P273-J273)*111320*COS(RADIANS(I273)))^2+((O273-I273)*110540)^2),0),"")</f>
        <v/>
      </c>
      <c r="V273" s="17">
        <f>IF(N273="","",IF(N273="Sửa vị trí",IF(OR(O273="",P273=""),"Thiếu vĩ độ / kinh độ mới",IF(OR(O273&lt;12.5,O273&gt;15,P273&lt;107,P273&gt;109.6),"Toạ độ ngoài Gia Lai (đảo vĩ/kinh độ?)",IF(Q273="","Chọn cách xác định",IF(U273&gt;20000,"Dời hơn 20 km – kiểm tra lại","OK")))),IF(AND(N273&lt;&gt;"Sửa vị trí",OR(O273&lt;&gt;"",P273&lt;&gt;"")),"Có toạ độ mới nhưng kết quả không phải Sửa vị trí","OK")))</f>
        <v/>
      </c>
    </row>
    <row r="274">
      <c r="A274" s="9" t="n">
        <v>270</v>
      </c>
      <c r="B274" s="9" t="inlineStr">
        <is>
          <t>694141ba-3545-ff24-2b20-42b57bc28313</t>
        </is>
      </c>
      <c r="C274" s="9" t="inlineStr">
        <is>
          <t>Trung bình</t>
        </is>
      </c>
      <c r="D274" s="10" t="inlineStr">
        <is>
          <t>Tre Xanh Hotel</t>
        </is>
      </c>
      <c r="E274" s="9" t="inlineStr">
        <is>
          <t>Khách sạn</t>
        </is>
      </c>
      <c r="F274" s="9" t="inlineStr">
        <is>
          <t>OpenStreetMap</t>
        </is>
      </c>
      <c r="G274" s="10" t="inlineStr">
        <is>
          <t>9 Hai Bà Trưng, Phường Diên Hồng, Gia Lai</t>
        </is>
      </c>
      <c r="H274" s="9" t="inlineStr">
        <is>
          <t>Phường Diên Hồng</t>
        </is>
      </c>
      <c r="I274" s="11" t="n">
        <v>13.97996</v>
      </c>
      <c r="J274" s="11" t="n">
        <v>107.998649</v>
      </c>
      <c r="K274" s="9" t="inlineStr">
        <is>
          <t>Đã đối chiếu</t>
        </is>
      </c>
      <c r="L274" s="10" t="n"/>
      <c r="M274" s="12" t="inlineStr">
        <is>
          <t>Bản đồ</t>
        </is>
      </c>
      <c r="N274" s="13" t="n"/>
      <c r="O274" s="14" t="n"/>
      <c r="P274" s="14" t="n"/>
      <c r="Q274" s="13" t="n"/>
      <c r="R274" s="15" t="n"/>
      <c r="S274" s="13" t="n"/>
      <c r="T274" s="13" t="n"/>
      <c r="U274" s="16">
        <f>IF(AND(ISNUMBER(O274),ISNUMBER(P274)),ROUND(SQRT(((P274-J274)*111320*COS(RADIANS(I274)))^2+((O274-I274)*110540)^2),0),"")</f>
        <v/>
      </c>
      <c r="V274" s="17">
        <f>IF(N274="","",IF(N274="Sửa vị trí",IF(OR(O274="",P274=""),"Thiếu vĩ độ / kinh độ mới",IF(OR(O274&lt;12.5,O274&gt;15,P274&lt;107,P274&gt;109.6),"Toạ độ ngoài Gia Lai (đảo vĩ/kinh độ?)",IF(Q274="","Chọn cách xác định",IF(U274&gt;20000,"Dời hơn 20 km – kiểm tra lại","OK")))),IF(AND(N274&lt;&gt;"Sửa vị trí",OR(O274&lt;&gt;"",P274&lt;&gt;"")),"Có toạ độ mới nhưng kết quả không phải Sửa vị trí","OK")))</f>
        <v/>
      </c>
    </row>
    <row r="275">
      <c r="A275" s="9" t="n">
        <v>271</v>
      </c>
      <c r="B275" s="9" t="inlineStr">
        <is>
          <t>29c87873-ddef-1fb3-3e1c-05f62d5d0eee</t>
        </is>
      </c>
      <c r="C275" s="9" t="inlineStr">
        <is>
          <t>Trung bình</t>
        </is>
      </c>
      <c r="D275" s="10" t="inlineStr">
        <is>
          <t>Hoài Thương Hotel</t>
        </is>
      </c>
      <c r="E275" s="9" t="inlineStr">
        <is>
          <t>Khách sạn</t>
        </is>
      </c>
      <c r="F275" s="9" t="inlineStr">
        <is>
          <t>OpenStreetMap</t>
        </is>
      </c>
      <c r="G275" s="10" t="inlineStr">
        <is>
          <t>Phường Hội Phú, Gia Lai</t>
        </is>
      </c>
      <c r="H275" s="9" t="inlineStr">
        <is>
          <t>Phường Hội Phú</t>
        </is>
      </c>
      <c r="I275" s="11" t="n">
        <v>13.964694</v>
      </c>
      <c r="J275" s="11" t="n">
        <v>108.017303</v>
      </c>
      <c r="K275" s="9" t="inlineStr">
        <is>
          <t>Đã đối chiếu</t>
        </is>
      </c>
      <c r="L275" s="10" t="n"/>
      <c r="M275" s="12" t="inlineStr">
        <is>
          <t>Bản đồ</t>
        </is>
      </c>
      <c r="N275" s="13" t="n"/>
      <c r="O275" s="14" t="n"/>
      <c r="P275" s="14" t="n"/>
      <c r="Q275" s="13" t="n"/>
      <c r="R275" s="15" t="n"/>
      <c r="S275" s="13" t="n"/>
      <c r="T275" s="13" t="n"/>
      <c r="U275" s="16">
        <f>IF(AND(ISNUMBER(O275),ISNUMBER(P275)),ROUND(SQRT(((P275-J275)*111320*COS(RADIANS(I275)))^2+((O275-I275)*110540)^2),0),"")</f>
        <v/>
      </c>
      <c r="V275" s="17">
        <f>IF(N275="","",IF(N275="Sửa vị trí",IF(OR(O275="",P275=""),"Thiếu vĩ độ / kinh độ mới",IF(OR(O275&lt;12.5,O275&gt;15,P275&lt;107,P275&gt;109.6),"Toạ độ ngoài Gia Lai (đảo vĩ/kinh độ?)",IF(Q275="","Chọn cách xác định",IF(U275&gt;20000,"Dời hơn 20 km – kiểm tra lại","OK")))),IF(AND(N275&lt;&gt;"Sửa vị trí",OR(O275&lt;&gt;"",P275&lt;&gt;"")),"Có toạ độ mới nhưng kết quả không phải Sửa vị trí","OK")))</f>
        <v/>
      </c>
    </row>
    <row r="276">
      <c r="A276" s="9" t="n">
        <v>272</v>
      </c>
      <c r="B276" s="9" t="inlineStr">
        <is>
          <t>2e83abe8-662d-41aa-965f-fd5f0027f508</t>
        </is>
      </c>
      <c r="C276" s="9" t="inlineStr">
        <is>
          <t>Trung bình</t>
        </is>
      </c>
      <c r="D276" s="10" t="inlineStr">
        <is>
          <t>Khách Sạn Minh Mạnh</t>
        </is>
      </c>
      <c r="E276" s="9" t="inlineStr">
        <is>
          <t>Khách sạn</t>
        </is>
      </c>
      <c r="F276" s="9" t="inlineStr">
        <is>
          <t>OpenStreetMap</t>
        </is>
      </c>
      <c r="G276" s="10" t="inlineStr">
        <is>
          <t>Phường Hội Phú, Gia Lai</t>
        </is>
      </c>
      <c r="H276" s="9" t="inlineStr">
        <is>
          <t>Phường Hội Phú</t>
        </is>
      </c>
      <c r="I276" s="11" t="n">
        <v>13.963553</v>
      </c>
      <c r="J276" s="11" t="n">
        <v>108.020496</v>
      </c>
      <c r="K276" s="9" t="inlineStr">
        <is>
          <t>Đã đối chiếu</t>
        </is>
      </c>
      <c r="L276" s="10" t="n"/>
      <c r="M276" s="12" t="inlineStr">
        <is>
          <t>Bản đồ</t>
        </is>
      </c>
      <c r="N276" s="13" t="n"/>
      <c r="O276" s="14" t="n"/>
      <c r="P276" s="14" t="n"/>
      <c r="Q276" s="13" t="n"/>
      <c r="R276" s="15" t="n"/>
      <c r="S276" s="13" t="n"/>
      <c r="T276" s="13" t="n"/>
      <c r="U276" s="16">
        <f>IF(AND(ISNUMBER(O276),ISNUMBER(P276)),ROUND(SQRT(((P276-J276)*111320*COS(RADIANS(I276)))^2+((O276-I276)*110540)^2),0),"")</f>
        <v/>
      </c>
      <c r="V276" s="17">
        <f>IF(N276="","",IF(N276="Sửa vị trí",IF(OR(O276="",P276=""),"Thiếu vĩ độ / kinh độ mới",IF(OR(O276&lt;12.5,O276&gt;15,P276&lt;107,P276&gt;109.6),"Toạ độ ngoài Gia Lai (đảo vĩ/kinh độ?)",IF(Q276="","Chọn cách xác định",IF(U276&gt;20000,"Dời hơn 20 km – kiểm tra lại","OK")))),IF(AND(N276&lt;&gt;"Sửa vị trí",OR(O276&lt;&gt;"",P276&lt;&gt;"")),"Có toạ độ mới nhưng kết quả không phải Sửa vị trí","OK")))</f>
        <v/>
      </c>
    </row>
    <row r="277">
      <c r="A277" s="9" t="n">
        <v>273</v>
      </c>
      <c r="B277" s="9" t="inlineStr">
        <is>
          <t>5808bced-3a84-0746-294c-47cec088837e</t>
        </is>
      </c>
      <c r="C277" s="9" t="inlineStr">
        <is>
          <t>Trung bình</t>
        </is>
      </c>
      <c r="D277" s="10" t="inlineStr">
        <is>
          <t>Thảo Ngân Pleiku Hotel</t>
        </is>
      </c>
      <c r="E277" s="9" t="inlineStr">
        <is>
          <t>Khách sạn</t>
        </is>
      </c>
      <c r="F277" s="9" t="inlineStr">
        <is>
          <t>OpenStreetMap</t>
        </is>
      </c>
      <c r="G277" s="10" t="inlineStr">
        <is>
          <t>Phường Hội Phú, Gia Lai</t>
        </is>
      </c>
      <c r="H277" s="9" t="inlineStr">
        <is>
          <t>Phường Hội Phú</t>
        </is>
      </c>
      <c r="I277" s="11" t="n">
        <v>13.970603</v>
      </c>
      <c r="J277" s="11" t="n">
        <v>108.026391</v>
      </c>
      <c r="K277" s="9" t="inlineStr">
        <is>
          <t>Đã đối chiếu</t>
        </is>
      </c>
      <c r="L277" s="10" t="n"/>
      <c r="M277" s="12" t="inlineStr">
        <is>
          <t>Bản đồ</t>
        </is>
      </c>
      <c r="N277" s="13" t="n"/>
      <c r="O277" s="14" t="n"/>
      <c r="P277" s="14" t="n"/>
      <c r="Q277" s="13" t="n"/>
      <c r="R277" s="15" t="n"/>
      <c r="S277" s="13" t="n"/>
      <c r="T277" s="13" t="n"/>
      <c r="U277" s="16">
        <f>IF(AND(ISNUMBER(O277),ISNUMBER(P277)),ROUND(SQRT(((P277-J277)*111320*COS(RADIANS(I277)))^2+((O277-I277)*110540)^2),0),"")</f>
        <v/>
      </c>
      <c r="V277" s="17">
        <f>IF(N277="","",IF(N277="Sửa vị trí",IF(OR(O277="",P277=""),"Thiếu vĩ độ / kinh độ mới",IF(OR(O277&lt;12.5,O277&gt;15,P277&lt;107,P277&gt;109.6),"Toạ độ ngoài Gia Lai (đảo vĩ/kinh độ?)",IF(Q277="","Chọn cách xác định",IF(U277&gt;20000,"Dời hơn 20 km – kiểm tra lại","OK")))),IF(AND(N277&lt;&gt;"Sửa vị trí",OR(O277&lt;&gt;"",P277&lt;&gt;"")),"Có toạ độ mới nhưng kết quả không phải Sửa vị trí","OK")))</f>
        <v/>
      </c>
    </row>
    <row r="278">
      <c r="A278" s="9" t="n">
        <v>274</v>
      </c>
      <c r="B278" s="9" t="inlineStr">
        <is>
          <t>e8a36ac8-8832-70aa-0e49-f6c3eb732606</t>
        </is>
      </c>
      <c r="C278" s="9" t="inlineStr">
        <is>
          <t>Trung bình</t>
        </is>
      </c>
      <c r="D278" s="10" t="inlineStr">
        <is>
          <t>Dang xua hotel</t>
        </is>
      </c>
      <c r="E278" s="9" t="inlineStr">
        <is>
          <t>Khách sạn</t>
        </is>
      </c>
      <c r="F278" s="9" t="inlineStr">
        <is>
          <t>OpenStreetMap</t>
        </is>
      </c>
      <c r="G278" s="10" t="inlineStr">
        <is>
          <t>84 Hùng Vương, Phường Pleiku, Gia Lai</t>
        </is>
      </c>
      <c r="H278" s="9" t="inlineStr">
        <is>
          <t>Phường Pleiku</t>
        </is>
      </c>
      <c r="I278" s="11" t="n">
        <v>13.976794</v>
      </c>
      <c r="J278" s="11" t="n">
        <v>108.002227</v>
      </c>
      <c r="K278" s="9" t="inlineStr">
        <is>
          <t>Đã đối chiếu</t>
        </is>
      </c>
      <c r="L278" s="10" t="n"/>
      <c r="M278" s="12" t="inlineStr">
        <is>
          <t>Bản đồ</t>
        </is>
      </c>
      <c r="N278" s="13" t="n"/>
      <c r="O278" s="14" t="n"/>
      <c r="P278" s="14" t="n"/>
      <c r="Q278" s="13" t="n"/>
      <c r="R278" s="15" t="n"/>
      <c r="S278" s="13" t="n"/>
      <c r="T278" s="13" t="n"/>
      <c r="U278" s="16">
        <f>IF(AND(ISNUMBER(O278),ISNUMBER(P278)),ROUND(SQRT(((P278-J278)*111320*COS(RADIANS(I278)))^2+((O278-I278)*110540)^2),0),"")</f>
        <v/>
      </c>
      <c r="V278" s="17">
        <f>IF(N278="","",IF(N278="Sửa vị trí",IF(OR(O278="",P278=""),"Thiếu vĩ độ / kinh độ mới",IF(OR(O278&lt;12.5,O278&gt;15,P278&lt;107,P278&gt;109.6),"Toạ độ ngoài Gia Lai (đảo vĩ/kinh độ?)",IF(Q278="","Chọn cách xác định",IF(U278&gt;20000,"Dời hơn 20 km – kiểm tra lại","OK")))),IF(AND(N278&lt;&gt;"Sửa vị trí",OR(O278&lt;&gt;"",P278&lt;&gt;"")),"Có toạ độ mới nhưng kết quả không phải Sửa vị trí","OK")))</f>
        <v/>
      </c>
    </row>
    <row r="279">
      <c r="A279" s="9" t="n">
        <v>275</v>
      </c>
      <c r="B279" s="9" t="inlineStr">
        <is>
          <t>99a96e7b-8436-dbe3-5b45-9e783093c27f</t>
        </is>
      </c>
      <c r="C279" s="9" t="inlineStr">
        <is>
          <t>Trung bình</t>
        </is>
      </c>
      <c r="D279" s="10" t="inlineStr">
        <is>
          <t>Green Bamboo - Tre Xanh Plaza Hotel</t>
        </is>
      </c>
      <c r="E279" s="9" t="inlineStr">
        <is>
          <t>Khách sạn</t>
        </is>
      </c>
      <c r="F279" s="9" t="inlineStr">
        <is>
          <t>OpenStreetMap</t>
        </is>
      </c>
      <c r="G279" s="10" t="inlineStr">
        <is>
          <t>Phường Pleiku, Gia Lai</t>
        </is>
      </c>
      <c r="H279" s="9" t="inlineStr">
        <is>
          <t>Phường Pleiku</t>
        </is>
      </c>
      <c r="I279" s="11" t="n">
        <v>13.979496</v>
      </c>
      <c r="J279" s="11" t="n">
        <v>107.999217</v>
      </c>
      <c r="K279" s="9" t="inlineStr">
        <is>
          <t>Đã đối chiếu</t>
        </is>
      </c>
      <c r="L279" s="10" t="n"/>
      <c r="M279" s="12" t="inlineStr">
        <is>
          <t>Bản đồ</t>
        </is>
      </c>
      <c r="N279" s="13" t="n"/>
      <c r="O279" s="14" t="n"/>
      <c r="P279" s="14" t="n"/>
      <c r="Q279" s="13" t="n"/>
      <c r="R279" s="15" t="n"/>
      <c r="S279" s="13" t="n"/>
      <c r="T279" s="13" t="n"/>
      <c r="U279" s="16">
        <f>IF(AND(ISNUMBER(O279),ISNUMBER(P279)),ROUND(SQRT(((P279-J279)*111320*COS(RADIANS(I279)))^2+((O279-I279)*110540)^2),0),"")</f>
        <v/>
      </c>
      <c r="V279" s="17">
        <f>IF(N279="","",IF(N279="Sửa vị trí",IF(OR(O279="",P279=""),"Thiếu vĩ độ / kinh độ mới",IF(OR(O279&lt;12.5,O279&gt;15,P279&lt;107,P279&gt;109.6),"Toạ độ ngoài Gia Lai (đảo vĩ/kinh độ?)",IF(Q279="","Chọn cách xác định",IF(U279&gt;20000,"Dời hơn 20 km – kiểm tra lại","OK")))),IF(AND(N279&lt;&gt;"Sửa vị trí",OR(O279&lt;&gt;"",P279&lt;&gt;"")),"Có toạ độ mới nhưng kết quả không phải Sửa vị trí","OK")))</f>
        <v/>
      </c>
    </row>
    <row r="280">
      <c r="A280" s="9" t="n">
        <v>276</v>
      </c>
      <c r="B280" s="9" t="inlineStr">
        <is>
          <t>81914ac7-3fff-172e-55a9-d4c745c1ca9b</t>
        </is>
      </c>
      <c r="C280" s="9" t="inlineStr">
        <is>
          <t>Trung bình</t>
        </is>
      </c>
      <c r="D280" s="10" t="inlineStr">
        <is>
          <t>HAGL Hotel</t>
        </is>
      </c>
      <c r="E280" s="9" t="inlineStr">
        <is>
          <t>Khách sạn</t>
        </is>
      </c>
      <c r="F280" s="9" t="inlineStr">
        <is>
          <t>OpenStreetMap</t>
        </is>
      </c>
      <c r="G280" s="10" t="inlineStr">
        <is>
          <t>01 Phù Đổng, Phường Pleiku, Gia Lai</t>
        </is>
      </c>
      <c r="H280" s="9" t="inlineStr">
        <is>
          <t>Phường Pleiku</t>
        </is>
      </c>
      <c r="I280" s="11" t="n">
        <v>13.97241</v>
      </c>
      <c r="J280" s="11" t="n">
        <v>108.014668</v>
      </c>
      <c r="K280" s="9" t="inlineStr">
        <is>
          <t>Đã đối chiếu</t>
        </is>
      </c>
      <c r="L280" s="10" t="n"/>
      <c r="M280" s="12" t="inlineStr">
        <is>
          <t>Bản đồ</t>
        </is>
      </c>
      <c r="N280" s="13" t="n"/>
      <c r="O280" s="14" t="n"/>
      <c r="P280" s="14" t="n"/>
      <c r="Q280" s="13" t="n"/>
      <c r="R280" s="15" t="n"/>
      <c r="S280" s="13" t="n"/>
      <c r="T280" s="13" t="n"/>
      <c r="U280" s="16">
        <f>IF(AND(ISNUMBER(O280),ISNUMBER(P280)),ROUND(SQRT(((P280-J280)*111320*COS(RADIANS(I280)))^2+((O280-I280)*110540)^2),0),"")</f>
        <v/>
      </c>
      <c r="V280" s="17">
        <f>IF(N280="","",IF(N280="Sửa vị trí",IF(OR(O280="",P280=""),"Thiếu vĩ độ / kinh độ mới",IF(OR(O280&lt;12.5,O280&gt;15,P280&lt;107,P280&gt;109.6),"Toạ độ ngoài Gia Lai (đảo vĩ/kinh độ?)",IF(Q280="","Chọn cách xác định",IF(U280&gt;20000,"Dời hơn 20 km – kiểm tra lại","OK")))),IF(AND(N280&lt;&gt;"Sửa vị trí",OR(O280&lt;&gt;"",P280&lt;&gt;"")),"Có toạ độ mới nhưng kết quả không phải Sửa vị trí","OK")))</f>
        <v/>
      </c>
    </row>
    <row r="281">
      <c r="A281" s="9" t="n">
        <v>277</v>
      </c>
      <c r="B281" s="9" t="inlineStr">
        <is>
          <t>785ddda2-7eae-9049-ffae-4829e6e31fc1</t>
        </is>
      </c>
      <c r="C281" s="9" t="inlineStr">
        <is>
          <t>Trung bình</t>
        </is>
      </c>
      <c r="D281" s="10" t="inlineStr">
        <is>
          <t>Hani House. Nice for bicycle</t>
        </is>
      </c>
      <c r="E281" s="9" t="inlineStr">
        <is>
          <t>Khách sạn</t>
        </is>
      </c>
      <c r="F281" s="9" t="inlineStr">
        <is>
          <t>OpenStreetMap</t>
        </is>
      </c>
      <c r="G281" s="10" t="inlineStr">
        <is>
          <t>Phường Pleiku, Gia Lai</t>
        </is>
      </c>
      <c r="H281" s="9" t="inlineStr">
        <is>
          <t>Phường Pleiku</t>
        </is>
      </c>
      <c r="I281" s="11" t="n">
        <v>13.978379</v>
      </c>
      <c r="J281" s="11" t="n">
        <v>108.014446</v>
      </c>
      <c r="K281" s="9" t="inlineStr">
        <is>
          <t>Đã đối chiếu</t>
        </is>
      </c>
      <c r="L281" s="10" t="n"/>
      <c r="M281" s="12" t="inlineStr">
        <is>
          <t>Bản đồ</t>
        </is>
      </c>
      <c r="N281" s="13" t="n"/>
      <c r="O281" s="14" t="n"/>
      <c r="P281" s="14" t="n"/>
      <c r="Q281" s="13" t="n"/>
      <c r="R281" s="15" t="n"/>
      <c r="S281" s="13" t="n"/>
      <c r="T281" s="13" t="n"/>
      <c r="U281" s="16">
        <f>IF(AND(ISNUMBER(O281),ISNUMBER(P281)),ROUND(SQRT(((P281-J281)*111320*COS(RADIANS(I281)))^2+((O281-I281)*110540)^2),0),"")</f>
        <v/>
      </c>
      <c r="V281" s="17">
        <f>IF(N281="","",IF(N281="Sửa vị trí",IF(OR(O281="",P281=""),"Thiếu vĩ độ / kinh độ mới",IF(OR(O281&lt;12.5,O281&gt;15,P281&lt;107,P281&gt;109.6),"Toạ độ ngoài Gia Lai (đảo vĩ/kinh độ?)",IF(Q281="","Chọn cách xác định",IF(U281&gt;20000,"Dời hơn 20 km – kiểm tra lại","OK")))),IF(AND(N281&lt;&gt;"Sửa vị trí",OR(O281&lt;&gt;"",P281&lt;&gt;"")),"Có toạ độ mới nhưng kết quả không phải Sửa vị trí","OK")))</f>
        <v/>
      </c>
    </row>
    <row r="282">
      <c r="A282" s="9" t="n">
        <v>278</v>
      </c>
      <c r="B282" s="9" t="inlineStr">
        <is>
          <t>97b25054-3a10-1dc9-71aa-ae1812677321</t>
        </is>
      </c>
      <c r="C282" s="9" t="inlineStr">
        <is>
          <t>Trung bình</t>
        </is>
      </c>
      <c r="D282" s="10" t="inlineStr">
        <is>
          <t>Highlight House Hotel &amp; Coffee</t>
        </is>
      </c>
      <c r="E282" s="9" t="inlineStr">
        <is>
          <t>Khách sạn</t>
        </is>
      </c>
      <c r="F282" s="9" t="inlineStr">
        <is>
          <t>OpenStreetMap</t>
        </is>
      </c>
      <c r="G282" s="10" t="inlineStr">
        <is>
          <t>Phường Pleiku, Gia Lai</t>
        </is>
      </c>
      <c r="H282" s="9" t="inlineStr">
        <is>
          <t>Phường Pleiku</t>
        </is>
      </c>
      <c r="I282" s="11" t="n">
        <v>13.979419</v>
      </c>
      <c r="J282" s="11" t="n">
        <v>108.010636</v>
      </c>
      <c r="K282" s="9" t="inlineStr">
        <is>
          <t>Đã đối chiếu</t>
        </is>
      </c>
      <c r="L282" s="10" t="n"/>
      <c r="M282" s="12" t="inlineStr">
        <is>
          <t>Bản đồ</t>
        </is>
      </c>
      <c r="N282" s="13" t="n"/>
      <c r="O282" s="14" t="n"/>
      <c r="P282" s="14" t="n"/>
      <c r="Q282" s="13" t="n"/>
      <c r="R282" s="15" t="n"/>
      <c r="S282" s="13" t="n"/>
      <c r="T282" s="13" t="n"/>
      <c r="U282" s="16">
        <f>IF(AND(ISNUMBER(O282),ISNUMBER(P282)),ROUND(SQRT(((P282-J282)*111320*COS(RADIANS(I282)))^2+((O282-I282)*110540)^2),0),"")</f>
        <v/>
      </c>
      <c r="V282" s="17">
        <f>IF(N282="","",IF(N282="Sửa vị trí",IF(OR(O282="",P282=""),"Thiếu vĩ độ / kinh độ mới",IF(OR(O282&lt;12.5,O282&gt;15,P282&lt;107,P282&gt;109.6),"Toạ độ ngoài Gia Lai (đảo vĩ/kinh độ?)",IF(Q282="","Chọn cách xác định",IF(U282&gt;20000,"Dời hơn 20 km – kiểm tra lại","OK")))),IF(AND(N282&lt;&gt;"Sửa vị trí",OR(O282&lt;&gt;"",P282&lt;&gt;"")),"Có toạ độ mới nhưng kết quả không phải Sửa vị trí","OK")))</f>
        <v/>
      </c>
    </row>
    <row r="283">
      <c r="A283" s="9" t="n">
        <v>279</v>
      </c>
      <c r="B283" s="9" t="inlineStr">
        <is>
          <t>1cf2c337-7dab-acca-2c8b-2997767562f1</t>
        </is>
      </c>
      <c r="C283" s="9" t="inlineStr">
        <is>
          <t>Trung bình</t>
        </is>
      </c>
      <c r="D283" s="10" t="inlineStr">
        <is>
          <t>Hung Vuong</t>
        </is>
      </c>
      <c r="E283" s="9" t="inlineStr">
        <is>
          <t>Khách sạn</t>
        </is>
      </c>
      <c r="F283" s="9" t="inlineStr">
        <is>
          <t>OpenStreetMap</t>
        </is>
      </c>
      <c r="G283" s="10" t="inlineStr">
        <is>
          <t>Phường Pleiku, Gia Lai</t>
        </is>
      </c>
      <c r="H283" s="9" t="inlineStr">
        <is>
          <t>Phường Pleiku</t>
        </is>
      </c>
      <c r="I283" s="11" t="n">
        <v>13.976822</v>
      </c>
      <c r="J283" s="11" t="n">
        <v>108.006305</v>
      </c>
      <c r="K283" s="9" t="inlineStr">
        <is>
          <t>Đã đối chiếu</t>
        </is>
      </c>
      <c r="L283" s="10" t="n"/>
      <c r="M283" s="12" t="inlineStr">
        <is>
          <t>Bản đồ</t>
        </is>
      </c>
      <c r="N283" s="13" t="n"/>
      <c r="O283" s="14" t="n"/>
      <c r="P283" s="14" t="n"/>
      <c r="Q283" s="13" t="n"/>
      <c r="R283" s="15" t="n"/>
      <c r="S283" s="13" t="n"/>
      <c r="T283" s="13" t="n"/>
      <c r="U283" s="16">
        <f>IF(AND(ISNUMBER(O283),ISNUMBER(P283)),ROUND(SQRT(((P283-J283)*111320*COS(RADIANS(I283)))^2+((O283-I283)*110540)^2),0),"")</f>
        <v/>
      </c>
      <c r="V283" s="17">
        <f>IF(N283="","",IF(N283="Sửa vị trí",IF(OR(O283="",P283=""),"Thiếu vĩ độ / kinh độ mới",IF(OR(O283&lt;12.5,O283&gt;15,P283&lt;107,P283&gt;109.6),"Toạ độ ngoài Gia Lai (đảo vĩ/kinh độ?)",IF(Q283="","Chọn cách xác định",IF(U283&gt;20000,"Dời hơn 20 km – kiểm tra lại","OK")))),IF(AND(N283&lt;&gt;"Sửa vị trí",OR(O283&lt;&gt;"",P283&lt;&gt;"")),"Có toạ độ mới nhưng kết quả không phải Sửa vị trí","OK")))</f>
        <v/>
      </c>
    </row>
    <row r="284">
      <c r="A284" s="9" t="n">
        <v>280</v>
      </c>
      <c r="B284" s="9" t="inlineStr">
        <is>
          <t>ffe840a7-238d-a517-e896-0ae83830c53c</t>
        </is>
      </c>
      <c r="C284" s="9" t="inlineStr">
        <is>
          <t>Trung bình</t>
        </is>
      </c>
      <c r="D284" s="10" t="inlineStr">
        <is>
          <t>Khách Sạn Elisa</t>
        </is>
      </c>
      <c r="E284" s="9" t="inlineStr">
        <is>
          <t>Khách sạn</t>
        </is>
      </c>
      <c r="F284" s="9" t="inlineStr">
        <is>
          <t>OpenStreetMap</t>
        </is>
      </c>
      <c r="G284" s="10" t="inlineStr">
        <is>
          <t>Phường Pleiku, Gia Lai</t>
        </is>
      </c>
      <c r="H284" s="9" t="inlineStr">
        <is>
          <t>Phường Pleiku</t>
        </is>
      </c>
      <c r="I284" s="11" t="n">
        <v>13.981437</v>
      </c>
      <c r="J284" s="11" t="n">
        <v>108.000195</v>
      </c>
      <c r="K284" s="9" t="inlineStr">
        <is>
          <t>Đã đối chiếu</t>
        </is>
      </c>
      <c r="L284" s="10" t="n"/>
      <c r="M284" s="12" t="inlineStr">
        <is>
          <t>Bản đồ</t>
        </is>
      </c>
      <c r="N284" s="13" t="n"/>
      <c r="O284" s="14" t="n"/>
      <c r="P284" s="14" t="n"/>
      <c r="Q284" s="13" t="n"/>
      <c r="R284" s="15" t="n"/>
      <c r="S284" s="13" t="n"/>
      <c r="T284" s="13" t="n"/>
      <c r="U284" s="16">
        <f>IF(AND(ISNUMBER(O284),ISNUMBER(P284)),ROUND(SQRT(((P284-J284)*111320*COS(RADIANS(I284)))^2+((O284-I284)*110540)^2),0),"")</f>
        <v/>
      </c>
      <c r="V284" s="17">
        <f>IF(N284="","",IF(N284="Sửa vị trí",IF(OR(O284="",P284=""),"Thiếu vĩ độ / kinh độ mới",IF(OR(O284&lt;12.5,O284&gt;15,P284&lt;107,P284&gt;109.6),"Toạ độ ngoài Gia Lai (đảo vĩ/kinh độ?)",IF(Q284="","Chọn cách xác định",IF(U284&gt;20000,"Dời hơn 20 km – kiểm tra lại","OK")))),IF(AND(N284&lt;&gt;"Sửa vị trí",OR(O284&lt;&gt;"",P284&lt;&gt;"")),"Có toạ độ mới nhưng kết quả không phải Sửa vị trí","OK")))</f>
        <v/>
      </c>
    </row>
    <row r="285">
      <c r="A285" s="9" t="n">
        <v>281</v>
      </c>
      <c r="B285" s="9" t="inlineStr">
        <is>
          <t>e54b8b2f-6059-59fc-7c46-d42f35df3295</t>
        </is>
      </c>
      <c r="C285" s="9" t="inlineStr">
        <is>
          <t>Trung bình</t>
        </is>
      </c>
      <c r="D285" s="10" t="inlineStr">
        <is>
          <t>Khách sạn Le Centre</t>
        </is>
      </c>
      <c r="E285" s="9" t="inlineStr">
        <is>
          <t>Khách sạn</t>
        </is>
      </c>
      <c r="F285" s="9" t="inlineStr">
        <is>
          <t>OpenStreetMap</t>
        </is>
      </c>
      <c r="G285" s="10" t="inlineStr">
        <is>
          <t>Phường Pleiku, Gia Lai</t>
        </is>
      </c>
      <c r="H285" s="9" t="inlineStr">
        <is>
          <t>Phường Pleiku</t>
        </is>
      </c>
      <c r="I285" s="11" t="n">
        <v>13.979938</v>
      </c>
      <c r="J285" s="11" t="n">
        <v>107.999221</v>
      </c>
      <c r="K285" s="9" t="inlineStr">
        <is>
          <t>Đã đối chiếu</t>
        </is>
      </c>
      <c r="L285" s="10" t="n"/>
      <c r="M285" s="12" t="inlineStr">
        <is>
          <t>Bản đồ</t>
        </is>
      </c>
      <c r="N285" s="13" t="n"/>
      <c r="O285" s="14" t="n"/>
      <c r="P285" s="14" t="n"/>
      <c r="Q285" s="13" t="n"/>
      <c r="R285" s="15" t="n"/>
      <c r="S285" s="13" t="n"/>
      <c r="T285" s="13" t="n"/>
      <c r="U285" s="16">
        <f>IF(AND(ISNUMBER(O285),ISNUMBER(P285)),ROUND(SQRT(((P285-J285)*111320*COS(RADIANS(I285)))^2+((O285-I285)*110540)^2),0),"")</f>
        <v/>
      </c>
      <c r="V285" s="17">
        <f>IF(N285="","",IF(N285="Sửa vị trí",IF(OR(O285="",P285=""),"Thiếu vĩ độ / kinh độ mới",IF(OR(O285&lt;12.5,O285&gt;15,P285&lt;107,P285&gt;109.6),"Toạ độ ngoài Gia Lai (đảo vĩ/kinh độ?)",IF(Q285="","Chọn cách xác định",IF(U285&gt;20000,"Dời hơn 20 km – kiểm tra lại","OK")))),IF(AND(N285&lt;&gt;"Sửa vị trí",OR(O285&lt;&gt;"",P285&lt;&gt;"")),"Có toạ độ mới nhưng kết quả không phải Sửa vị trí","OK")))</f>
        <v/>
      </c>
    </row>
    <row r="286">
      <c r="A286" s="9" t="n">
        <v>282</v>
      </c>
      <c r="B286" s="9" t="inlineStr">
        <is>
          <t>42fff897-5924-de0d-645c-cbf38fbfab40</t>
        </is>
      </c>
      <c r="C286" s="9" t="inlineStr">
        <is>
          <t>Trung bình</t>
        </is>
      </c>
      <c r="D286" s="10" t="inlineStr">
        <is>
          <t>Khách sạn Luxstay &amp; Coffee</t>
        </is>
      </c>
      <c r="E286" s="9" t="inlineStr">
        <is>
          <t>Khách sạn</t>
        </is>
      </c>
      <c r="F286" s="9" t="inlineStr">
        <is>
          <t>OpenStreetMap</t>
        </is>
      </c>
      <c r="G286" s="10" t="inlineStr">
        <is>
          <t>Phường Pleiku, Gia Lai</t>
        </is>
      </c>
      <c r="H286" s="9" t="inlineStr">
        <is>
          <t>Phường Pleiku</t>
        </is>
      </c>
      <c r="I286" s="11" t="n">
        <v>13.978644</v>
      </c>
      <c r="J286" s="11" t="n">
        <v>108.011233</v>
      </c>
      <c r="K286" s="9" t="inlineStr">
        <is>
          <t>Đã đối chiếu</t>
        </is>
      </c>
      <c r="L286" s="10" t="n"/>
      <c r="M286" s="12" t="inlineStr">
        <is>
          <t>Bản đồ</t>
        </is>
      </c>
      <c r="N286" s="13" t="n"/>
      <c r="O286" s="14" t="n"/>
      <c r="P286" s="14" t="n"/>
      <c r="Q286" s="13" t="n"/>
      <c r="R286" s="15" t="n"/>
      <c r="S286" s="13" t="n"/>
      <c r="T286" s="13" t="n"/>
      <c r="U286" s="16">
        <f>IF(AND(ISNUMBER(O286),ISNUMBER(P286)),ROUND(SQRT(((P286-J286)*111320*COS(RADIANS(I286)))^2+((O286-I286)*110540)^2),0),"")</f>
        <v/>
      </c>
      <c r="V286" s="17">
        <f>IF(N286="","",IF(N286="Sửa vị trí",IF(OR(O286="",P286=""),"Thiếu vĩ độ / kinh độ mới",IF(OR(O286&lt;12.5,O286&gt;15,P286&lt;107,P286&gt;109.6),"Toạ độ ngoài Gia Lai (đảo vĩ/kinh độ?)",IF(Q286="","Chọn cách xác định",IF(U286&gt;20000,"Dời hơn 20 km – kiểm tra lại","OK")))),IF(AND(N286&lt;&gt;"Sửa vị trí",OR(O286&lt;&gt;"",P286&lt;&gt;"")),"Có toạ độ mới nhưng kết quả không phải Sửa vị trí","OK")))</f>
        <v/>
      </c>
    </row>
    <row r="287">
      <c r="A287" s="9" t="n">
        <v>283</v>
      </c>
      <c r="B287" s="9" t="inlineStr">
        <is>
          <t>f1980220-e78e-421a-60e1-9aef06d1c5f7</t>
        </is>
      </c>
      <c r="C287" s="9" t="inlineStr">
        <is>
          <t>Trung bình</t>
        </is>
      </c>
      <c r="D287" s="10" t="inlineStr">
        <is>
          <t>Khách sạn MeKong Gia Lai</t>
        </is>
      </c>
      <c r="E287" s="9" t="inlineStr">
        <is>
          <t>Khách sạn</t>
        </is>
      </c>
      <c r="F287" s="9" t="inlineStr">
        <is>
          <t>OpenStreetMap</t>
        </is>
      </c>
      <c r="G287" s="10" t="inlineStr">
        <is>
          <t>Phường Pleiku, Gia Lai</t>
        </is>
      </c>
      <c r="H287" s="9" t="inlineStr">
        <is>
          <t>Phường Pleiku</t>
        </is>
      </c>
      <c r="I287" s="11" t="n">
        <v>13.969831</v>
      </c>
      <c r="J287" s="11" t="n">
        <v>108.018447</v>
      </c>
      <c r="K287" s="9" t="inlineStr">
        <is>
          <t>Đã đối chiếu</t>
        </is>
      </c>
      <c r="L287" s="10" t="n"/>
      <c r="M287" s="12" t="inlineStr">
        <is>
          <t>Bản đồ</t>
        </is>
      </c>
      <c r="N287" s="13" t="n"/>
      <c r="O287" s="14" t="n"/>
      <c r="P287" s="14" t="n"/>
      <c r="Q287" s="13" t="n"/>
      <c r="R287" s="15" t="n"/>
      <c r="S287" s="13" t="n"/>
      <c r="T287" s="13" t="n"/>
      <c r="U287" s="16">
        <f>IF(AND(ISNUMBER(O287),ISNUMBER(P287)),ROUND(SQRT(((P287-J287)*111320*COS(RADIANS(I287)))^2+((O287-I287)*110540)^2),0),"")</f>
        <v/>
      </c>
      <c r="V287" s="17">
        <f>IF(N287="","",IF(N287="Sửa vị trí",IF(OR(O287="",P287=""),"Thiếu vĩ độ / kinh độ mới",IF(OR(O287&lt;12.5,O287&gt;15,P287&lt;107,P287&gt;109.6),"Toạ độ ngoài Gia Lai (đảo vĩ/kinh độ?)",IF(Q287="","Chọn cách xác định",IF(U287&gt;20000,"Dời hơn 20 km – kiểm tra lại","OK")))),IF(AND(N287&lt;&gt;"Sửa vị trí",OR(O287&lt;&gt;"",P287&lt;&gt;"")),"Có toạ độ mới nhưng kết quả không phải Sửa vị trí","OK")))</f>
        <v/>
      </c>
    </row>
    <row r="288">
      <c r="A288" s="9" t="n">
        <v>284</v>
      </c>
      <c r="B288" s="9" t="inlineStr">
        <is>
          <t>c91817ea-5009-1c93-1e6c-c6c1650fd526</t>
        </is>
      </c>
      <c r="C288" s="9" t="inlineStr">
        <is>
          <t>Trung bình</t>
        </is>
      </c>
      <c r="D288" s="10" t="inlineStr">
        <is>
          <t>Mường Thanh Gia Lai</t>
        </is>
      </c>
      <c r="E288" s="9" t="inlineStr">
        <is>
          <t>Khách sạn</t>
        </is>
      </c>
      <c r="F288" s="9" t="inlineStr">
        <is>
          <t>OpenStreetMap</t>
        </is>
      </c>
      <c r="G288" s="10" t="inlineStr">
        <is>
          <t>Phường Pleiku, Gia Lai</t>
        </is>
      </c>
      <c r="H288" s="9" t="inlineStr">
        <is>
          <t>Phường Pleiku</t>
        </is>
      </c>
      <c r="I288" s="11" t="n">
        <v>13.970573</v>
      </c>
      <c r="J288" s="11" t="n">
        <v>108.015729</v>
      </c>
      <c r="K288" s="9" t="inlineStr">
        <is>
          <t>Đã đối chiếu</t>
        </is>
      </c>
      <c r="L288" s="10" t="n"/>
      <c r="M288" s="12" t="inlineStr">
        <is>
          <t>Bản đồ</t>
        </is>
      </c>
      <c r="N288" s="13" t="n"/>
      <c r="O288" s="14" t="n"/>
      <c r="P288" s="14" t="n"/>
      <c r="Q288" s="13" t="n"/>
      <c r="R288" s="15" t="n"/>
      <c r="S288" s="13" t="n"/>
      <c r="T288" s="13" t="n"/>
      <c r="U288" s="16">
        <f>IF(AND(ISNUMBER(O288),ISNUMBER(P288)),ROUND(SQRT(((P288-J288)*111320*COS(RADIANS(I288)))^2+((O288-I288)*110540)^2),0),"")</f>
        <v/>
      </c>
      <c r="V288" s="17">
        <f>IF(N288="","",IF(N288="Sửa vị trí",IF(OR(O288="",P288=""),"Thiếu vĩ độ / kinh độ mới",IF(OR(O288&lt;12.5,O288&gt;15,P288&lt;107,P288&gt;109.6),"Toạ độ ngoài Gia Lai (đảo vĩ/kinh độ?)",IF(Q288="","Chọn cách xác định",IF(U288&gt;20000,"Dời hơn 20 km – kiểm tra lại","OK")))),IF(AND(N288&lt;&gt;"Sửa vị trí",OR(O288&lt;&gt;"",P288&lt;&gt;"")),"Có toạ độ mới nhưng kết quả không phải Sửa vị trí","OK")))</f>
        <v/>
      </c>
    </row>
    <row r="289">
      <c r="A289" s="9" t="n">
        <v>285</v>
      </c>
      <c r="B289" s="9" t="inlineStr">
        <is>
          <t>9f81d3f7-b77f-56e9-e015-607131dcfa9e</t>
        </is>
      </c>
      <c r="C289" s="9" t="inlineStr">
        <is>
          <t>Trung bình</t>
        </is>
      </c>
      <c r="D289" s="10" t="inlineStr">
        <is>
          <t>Ngọc Sê Hotel</t>
        </is>
      </c>
      <c r="E289" s="9" t="inlineStr">
        <is>
          <t>Khách sạn</t>
        </is>
      </c>
      <c r="F289" s="9" t="inlineStr">
        <is>
          <t>OpenStreetMap</t>
        </is>
      </c>
      <c r="G289" s="10" t="inlineStr">
        <is>
          <t>Phường Pleiku, Gia Lai</t>
        </is>
      </c>
      <c r="H289" s="9" t="inlineStr">
        <is>
          <t>Phường Pleiku</t>
        </is>
      </c>
      <c r="I289" s="11" t="n">
        <v>13.978444</v>
      </c>
      <c r="J289" s="11" t="n">
        <v>108.012831</v>
      </c>
      <c r="K289" s="9" t="inlineStr">
        <is>
          <t>Đã đối chiếu</t>
        </is>
      </c>
      <c r="L289" s="10" t="n"/>
      <c r="M289" s="12" t="inlineStr">
        <is>
          <t>Bản đồ</t>
        </is>
      </c>
      <c r="N289" s="13" t="n"/>
      <c r="O289" s="14" t="n"/>
      <c r="P289" s="14" t="n"/>
      <c r="Q289" s="13" t="n"/>
      <c r="R289" s="15" t="n"/>
      <c r="S289" s="13" t="n"/>
      <c r="T289" s="13" t="n"/>
      <c r="U289" s="16">
        <f>IF(AND(ISNUMBER(O289),ISNUMBER(P289)),ROUND(SQRT(((P289-J289)*111320*COS(RADIANS(I289)))^2+((O289-I289)*110540)^2),0),"")</f>
        <v/>
      </c>
      <c r="V289" s="17">
        <f>IF(N289="","",IF(N289="Sửa vị trí",IF(OR(O289="",P289=""),"Thiếu vĩ độ / kinh độ mới",IF(OR(O289&lt;12.5,O289&gt;15,P289&lt;107,P289&gt;109.6),"Toạ độ ngoài Gia Lai (đảo vĩ/kinh độ?)",IF(Q289="","Chọn cách xác định",IF(U289&gt;20000,"Dời hơn 20 km – kiểm tra lại","OK")))),IF(AND(N289&lt;&gt;"Sửa vị trí",OR(O289&lt;&gt;"",P289&lt;&gt;"")),"Có toạ độ mới nhưng kết quả không phải Sửa vị trí","OK")))</f>
        <v/>
      </c>
    </row>
    <row r="290">
      <c r="A290" s="9" t="n">
        <v>286</v>
      </c>
      <c r="B290" s="9" t="inlineStr">
        <is>
          <t>71774ef9-9424-4458-a6c7-72912c02cd20</t>
        </is>
      </c>
      <c r="C290" s="9" t="inlineStr">
        <is>
          <t>Trung bình</t>
        </is>
      </c>
      <c r="D290" s="10" t="inlineStr">
        <is>
          <t>Pho Nui hotel</t>
        </is>
      </c>
      <c r="E290" s="9" t="inlineStr">
        <is>
          <t>Khách sạn</t>
        </is>
      </c>
      <c r="F290" s="9" t="inlineStr">
        <is>
          <t>OpenStreetMap</t>
        </is>
      </c>
      <c r="G290" s="10" t="inlineStr">
        <is>
          <t>Phường Pleiku, Gia Lai</t>
        </is>
      </c>
      <c r="H290" s="9" t="inlineStr">
        <is>
          <t>Phường Pleiku</t>
        </is>
      </c>
      <c r="I290" s="11" t="n">
        <v>13.975266</v>
      </c>
      <c r="J290" s="11" t="n">
        <v>108.015095</v>
      </c>
      <c r="K290" s="9" t="inlineStr">
        <is>
          <t>Đã đối chiếu</t>
        </is>
      </c>
      <c r="L290" s="10" t="n"/>
      <c r="M290" s="12" t="inlineStr">
        <is>
          <t>Bản đồ</t>
        </is>
      </c>
      <c r="N290" s="13" t="n"/>
      <c r="O290" s="14" t="n"/>
      <c r="P290" s="14" t="n"/>
      <c r="Q290" s="13" t="n"/>
      <c r="R290" s="15" t="n"/>
      <c r="S290" s="13" t="n"/>
      <c r="T290" s="13" t="n"/>
      <c r="U290" s="16">
        <f>IF(AND(ISNUMBER(O290),ISNUMBER(P290)),ROUND(SQRT(((P290-J290)*111320*COS(RADIANS(I290)))^2+((O290-I290)*110540)^2),0),"")</f>
        <v/>
      </c>
      <c r="V290" s="17">
        <f>IF(N290="","",IF(N290="Sửa vị trí",IF(OR(O290="",P290=""),"Thiếu vĩ độ / kinh độ mới",IF(OR(O290&lt;12.5,O290&gt;15,P290&lt;107,P290&gt;109.6),"Toạ độ ngoài Gia Lai (đảo vĩ/kinh độ?)",IF(Q290="","Chọn cách xác định",IF(U290&gt;20000,"Dời hơn 20 km – kiểm tra lại","OK")))),IF(AND(N290&lt;&gt;"Sửa vị trí",OR(O290&lt;&gt;"",P290&lt;&gt;"")),"Có toạ độ mới nhưng kết quả không phải Sửa vị trí","OK")))</f>
        <v/>
      </c>
    </row>
    <row r="291">
      <c r="A291" s="9" t="n">
        <v>287</v>
      </c>
      <c r="B291" s="9" t="inlineStr">
        <is>
          <t>60c412da-04ad-c2ae-bdf5-cfc6dd156e50</t>
        </is>
      </c>
      <c r="C291" s="9" t="inlineStr">
        <is>
          <t>Trung bình</t>
        </is>
      </c>
      <c r="D291" s="10" t="inlineStr">
        <is>
          <t>Pleiku Hotel</t>
        </is>
      </c>
      <c r="E291" s="9" t="inlineStr">
        <is>
          <t>Khách sạn</t>
        </is>
      </c>
      <c r="F291" s="9" t="inlineStr">
        <is>
          <t>OpenStreetMap</t>
        </is>
      </c>
      <c r="G291" s="10" t="inlineStr">
        <is>
          <t>Phường Pleiku, Gia Lai</t>
        </is>
      </c>
      <c r="H291" s="9" t="inlineStr">
        <is>
          <t>Phường Pleiku</t>
        </is>
      </c>
      <c r="I291" s="11" t="n">
        <v>13.98168</v>
      </c>
      <c r="J291" s="11" t="n">
        <v>108.008389</v>
      </c>
      <c r="K291" s="9" t="inlineStr">
        <is>
          <t>Đã đối chiếu</t>
        </is>
      </c>
      <c r="L291" s="10" t="n"/>
      <c r="M291" s="12" t="inlineStr">
        <is>
          <t>Bản đồ</t>
        </is>
      </c>
      <c r="N291" s="13" t="n"/>
      <c r="O291" s="14" t="n"/>
      <c r="P291" s="14" t="n"/>
      <c r="Q291" s="13" t="n"/>
      <c r="R291" s="15" t="n"/>
      <c r="S291" s="13" t="n"/>
      <c r="T291" s="13" t="n"/>
      <c r="U291" s="16">
        <f>IF(AND(ISNUMBER(O291),ISNUMBER(P291)),ROUND(SQRT(((P291-J291)*111320*COS(RADIANS(I291)))^2+((O291-I291)*110540)^2),0),"")</f>
        <v/>
      </c>
      <c r="V291" s="17">
        <f>IF(N291="","",IF(N291="Sửa vị trí",IF(OR(O291="",P291=""),"Thiếu vĩ độ / kinh độ mới",IF(OR(O291&lt;12.5,O291&gt;15,P291&lt;107,P291&gt;109.6),"Toạ độ ngoài Gia Lai (đảo vĩ/kinh độ?)",IF(Q291="","Chọn cách xác định",IF(U291&gt;20000,"Dời hơn 20 km – kiểm tra lại","OK")))),IF(AND(N291&lt;&gt;"Sửa vị trí",OR(O291&lt;&gt;"",P291&lt;&gt;"")),"Có toạ độ mới nhưng kết quả không phải Sửa vị trí","OK")))</f>
        <v/>
      </c>
    </row>
    <row r="292">
      <c r="A292" s="9" t="n">
        <v>288</v>
      </c>
      <c r="B292" s="9" t="inlineStr">
        <is>
          <t>c6b765bf-7272-bc7a-e7ca-52889153bf2f</t>
        </is>
      </c>
      <c r="C292" s="9" t="inlineStr">
        <is>
          <t>Trung bình</t>
        </is>
      </c>
      <c r="D292" s="10" t="inlineStr">
        <is>
          <t>Thu Hong</t>
        </is>
      </c>
      <c r="E292" s="9" t="inlineStr">
        <is>
          <t>Khách sạn</t>
        </is>
      </c>
      <c r="F292" s="9" t="inlineStr">
        <is>
          <t>OpenStreetMap</t>
        </is>
      </c>
      <c r="G292" s="10" t="inlineStr">
        <is>
          <t>Trường Chinh, Phường Pleiku, Gia Lai</t>
        </is>
      </c>
      <c r="H292" s="9" t="inlineStr">
        <is>
          <t>Phường Pleiku</t>
        </is>
      </c>
      <c r="I292" s="11" t="n">
        <v>13.970082</v>
      </c>
      <c r="J292" s="11" t="n">
        <v>108.014993</v>
      </c>
      <c r="K292" s="9" t="inlineStr">
        <is>
          <t>Đã đối chiếu</t>
        </is>
      </c>
      <c r="L292" s="10" t="n"/>
      <c r="M292" s="12" t="inlineStr">
        <is>
          <t>Bản đồ</t>
        </is>
      </c>
      <c r="N292" s="13" t="n"/>
      <c r="O292" s="14" t="n"/>
      <c r="P292" s="14" t="n"/>
      <c r="Q292" s="13" t="n"/>
      <c r="R292" s="15" t="n"/>
      <c r="S292" s="13" t="n"/>
      <c r="T292" s="13" t="n"/>
      <c r="U292" s="16">
        <f>IF(AND(ISNUMBER(O292),ISNUMBER(P292)),ROUND(SQRT(((P292-J292)*111320*COS(RADIANS(I292)))^2+((O292-I292)*110540)^2),0),"")</f>
        <v/>
      </c>
      <c r="V292" s="17">
        <f>IF(N292="","",IF(N292="Sửa vị trí",IF(OR(O292="",P292=""),"Thiếu vĩ độ / kinh độ mới",IF(OR(O292&lt;12.5,O292&gt;15,P292&lt;107,P292&gt;109.6),"Toạ độ ngoài Gia Lai (đảo vĩ/kinh độ?)",IF(Q292="","Chọn cách xác định",IF(U292&gt;20000,"Dời hơn 20 km – kiểm tra lại","OK")))),IF(AND(N292&lt;&gt;"Sửa vị trí",OR(O292&lt;&gt;"",P292&lt;&gt;"")),"Có toạ độ mới nhưng kết quả không phải Sửa vị trí","OK")))</f>
        <v/>
      </c>
    </row>
    <row r="293">
      <c r="A293" s="9" t="n">
        <v>289</v>
      </c>
      <c r="B293" s="9" t="inlineStr">
        <is>
          <t>3ec7f140-204a-c6e6-f3d9-71549b2483f3</t>
        </is>
      </c>
      <c r="C293" s="9" t="inlineStr">
        <is>
          <t>Trung bình</t>
        </is>
      </c>
      <c r="D293" s="10" t="inlineStr">
        <is>
          <t>Khách Sạn Duy Long</t>
        </is>
      </c>
      <c r="E293" s="9" t="inlineStr">
        <is>
          <t>Khách sạn</t>
        </is>
      </c>
      <c r="F293" s="9" t="inlineStr">
        <is>
          <t>OpenStreetMap</t>
        </is>
      </c>
      <c r="G293" s="10" t="inlineStr">
        <is>
          <t>441 Phạm Văn Đồng, Phường Thống Nhất, Gia Lai</t>
        </is>
      </c>
      <c r="H293" s="9" t="inlineStr">
        <is>
          <t>Phường Thống Nhất</t>
        </is>
      </c>
      <c r="I293" s="11" t="n">
        <v>14.009646</v>
      </c>
      <c r="J293" s="11" t="n">
        <v>107.993393</v>
      </c>
      <c r="K293" s="9" t="inlineStr">
        <is>
          <t>Đã đối chiếu</t>
        </is>
      </c>
      <c r="L293" s="10" t="n"/>
      <c r="M293" s="12" t="inlineStr">
        <is>
          <t>Bản đồ</t>
        </is>
      </c>
      <c r="N293" s="13" t="n"/>
      <c r="O293" s="14" t="n"/>
      <c r="P293" s="14" t="n"/>
      <c r="Q293" s="13" t="n"/>
      <c r="R293" s="15" t="n"/>
      <c r="S293" s="13" t="n"/>
      <c r="T293" s="13" t="n"/>
      <c r="U293" s="16">
        <f>IF(AND(ISNUMBER(O293),ISNUMBER(P293)),ROUND(SQRT(((P293-J293)*111320*COS(RADIANS(I293)))^2+((O293-I293)*110540)^2),0),"")</f>
        <v/>
      </c>
      <c r="V293" s="17">
        <f>IF(N293="","",IF(N293="Sửa vị trí",IF(OR(O293="",P293=""),"Thiếu vĩ độ / kinh độ mới",IF(OR(O293&lt;12.5,O293&gt;15,P293&lt;107,P293&gt;109.6),"Toạ độ ngoài Gia Lai (đảo vĩ/kinh độ?)",IF(Q293="","Chọn cách xác định",IF(U293&gt;20000,"Dời hơn 20 km – kiểm tra lại","OK")))),IF(AND(N293&lt;&gt;"Sửa vị trí",OR(O293&lt;&gt;"",P293&lt;&gt;"")),"Có toạ độ mới nhưng kết quả không phải Sửa vị trí","OK")))</f>
        <v/>
      </c>
    </row>
    <row r="294">
      <c r="A294" s="9" t="n">
        <v>290</v>
      </c>
      <c r="B294" s="9" t="inlineStr">
        <is>
          <t>fc6518ac-a125-04d4-0cad-2c4ca958da3b</t>
        </is>
      </c>
      <c r="C294" s="9" t="inlineStr">
        <is>
          <t>Trung bình</t>
        </is>
      </c>
      <c r="D294" s="10" t="inlineStr">
        <is>
          <t>Khách Sạn Hoa Nam</t>
        </is>
      </c>
      <c r="E294" s="9" t="inlineStr">
        <is>
          <t>Khách sạn</t>
        </is>
      </c>
      <c r="F294" s="9" t="inlineStr">
        <is>
          <t>OpenStreetMap</t>
        </is>
      </c>
      <c r="G294" s="10" t="inlineStr">
        <is>
          <t>Phường Thống Nhất, Gia Lai</t>
        </is>
      </c>
      <c r="H294" s="9" t="inlineStr">
        <is>
          <t>Phường Thống Nhất</t>
        </is>
      </c>
      <c r="I294" s="11" t="n">
        <v>14.000926</v>
      </c>
      <c r="J294" s="11" t="n">
        <v>107.991416</v>
      </c>
      <c r="K294" s="9" t="inlineStr">
        <is>
          <t>Đã đối chiếu</t>
        </is>
      </c>
      <c r="L294" s="10" t="n"/>
      <c r="M294" s="12" t="inlineStr">
        <is>
          <t>Bản đồ</t>
        </is>
      </c>
      <c r="N294" s="13" t="n"/>
      <c r="O294" s="14" t="n"/>
      <c r="P294" s="14" t="n"/>
      <c r="Q294" s="13" t="n"/>
      <c r="R294" s="15" t="n"/>
      <c r="S294" s="13" t="n"/>
      <c r="T294" s="13" t="n"/>
      <c r="U294" s="16">
        <f>IF(AND(ISNUMBER(O294),ISNUMBER(P294)),ROUND(SQRT(((P294-J294)*111320*COS(RADIANS(I294)))^2+((O294-I294)*110540)^2),0),"")</f>
        <v/>
      </c>
      <c r="V294" s="17">
        <f>IF(N294="","",IF(N294="Sửa vị trí",IF(OR(O294="",P294=""),"Thiếu vĩ độ / kinh độ mới",IF(OR(O294&lt;12.5,O294&gt;15,P294&lt;107,P294&gt;109.6),"Toạ độ ngoài Gia Lai (đảo vĩ/kinh độ?)",IF(Q294="","Chọn cách xác định",IF(U294&gt;20000,"Dời hơn 20 km – kiểm tra lại","OK")))),IF(AND(N294&lt;&gt;"Sửa vị trí",OR(O294&lt;&gt;"",P294&lt;&gt;"")),"Có toạ độ mới nhưng kết quả không phải Sửa vị trí","OK")))</f>
        <v/>
      </c>
    </row>
    <row r="295">
      <c r="A295" s="9" t="n">
        <v>291</v>
      </c>
      <c r="B295" s="9" t="inlineStr">
        <is>
          <t>2bb1db05-a7b5-9a80-2c36-d5e535bf7d57</t>
        </is>
      </c>
      <c r="C295" s="9" t="inlineStr">
        <is>
          <t>Trung bình</t>
        </is>
      </c>
      <c r="D295" s="10" t="inlineStr">
        <is>
          <t>Khách Sạn Tây Đô</t>
        </is>
      </c>
      <c r="E295" s="9" t="inlineStr">
        <is>
          <t>Khách sạn</t>
        </is>
      </c>
      <c r="F295" s="9" t="inlineStr">
        <is>
          <t>OpenStreetMap</t>
        </is>
      </c>
      <c r="G295" s="10" t="inlineStr">
        <is>
          <t>Phường Thống Nhất, Gia Lai</t>
        </is>
      </c>
      <c r="H295" s="9" t="inlineStr">
        <is>
          <t>Phường Thống Nhất</t>
        </is>
      </c>
      <c r="I295" s="11" t="n">
        <v>14.004752</v>
      </c>
      <c r="J295" s="11" t="n">
        <v>107.994981</v>
      </c>
      <c r="K295" s="9" t="inlineStr">
        <is>
          <t>Đã đối chiếu</t>
        </is>
      </c>
      <c r="L295" s="10" t="n"/>
      <c r="M295" s="12" t="inlineStr">
        <is>
          <t>Bản đồ</t>
        </is>
      </c>
      <c r="N295" s="13" t="n"/>
      <c r="O295" s="14" t="n"/>
      <c r="P295" s="14" t="n"/>
      <c r="Q295" s="13" t="n"/>
      <c r="R295" s="15" t="n"/>
      <c r="S295" s="13" t="n"/>
      <c r="T295" s="13" t="n"/>
      <c r="U295" s="16">
        <f>IF(AND(ISNUMBER(O295),ISNUMBER(P295)),ROUND(SQRT(((P295-J295)*111320*COS(RADIANS(I295)))^2+((O295-I295)*110540)^2),0),"")</f>
        <v/>
      </c>
      <c r="V295" s="17">
        <f>IF(N295="","",IF(N295="Sửa vị trí",IF(OR(O295="",P295=""),"Thiếu vĩ độ / kinh độ mới",IF(OR(O295&lt;12.5,O295&gt;15,P295&lt;107,P295&gt;109.6),"Toạ độ ngoài Gia Lai (đảo vĩ/kinh độ?)",IF(Q295="","Chọn cách xác định",IF(U295&gt;20000,"Dời hơn 20 km – kiểm tra lại","OK")))),IF(AND(N295&lt;&gt;"Sửa vị trí",OR(O295&lt;&gt;"",P295&lt;&gt;"")),"Có toạ độ mới nhưng kết quả không phải Sửa vị trí","OK")))</f>
        <v/>
      </c>
    </row>
    <row r="296">
      <c r="A296" s="9" t="n">
        <v>292</v>
      </c>
      <c r="B296" s="9" t="inlineStr">
        <is>
          <t>32d35a47-93e7-8402-9fa7-ed51a4f30de9</t>
        </is>
      </c>
      <c r="C296" s="9" t="inlineStr">
        <is>
          <t>Trung bình</t>
        </is>
      </c>
      <c r="D296" s="10" t="inlineStr">
        <is>
          <t>BIDV</t>
        </is>
      </c>
      <c r="E296" s="9" t="inlineStr">
        <is>
          <t>Ngân hàng</t>
        </is>
      </c>
      <c r="F296" s="9" t="inlineStr">
        <is>
          <t>OpenStreetMap</t>
        </is>
      </c>
      <c r="G296" s="10" t="inlineStr">
        <is>
          <t>168 Trần Phú, Phường Bình Định, Gia Lai</t>
        </is>
      </c>
      <c r="H296" s="9" t="inlineStr">
        <is>
          <t>Phường Bình Định</t>
        </is>
      </c>
      <c r="I296" s="11" t="n">
        <v>13.888449</v>
      </c>
      <c r="J296" s="11" t="n">
        <v>109.113018</v>
      </c>
      <c r="K296" s="9" t="inlineStr">
        <is>
          <t>Đã đối chiếu</t>
        </is>
      </c>
      <c r="L296" s="10" t="n"/>
      <c r="M296" s="12" t="inlineStr">
        <is>
          <t>Bản đồ</t>
        </is>
      </c>
      <c r="N296" s="13" t="n"/>
      <c r="O296" s="14" t="n"/>
      <c r="P296" s="14" t="n"/>
      <c r="Q296" s="13" t="n"/>
      <c r="R296" s="15" t="n"/>
      <c r="S296" s="13" t="n"/>
      <c r="T296" s="13" t="n"/>
      <c r="U296" s="16">
        <f>IF(AND(ISNUMBER(O296),ISNUMBER(P296)),ROUND(SQRT(((P296-J296)*111320*COS(RADIANS(I296)))^2+((O296-I296)*110540)^2),0),"")</f>
        <v/>
      </c>
      <c r="V296" s="17">
        <f>IF(N296="","",IF(N296="Sửa vị trí",IF(OR(O296="",P296=""),"Thiếu vĩ độ / kinh độ mới",IF(OR(O296&lt;12.5,O296&gt;15,P296&lt;107,P296&gt;109.6),"Toạ độ ngoài Gia Lai (đảo vĩ/kinh độ?)",IF(Q296="","Chọn cách xác định",IF(U296&gt;20000,"Dời hơn 20 km – kiểm tra lại","OK")))),IF(AND(N296&lt;&gt;"Sửa vị trí",OR(O296&lt;&gt;"",P296&lt;&gt;"")),"Có toạ độ mới nhưng kết quả không phải Sửa vị trí","OK")))</f>
        <v/>
      </c>
    </row>
    <row r="297">
      <c r="A297" s="9" t="n">
        <v>293</v>
      </c>
      <c r="B297" s="9" t="inlineStr">
        <is>
          <t>9e169726-2850-7961-d7f2-ba370f9a2b6a</t>
        </is>
      </c>
      <c r="C297" s="9" t="inlineStr">
        <is>
          <t>Trung bình</t>
        </is>
      </c>
      <c r="D297" s="10" t="inlineStr">
        <is>
          <t>Vietcombank</t>
        </is>
      </c>
      <c r="E297" s="9" t="inlineStr">
        <is>
          <t>Ngân hàng</t>
        </is>
      </c>
      <c r="F297" s="9" t="inlineStr">
        <is>
          <t>OpenStreetMap</t>
        </is>
      </c>
      <c r="G297" s="10" t="inlineStr">
        <is>
          <t>256 Trần Phú, Phường Bình Định, Gia Lai</t>
        </is>
      </c>
      <c r="H297" s="9" t="inlineStr">
        <is>
          <t>Phường Bình Định</t>
        </is>
      </c>
      <c r="I297" s="11" t="n">
        <v>13.889095</v>
      </c>
      <c r="J297" s="11" t="n">
        <v>109.113241</v>
      </c>
      <c r="K297" s="9" t="inlineStr">
        <is>
          <t>Đã đối chiếu</t>
        </is>
      </c>
      <c r="L297" s="10" t="n"/>
      <c r="M297" s="12" t="inlineStr">
        <is>
          <t>Bản đồ</t>
        </is>
      </c>
      <c r="N297" s="13" t="n"/>
      <c r="O297" s="14" t="n"/>
      <c r="P297" s="14" t="n"/>
      <c r="Q297" s="13" t="n"/>
      <c r="R297" s="15" t="n"/>
      <c r="S297" s="13" t="n"/>
      <c r="T297" s="13" t="n"/>
      <c r="U297" s="16">
        <f>IF(AND(ISNUMBER(O297),ISNUMBER(P297)),ROUND(SQRT(((P297-J297)*111320*COS(RADIANS(I297)))^2+((O297-I297)*110540)^2),0),"")</f>
        <v/>
      </c>
      <c r="V297" s="17">
        <f>IF(N297="","",IF(N297="Sửa vị trí",IF(OR(O297="",P297=""),"Thiếu vĩ độ / kinh độ mới",IF(OR(O297&lt;12.5,O297&gt;15,P297&lt;107,P297&gt;109.6),"Toạ độ ngoài Gia Lai (đảo vĩ/kinh độ?)",IF(Q297="","Chọn cách xác định",IF(U297&gt;20000,"Dời hơn 20 km – kiểm tra lại","OK")))),IF(AND(N297&lt;&gt;"Sửa vị trí",OR(O297&lt;&gt;"",P297&lt;&gt;"")),"Có toạ độ mới nhưng kết quả không phải Sửa vị trí","OK")))</f>
        <v/>
      </c>
    </row>
    <row r="298">
      <c r="A298" s="9" t="n">
        <v>294</v>
      </c>
      <c r="B298" s="9" t="inlineStr">
        <is>
          <t>e437519b-9126-dbac-0a3c-b661fd626770</t>
        </is>
      </c>
      <c r="C298" s="9" t="inlineStr">
        <is>
          <t>Trung bình</t>
        </is>
      </c>
      <c r="D298" s="10" t="inlineStr">
        <is>
          <t>Ngân Hàng Nông Nghiệp Và Phát Triển Nông Thôn @ Chi Nhánh Diên Hồng</t>
        </is>
      </c>
      <c r="E298" s="9" t="inlineStr">
        <is>
          <t>Ngân hàng</t>
        </is>
      </c>
      <c r="F298" s="9" t="inlineStr">
        <is>
          <t>OpenStreetMap</t>
        </is>
      </c>
      <c r="G298" s="10" t="inlineStr">
        <is>
          <t>Phường Diên Hồng, Gia Lai</t>
        </is>
      </c>
      <c r="H298" s="9" t="inlineStr">
        <is>
          <t>Phường Diên Hồng</t>
        </is>
      </c>
      <c r="I298" s="11" t="n">
        <v>13.97687</v>
      </c>
      <c r="J298" s="11" t="n">
        <v>107.990679</v>
      </c>
      <c r="K298" s="9" t="inlineStr">
        <is>
          <t>Đã đối chiếu</t>
        </is>
      </c>
      <c r="L298" s="10" t="n"/>
      <c r="M298" s="12" t="inlineStr">
        <is>
          <t>Bản đồ</t>
        </is>
      </c>
      <c r="N298" s="13" t="n"/>
      <c r="O298" s="14" t="n"/>
      <c r="P298" s="14" t="n"/>
      <c r="Q298" s="13" t="n"/>
      <c r="R298" s="15" t="n"/>
      <c r="S298" s="13" t="n"/>
      <c r="T298" s="13" t="n"/>
      <c r="U298" s="16">
        <f>IF(AND(ISNUMBER(O298),ISNUMBER(P298)),ROUND(SQRT(((P298-J298)*111320*COS(RADIANS(I298)))^2+((O298-I298)*110540)^2),0),"")</f>
        <v/>
      </c>
      <c r="V298" s="17">
        <f>IF(N298="","",IF(N298="Sửa vị trí",IF(OR(O298="",P298=""),"Thiếu vĩ độ / kinh độ mới",IF(OR(O298&lt;12.5,O298&gt;15,P298&lt;107,P298&gt;109.6),"Toạ độ ngoài Gia Lai (đảo vĩ/kinh độ?)",IF(Q298="","Chọn cách xác định",IF(U298&gt;20000,"Dời hơn 20 km – kiểm tra lại","OK")))),IF(AND(N298&lt;&gt;"Sửa vị trí",OR(O298&lt;&gt;"",P298&lt;&gt;"")),"Có toạ độ mới nhưng kết quả không phải Sửa vị trí","OK")))</f>
        <v/>
      </c>
    </row>
    <row r="299">
      <c r="A299" s="9" t="n">
        <v>295</v>
      </c>
      <c r="B299" s="9" t="inlineStr">
        <is>
          <t>0e4e12e3-8661-9dc4-dd6b-33ffe476f4d9</t>
        </is>
      </c>
      <c r="C299" s="9" t="inlineStr">
        <is>
          <t>Trung bình</t>
        </is>
      </c>
      <c r="D299" s="10" t="inlineStr">
        <is>
          <t>BIDV</t>
        </is>
      </c>
      <c r="E299" s="9" t="inlineStr">
        <is>
          <t>Ngân hàng</t>
        </is>
      </c>
      <c r="F299" s="9" t="inlineStr">
        <is>
          <t>OpenStreetMap</t>
        </is>
      </c>
      <c r="G299" s="10" t="inlineStr">
        <is>
          <t>Nguyễn Tất Thành, Phường Pleiku, Gia Lai</t>
        </is>
      </c>
      <c r="H299" s="9" t="inlineStr">
        <is>
          <t>Phường Pleiku</t>
        </is>
      </c>
      <c r="I299" s="11" t="n">
        <v>13.985977</v>
      </c>
      <c r="J299" s="11" t="n">
        <v>108.00737</v>
      </c>
      <c r="K299" s="9" t="inlineStr">
        <is>
          <t>Đã đối chiếu</t>
        </is>
      </c>
      <c r="L299" s="10" t="n"/>
      <c r="M299" s="12" t="inlineStr">
        <is>
          <t>Bản đồ</t>
        </is>
      </c>
      <c r="N299" s="13" t="n"/>
      <c r="O299" s="14" t="n"/>
      <c r="P299" s="14" t="n"/>
      <c r="Q299" s="13" t="n"/>
      <c r="R299" s="15" t="n"/>
      <c r="S299" s="13" t="n"/>
      <c r="T299" s="13" t="n"/>
      <c r="U299" s="16">
        <f>IF(AND(ISNUMBER(O299),ISNUMBER(P299)),ROUND(SQRT(((P299-J299)*111320*COS(RADIANS(I299)))^2+((O299-I299)*110540)^2),0),"")</f>
        <v/>
      </c>
      <c r="V299" s="17">
        <f>IF(N299="","",IF(N299="Sửa vị trí",IF(OR(O299="",P299=""),"Thiếu vĩ độ / kinh độ mới",IF(OR(O299&lt;12.5,O299&gt;15,P299&lt;107,P299&gt;109.6),"Toạ độ ngoài Gia Lai (đảo vĩ/kinh độ?)",IF(Q299="","Chọn cách xác định",IF(U299&gt;20000,"Dời hơn 20 km – kiểm tra lại","OK")))),IF(AND(N299&lt;&gt;"Sửa vị trí",OR(O299&lt;&gt;"",P299&lt;&gt;"")),"Có toạ độ mới nhưng kết quả không phải Sửa vị trí","OK")))</f>
        <v/>
      </c>
    </row>
    <row r="300">
      <c r="A300" s="9" t="n">
        <v>296</v>
      </c>
      <c r="B300" s="9" t="inlineStr">
        <is>
          <t>3cf4b5f9-90f6-eb5a-d683-0bb20eed6e63</t>
        </is>
      </c>
      <c r="C300" s="9" t="inlineStr">
        <is>
          <t>Trung bình</t>
        </is>
      </c>
      <c r="D300" s="10" t="inlineStr">
        <is>
          <t>BIDV</t>
        </is>
      </c>
      <c r="E300" s="9" t="inlineStr">
        <is>
          <t>Ngân hàng</t>
        </is>
      </c>
      <c r="F300" s="9" t="inlineStr">
        <is>
          <t>OpenStreetMap</t>
        </is>
      </c>
      <c r="G300" s="10" t="inlineStr">
        <is>
          <t>72 Lê Duẩn, Phường Quy Nhơn, Gia Lai</t>
        </is>
      </c>
      <c r="H300" s="9" t="inlineStr">
        <is>
          <t>Phường Quy Nhơn</t>
        </is>
      </c>
      <c r="I300" s="11" t="n">
        <v>13.767364</v>
      </c>
      <c r="J300" s="11" t="n">
        <v>109.220744</v>
      </c>
      <c r="K300" s="9" t="inlineStr">
        <is>
          <t>Đã đối chiếu</t>
        </is>
      </c>
      <c r="L300" s="10" t="n"/>
      <c r="M300" s="12" t="inlineStr">
        <is>
          <t>Bản đồ</t>
        </is>
      </c>
      <c r="N300" s="13" t="n"/>
      <c r="O300" s="14" t="n"/>
      <c r="P300" s="14" t="n"/>
      <c r="Q300" s="13" t="n"/>
      <c r="R300" s="15" t="n"/>
      <c r="S300" s="13" t="n"/>
      <c r="T300" s="13" t="n"/>
      <c r="U300" s="16">
        <f>IF(AND(ISNUMBER(O300),ISNUMBER(P300)),ROUND(SQRT(((P300-J300)*111320*COS(RADIANS(I300)))^2+((O300-I300)*110540)^2),0),"")</f>
        <v/>
      </c>
      <c r="V300" s="17">
        <f>IF(N300="","",IF(N300="Sửa vị trí",IF(OR(O300="",P300=""),"Thiếu vĩ độ / kinh độ mới",IF(OR(O300&lt;12.5,O300&gt;15,P300&lt;107,P300&gt;109.6),"Toạ độ ngoài Gia Lai (đảo vĩ/kinh độ?)",IF(Q300="","Chọn cách xác định",IF(U300&gt;20000,"Dời hơn 20 km – kiểm tra lại","OK")))),IF(AND(N300&lt;&gt;"Sửa vị trí",OR(O300&lt;&gt;"",P300&lt;&gt;"")),"Có toạ độ mới nhưng kết quả không phải Sửa vị trí","OK")))</f>
        <v/>
      </c>
    </row>
    <row r="301">
      <c r="A301" s="9" t="n">
        <v>297</v>
      </c>
      <c r="B301" s="9" t="inlineStr">
        <is>
          <t>4486b892-7acb-207d-37a2-2e63b52b3b8e</t>
        </is>
      </c>
      <c r="C301" s="9" t="inlineStr">
        <is>
          <t>Trung bình</t>
        </is>
      </c>
      <c r="D301" s="10" t="inlineStr">
        <is>
          <t>BIDV</t>
        </is>
      </c>
      <c r="E301" s="9" t="inlineStr">
        <is>
          <t>Ngân hàng</t>
        </is>
      </c>
      <c r="F301" s="9" t="inlineStr">
        <is>
          <t>OpenStreetMap</t>
        </is>
      </c>
      <c r="G301" s="10" t="inlineStr">
        <is>
          <t>72 Lê Duẩn, Phường Quy Nhơn, Gia Lai</t>
        </is>
      </c>
      <c r="H301" s="9" t="inlineStr">
        <is>
          <t>Phường Quy Nhơn</t>
        </is>
      </c>
      <c r="I301" s="11" t="n">
        <v>13.767369</v>
      </c>
      <c r="J301" s="11" t="n">
        <v>109.220755</v>
      </c>
      <c r="K301" s="9" t="inlineStr">
        <is>
          <t>Đã đối chiếu</t>
        </is>
      </c>
      <c r="L301" s="10" t="n"/>
      <c r="M301" s="12" t="inlineStr">
        <is>
          <t>Bản đồ</t>
        </is>
      </c>
      <c r="N301" s="13" t="n"/>
      <c r="O301" s="14" t="n"/>
      <c r="P301" s="14" t="n"/>
      <c r="Q301" s="13" t="n"/>
      <c r="R301" s="15" t="n"/>
      <c r="S301" s="13" t="n"/>
      <c r="T301" s="13" t="n"/>
      <c r="U301" s="16">
        <f>IF(AND(ISNUMBER(O301),ISNUMBER(P301)),ROUND(SQRT(((P301-J301)*111320*COS(RADIANS(I301)))^2+((O301-I301)*110540)^2),0),"")</f>
        <v/>
      </c>
      <c r="V301" s="17">
        <f>IF(N301="","",IF(N301="Sửa vị trí",IF(OR(O301="",P301=""),"Thiếu vĩ độ / kinh độ mới",IF(OR(O301&lt;12.5,O301&gt;15,P301&lt;107,P301&gt;109.6),"Toạ độ ngoài Gia Lai (đảo vĩ/kinh độ?)",IF(Q301="","Chọn cách xác định",IF(U301&gt;20000,"Dời hơn 20 km – kiểm tra lại","OK")))),IF(AND(N301&lt;&gt;"Sửa vị trí",OR(O301&lt;&gt;"",P301&lt;&gt;"")),"Có toạ độ mới nhưng kết quả không phải Sửa vị trí","OK")))</f>
        <v/>
      </c>
    </row>
    <row r="302">
      <c r="A302" s="9" t="n">
        <v>298</v>
      </c>
      <c r="B302" s="9" t="inlineStr">
        <is>
          <t>7791720b-94f8-8732-4c45-020dec8f6975</t>
        </is>
      </c>
      <c r="C302" s="9" t="inlineStr">
        <is>
          <t>Trung bình</t>
        </is>
      </c>
      <c r="D302" s="10" t="inlineStr">
        <is>
          <t>VietinBank</t>
        </is>
      </c>
      <c r="E302" s="9" t="inlineStr">
        <is>
          <t>Ngân hàng</t>
        </is>
      </c>
      <c r="F302" s="9" t="inlineStr">
        <is>
          <t>OpenStreetMap</t>
        </is>
      </c>
      <c r="G302" s="10" t="inlineStr">
        <is>
          <t>Phường Quy Nhơn Nam, Gia Lai</t>
        </is>
      </c>
      <c r="H302" s="9" t="inlineStr">
        <is>
          <t>Phường Quy Nhơn Nam</t>
        </is>
      </c>
      <c r="I302" s="11" t="n">
        <v>13.749947</v>
      </c>
      <c r="J302" s="11" t="n">
        <v>109.211906</v>
      </c>
      <c r="K302" s="9" t="inlineStr">
        <is>
          <t>Đã đối chiếu</t>
        </is>
      </c>
      <c r="L302" s="10" t="n"/>
      <c r="M302" s="12" t="inlineStr">
        <is>
          <t>Bản đồ</t>
        </is>
      </c>
      <c r="N302" s="13" t="n"/>
      <c r="O302" s="14" t="n"/>
      <c r="P302" s="14" t="n"/>
      <c r="Q302" s="13" t="n"/>
      <c r="R302" s="15" t="n"/>
      <c r="S302" s="13" t="n"/>
      <c r="T302" s="13" t="n"/>
      <c r="U302" s="16">
        <f>IF(AND(ISNUMBER(O302),ISNUMBER(P302)),ROUND(SQRT(((P302-J302)*111320*COS(RADIANS(I302)))^2+((O302-I302)*110540)^2),0),"")</f>
        <v/>
      </c>
      <c r="V302" s="17">
        <f>IF(N302="","",IF(N302="Sửa vị trí",IF(OR(O302="",P302=""),"Thiếu vĩ độ / kinh độ mới",IF(OR(O302&lt;12.5,O302&gt;15,P302&lt;107,P302&gt;109.6),"Toạ độ ngoài Gia Lai (đảo vĩ/kinh độ?)",IF(Q302="","Chọn cách xác định",IF(U302&gt;20000,"Dời hơn 20 km – kiểm tra lại","OK")))),IF(AND(N302&lt;&gt;"Sửa vị trí",OR(O302&lt;&gt;"",P302&lt;&gt;"")),"Có toạ độ mới nhưng kết quả không phải Sửa vị trí","OK")))</f>
        <v/>
      </c>
    </row>
    <row r="303">
      <c r="A303" s="9" t="n">
        <v>299</v>
      </c>
      <c r="B303" s="9" t="inlineStr">
        <is>
          <t>78969abf-f797-82c1-9955-125f0c87a771</t>
        </is>
      </c>
      <c r="C303" s="9" t="inlineStr">
        <is>
          <t>Trung bình</t>
        </is>
      </c>
      <c r="D303" s="10" t="inlineStr">
        <is>
          <t>Ngân Hàng Nông Nghiệp &amp; Phát Triển Nông Thôn Việt Nam Agribank</t>
        </is>
      </c>
      <c r="E303" s="9" t="inlineStr">
        <is>
          <t>Ngân hàng</t>
        </is>
      </c>
      <c r="F303" s="9" t="inlineStr">
        <is>
          <t>OpenStreetMap</t>
        </is>
      </c>
      <c r="G303" s="10" t="inlineStr">
        <is>
          <t>99 Phạm Văn Đồng, Phường Thống Nhất, Gia Lai</t>
        </is>
      </c>
      <c r="H303" s="9" t="inlineStr">
        <is>
          <t>Phường Thống Nhất</t>
        </is>
      </c>
      <c r="I303" s="11" t="n">
        <v>13.995564</v>
      </c>
      <c r="J303" s="11" t="n">
        <v>107.998273</v>
      </c>
      <c r="K303" s="9" t="inlineStr">
        <is>
          <t>Đã đối chiếu</t>
        </is>
      </c>
      <c r="L303" s="10" t="n"/>
      <c r="M303" s="12" t="inlineStr">
        <is>
          <t>Bản đồ</t>
        </is>
      </c>
      <c r="N303" s="13" t="n"/>
      <c r="O303" s="14" t="n"/>
      <c r="P303" s="14" t="n"/>
      <c r="Q303" s="13" t="n"/>
      <c r="R303" s="15" t="n"/>
      <c r="S303" s="13" t="n"/>
      <c r="T303" s="13" t="n"/>
      <c r="U303" s="16">
        <f>IF(AND(ISNUMBER(O303),ISNUMBER(P303)),ROUND(SQRT(((P303-J303)*111320*COS(RADIANS(I303)))^2+((O303-I303)*110540)^2),0),"")</f>
        <v/>
      </c>
      <c r="V303" s="17">
        <f>IF(N303="","",IF(N303="Sửa vị trí",IF(OR(O303="",P303=""),"Thiếu vĩ độ / kinh độ mới",IF(OR(O303&lt;12.5,O303&gt;15,P303&lt;107,P303&gt;109.6),"Toạ độ ngoài Gia Lai (đảo vĩ/kinh độ?)",IF(Q303="","Chọn cách xác định",IF(U303&gt;20000,"Dời hơn 20 km – kiểm tra lại","OK")))),IF(AND(N303&lt;&gt;"Sửa vị trí",OR(O303&lt;&gt;"",P303&lt;&gt;"")),"Có toạ độ mới nhưng kết quả không phải Sửa vị trí","OK")))</f>
        <v/>
      </c>
    </row>
    <row r="304">
      <c r="A304" s="9" t="n">
        <v>300</v>
      </c>
      <c r="B304" s="9" t="inlineStr">
        <is>
          <t>69f5ac64-305d-238d-023f-9e83ceff46bf</t>
        </is>
      </c>
      <c r="C304" s="9" t="inlineStr">
        <is>
          <t>Trung bình</t>
        </is>
      </c>
      <c r="D304" s="10" t="inlineStr">
        <is>
          <t>Agribank</t>
        </is>
      </c>
      <c r="E304" s="9" t="inlineStr">
        <is>
          <t>Ngân hàng</t>
        </is>
      </c>
      <c r="F304" s="9" t="inlineStr">
        <is>
          <t>OpenStreetMap</t>
        </is>
      </c>
      <c r="G304" s="10" t="inlineStr">
        <is>
          <t>792 Đường Hùng Vương, Xã Chư Sê, Gia Lai</t>
        </is>
      </c>
      <c r="H304" s="9" t="inlineStr">
        <is>
          <t>Xã Chư Sê</t>
        </is>
      </c>
      <c r="I304" s="11" t="n">
        <v>13.696572</v>
      </c>
      <c r="J304" s="11" t="n">
        <v>108.075336</v>
      </c>
      <c r="K304" s="9" t="inlineStr">
        <is>
          <t>Đã đối chiếu</t>
        </is>
      </c>
      <c r="L304" s="10" t="n"/>
      <c r="M304" s="12" t="inlineStr">
        <is>
          <t>Bản đồ</t>
        </is>
      </c>
      <c r="N304" s="13" t="n"/>
      <c r="O304" s="14" t="n"/>
      <c r="P304" s="14" t="n"/>
      <c r="Q304" s="13" t="n"/>
      <c r="R304" s="15" t="n"/>
      <c r="S304" s="13" t="n"/>
      <c r="T304" s="13" t="n"/>
      <c r="U304" s="16">
        <f>IF(AND(ISNUMBER(O304),ISNUMBER(P304)),ROUND(SQRT(((P304-J304)*111320*COS(RADIANS(I304)))^2+((O304-I304)*110540)^2),0),"")</f>
        <v/>
      </c>
      <c r="V304" s="17">
        <f>IF(N304="","",IF(N304="Sửa vị trí",IF(OR(O304="",P304=""),"Thiếu vĩ độ / kinh độ mới",IF(OR(O304&lt;12.5,O304&gt;15,P304&lt;107,P304&gt;109.6),"Toạ độ ngoài Gia Lai (đảo vĩ/kinh độ?)",IF(Q304="","Chọn cách xác định",IF(U304&gt;20000,"Dời hơn 20 km – kiểm tra lại","OK")))),IF(AND(N304&lt;&gt;"Sửa vị trí",OR(O304&lt;&gt;"",P304&lt;&gt;"")),"Có toạ độ mới nhưng kết quả không phải Sửa vị trí","OK")))</f>
        <v/>
      </c>
    </row>
    <row r="305">
      <c r="A305" s="9" t="n">
        <v>301</v>
      </c>
      <c r="B305" s="9" t="inlineStr">
        <is>
          <t>97c6f512-99fa-af90-319a-e6b5dc371123</t>
        </is>
      </c>
      <c r="C305" s="9" t="inlineStr">
        <is>
          <t>Trung bình</t>
        </is>
      </c>
      <c r="D305" s="10" t="inlineStr">
        <is>
          <t>BIDV</t>
        </is>
      </c>
      <c r="E305" s="9" t="inlineStr">
        <is>
          <t>Ngân hàng</t>
        </is>
      </c>
      <c r="F305" s="9" t="inlineStr">
        <is>
          <t>OpenStreetMap</t>
        </is>
      </c>
      <c r="G305" s="10" t="inlineStr">
        <is>
          <t>802 Đường Hùng Vương, Xã Chư Sê, Gia Lai</t>
        </is>
      </c>
      <c r="H305" s="9" t="inlineStr">
        <is>
          <t>Xã Chư Sê</t>
        </is>
      </c>
      <c r="I305" s="11" t="n">
        <v>13.695918</v>
      </c>
      <c r="J305" s="11" t="n">
        <v>108.075839</v>
      </c>
      <c r="K305" s="9" t="inlineStr">
        <is>
          <t>Đã đối chiếu</t>
        </is>
      </c>
      <c r="L305" s="10" t="n"/>
      <c r="M305" s="12" t="inlineStr">
        <is>
          <t>Bản đồ</t>
        </is>
      </c>
      <c r="N305" s="13" t="n"/>
      <c r="O305" s="14" t="n"/>
      <c r="P305" s="14" t="n"/>
      <c r="Q305" s="13" t="n"/>
      <c r="R305" s="15" t="n"/>
      <c r="S305" s="13" t="n"/>
      <c r="T305" s="13" t="n"/>
      <c r="U305" s="16">
        <f>IF(AND(ISNUMBER(O305),ISNUMBER(P305)),ROUND(SQRT(((P305-J305)*111320*COS(RADIANS(I305)))^2+((O305-I305)*110540)^2),0),"")</f>
        <v/>
      </c>
      <c r="V305" s="17">
        <f>IF(N305="","",IF(N305="Sửa vị trí",IF(OR(O305="",P305=""),"Thiếu vĩ độ / kinh độ mới",IF(OR(O305&lt;12.5,O305&gt;15,P305&lt;107,P305&gt;109.6),"Toạ độ ngoài Gia Lai (đảo vĩ/kinh độ?)",IF(Q305="","Chọn cách xác định",IF(U305&gt;20000,"Dời hơn 20 km – kiểm tra lại","OK")))),IF(AND(N305&lt;&gt;"Sửa vị trí",OR(O305&lt;&gt;"",P305&lt;&gt;"")),"Có toạ độ mới nhưng kết quả không phải Sửa vị trí","OK")))</f>
        <v/>
      </c>
    </row>
    <row r="306">
      <c r="A306" s="9" t="n">
        <v>302</v>
      </c>
      <c r="B306" s="9" t="inlineStr">
        <is>
          <t>9ed6f6a1-dd51-e017-8e9c-579e9846a050</t>
        </is>
      </c>
      <c r="C306" s="9" t="inlineStr">
        <is>
          <t>Trung bình</t>
        </is>
      </c>
      <c r="D306" s="10" t="inlineStr">
        <is>
          <t>BIDV</t>
        </is>
      </c>
      <c r="E306" s="9" t="inlineStr">
        <is>
          <t>Ngân hàng</t>
        </is>
      </c>
      <c r="F306" s="9" t="inlineStr">
        <is>
          <t>OpenStreetMap</t>
        </is>
      </c>
      <c r="G306" s="10" t="inlineStr">
        <is>
          <t>796 Đường Hùng Vương, Xã Chư Sê, Gia Lai</t>
        </is>
      </c>
      <c r="H306" s="9" t="inlineStr">
        <is>
          <t>Xã Chư Sê</t>
        </is>
      </c>
      <c r="I306" s="11" t="n">
        <v>13.696231</v>
      </c>
      <c r="J306" s="11" t="n">
        <v>108.075673</v>
      </c>
      <c r="K306" s="9" t="inlineStr">
        <is>
          <t>Đã đối chiếu</t>
        </is>
      </c>
      <c r="L306" s="10" t="n"/>
      <c r="M306" s="12" t="inlineStr">
        <is>
          <t>Bản đồ</t>
        </is>
      </c>
      <c r="N306" s="13" t="n"/>
      <c r="O306" s="14" t="n"/>
      <c r="P306" s="14" t="n"/>
      <c r="Q306" s="13" t="n"/>
      <c r="R306" s="15" t="n"/>
      <c r="S306" s="13" t="n"/>
      <c r="T306" s="13" t="n"/>
      <c r="U306" s="16">
        <f>IF(AND(ISNUMBER(O306),ISNUMBER(P306)),ROUND(SQRT(((P306-J306)*111320*COS(RADIANS(I306)))^2+((O306-I306)*110540)^2),0),"")</f>
        <v/>
      </c>
      <c r="V306" s="17">
        <f>IF(N306="","",IF(N306="Sửa vị trí",IF(OR(O306="",P306=""),"Thiếu vĩ độ / kinh độ mới",IF(OR(O306&lt;12.5,O306&gt;15,P306&lt;107,P306&gt;109.6),"Toạ độ ngoài Gia Lai (đảo vĩ/kinh độ?)",IF(Q306="","Chọn cách xác định",IF(U306&gt;20000,"Dời hơn 20 km – kiểm tra lại","OK")))),IF(AND(N306&lt;&gt;"Sửa vị trí",OR(O306&lt;&gt;"",P306&lt;&gt;"")),"Có toạ độ mới nhưng kết quả không phải Sửa vị trí","OK")))</f>
        <v/>
      </c>
    </row>
    <row r="307">
      <c r="A307" s="9" t="n">
        <v>303</v>
      </c>
      <c r="B307" s="9" t="inlineStr">
        <is>
          <t>97899e35-b278-06c4-c614-8988c76ecc0e</t>
        </is>
      </c>
      <c r="C307" s="9" t="inlineStr">
        <is>
          <t>Trung bình</t>
        </is>
      </c>
      <c r="D307" s="10" t="inlineStr">
        <is>
          <t>VietinBank</t>
        </is>
      </c>
      <c r="E307" s="9" t="inlineStr">
        <is>
          <t>Ngân hàng</t>
        </is>
      </c>
      <c r="F307" s="9" t="inlineStr">
        <is>
          <t>OpenStreetMap</t>
        </is>
      </c>
      <c r="G307" s="10" t="inlineStr">
        <is>
          <t>800 Đường Hùng Vương, Xã Chư Sê, Gia Lai</t>
        </is>
      </c>
      <c r="H307" s="9" t="inlineStr">
        <is>
          <t>Xã Chư Sê</t>
        </is>
      </c>
      <c r="I307" s="11" t="n">
        <v>13.696052</v>
      </c>
      <c r="J307" s="11" t="n">
        <v>108.075655</v>
      </c>
      <c r="K307" s="9" t="inlineStr">
        <is>
          <t>Đã đối chiếu</t>
        </is>
      </c>
      <c r="L307" s="10" t="n"/>
      <c r="M307" s="12" t="inlineStr">
        <is>
          <t>Bản đồ</t>
        </is>
      </c>
      <c r="N307" s="13" t="n"/>
      <c r="O307" s="14" t="n"/>
      <c r="P307" s="14" t="n"/>
      <c r="Q307" s="13" t="n"/>
      <c r="R307" s="15" t="n"/>
      <c r="S307" s="13" t="n"/>
      <c r="T307" s="13" t="n"/>
      <c r="U307" s="16">
        <f>IF(AND(ISNUMBER(O307),ISNUMBER(P307)),ROUND(SQRT(((P307-J307)*111320*COS(RADIANS(I307)))^2+((O307-I307)*110540)^2),0),"")</f>
        <v/>
      </c>
      <c r="V307" s="17">
        <f>IF(N307="","",IF(N307="Sửa vị trí",IF(OR(O307="",P307=""),"Thiếu vĩ độ / kinh độ mới",IF(OR(O307&lt;12.5,O307&gt;15,P307&lt;107,P307&gt;109.6),"Toạ độ ngoài Gia Lai (đảo vĩ/kinh độ?)",IF(Q307="","Chọn cách xác định",IF(U307&gt;20000,"Dời hơn 20 km – kiểm tra lại","OK")))),IF(AND(N307&lt;&gt;"Sửa vị trí",OR(O307&lt;&gt;"",P307&lt;&gt;"")),"Có toạ độ mới nhưng kết quả không phải Sửa vị trí","OK")))</f>
        <v/>
      </c>
    </row>
    <row r="308">
      <c r="A308" s="9" t="n">
        <v>304</v>
      </c>
      <c r="B308" s="9" t="inlineStr">
        <is>
          <t>49604e08-5739-10d7-45a7-79e235449eae</t>
        </is>
      </c>
      <c r="C308" s="9" t="inlineStr">
        <is>
          <t>Trung bình</t>
        </is>
      </c>
      <c r="D308" s="10" t="inlineStr">
        <is>
          <t>Agribank Hoài Ân</t>
        </is>
      </c>
      <c r="E308" s="9" t="inlineStr">
        <is>
          <t>Ngân hàng</t>
        </is>
      </c>
      <c r="F308" s="9" t="inlineStr">
        <is>
          <t>OpenStreetMap</t>
        </is>
      </c>
      <c r="G308" s="10" t="inlineStr">
        <is>
          <t>Xã Hoài Ân, Gia Lai</t>
        </is>
      </c>
      <c r="H308" s="9" t="inlineStr">
        <is>
          <t>Xã Hoài Ân</t>
        </is>
      </c>
      <c r="I308" s="11" t="n">
        <v>14.363662</v>
      </c>
      <c r="J308" s="11" t="n">
        <v>108.968481</v>
      </c>
      <c r="K308" s="9" t="inlineStr">
        <is>
          <t>Đã đối chiếu</t>
        </is>
      </c>
      <c r="L308" s="10" t="n"/>
      <c r="M308" s="12" t="inlineStr">
        <is>
          <t>Bản đồ</t>
        </is>
      </c>
      <c r="N308" s="13" t="n"/>
      <c r="O308" s="14" t="n"/>
      <c r="P308" s="14" t="n"/>
      <c r="Q308" s="13" t="n"/>
      <c r="R308" s="15" t="n"/>
      <c r="S308" s="13" t="n"/>
      <c r="T308" s="13" t="n"/>
      <c r="U308" s="16">
        <f>IF(AND(ISNUMBER(O308),ISNUMBER(P308)),ROUND(SQRT(((P308-J308)*111320*COS(RADIANS(I308)))^2+((O308-I308)*110540)^2),0),"")</f>
        <v/>
      </c>
      <c r="V308" s="17">
        <f>IF(N308="","",IF(N308="Sửa vị trí",IF(OR(O308="",P308=""),"Thiếu vĩ độ / kinh độ mới",IF(OR(O308&lt;12.5,O308&gt;15,P308&lt;107,P308&gt;109.6),"Toạ độ ngoài Gia Lai (đảo vĩ/kinh độ?)",IF(Q308="","Chọn cách xác định",IF(U308&gt;20000,"Dời hơn 20 km – kiểm tra lại","OK")))),IF(AND(N308&lt;&gt;"Sửa vị trí",OR(O308&lt;&gt;"",P308&lt;&gt;"")),"Có toạ độ mới nhưng kết quả không phải Sửa vị trí","OK")))</f>
        <v/>
      </c>
    </row>
    <row r="309">
      <c r="A309" s="9" t="n">
        <v>305</v>
      </c>
      <c r="B309" s="9" t="inlineStr">
        <is>
          <t>2e638a6d-7e4f-b8da-8a2f-2550e578fef9</t>
        </is>
      </c>
      <c r="C309" s="9" t="inlineStr">
        <is>
          <t>Trung bình</t>
        </is>
      </c>
      <c r="D309" s="10" t="inlineStr">
        <is>
          <t>Agribank</t>
        </is>
      </c>
      <c r="E309" s="9" t="inlineStr">
        <is>
          <t>Ngân hàng</t>
        </is>
      </c>
      <c r="F309" s="9" t="inlineStr">
        <is>
          <t>OpenStreetMap</t>
        </is>
      </c>
      <c r="G309" s="10" t="inlineStr">
        <is>
          <t>Xã Ia Grai, Gia Lai</t>
        </is>
      </c>
      <c r="H309" s="9" t="inlineStr">
        <is>
          <t>Xã Ia Grai</t>
        </is>
      </c>
      <c r="I309" s="11" t="n">
        <v>13.962127</v>
      </c>
      <c r="J309" s="11" t="n">
        <v>107.845972</v>
      </c>
      <c r="K309" s="9" t="inlineStr">
        <is>
          <t>Đã đối chiếu</t>
        </is>
      </c>
      <c r="L309" s="10" t="n"/>
      <c r="M309" s="12" t="inlineStr">
        <is>
          <t>Bản đồ</t>
        </is>
      </c>
      <c r="N309" s="13" t="n"/>
      <c r="O309" s="14" t="n"/>
      <c r="P309" s="14" t="n"/>
      <c r="Q309" s="13" t="n"/>
      <c r="R309" s="15" t="n"/>
      <c r="S309" s="13" t="n"/>
      <c r="T309" s="13" t="n"/>
      <c r="U309" s="16">
        <f>IF(AND(ISNUMBER(O309),ISNUMBER(P309)),ROUND(SQRT(((P309-J309)*111320*COS(RADIANS(I309)))^2+((O309-I309)*110540)^2),0),"")</f>
        <v/>
      </c>
      <c r="V309" s="17">
        <f>IF(N309="","",IF(N309="Sửa vị trí",IF(OR(O309="",P309=""),"Thiếu vĩ độ / kinh độ mới",IF(OR(O309&lt;12.5,O309&gt;15,P309&lt;107,P309&gt;109.6),"Toạ độ ngoài Gia Lai (đảo vĩ/kinh độ?)",IF(Q309="","Chọn cách xác định",IF(U309&gt;20000,"Dời hơn 20 km – kiểm tra lại","OK")))),IF(AND(N309&lt;&gt;"Sửa vị trí",OR(O309&lt;&gt;"",P309&lt;&gt;"")),"Có toạ độ mới nhưng kết quả không phải Sửa vị trí","OK")))</f>
        <v/>
      </c>
    </row>
    <row r="310">
      <c r="A310" s="9" t="n">
        <v>306</v>
      </c>
      <c r="B310" s="9" t="inlineStr">
        <is>
          <t>dd27a4f1-e018-5ca2-1ac6-f97d80e6f9db</t>
        </is>
      </c>
      <c r="C310" s="9" t="inlineStr">
        <is>
          <t>Trung bình</t>
        </is>
      </c>
      <c r="D310" s="10" t="inlineStr">
        <is>
          <t>VietinBank</t>
        </is>
      </c>
      <c r="E310" s="9" t="inlineStr">
        <is>
          <t>Ngân hàng</t>
        </is>
      </c>
      <c r="F310" s="9" t="inlineStr">
        <is>
          <t>OpenStreetMap</t>
        </is>
      </c>
      <c r="G310" s="10" t="inlineStr">
        <is>
          <t>Xã Ia Grai, Gia Lai</t>
        </is>
      </c>
      <c r="H310" s="9" t="inlineStr">
        <is>
          <t>Xã Ia Grai</t>
        </is>
      </c>
      <c r="I310" s="11" t="n">
        <v>13.962366</v>
      </c>
      <c r="J310" s="11" t="n">
        <v>107.838488</v>
      </c>
      <c r="K310" s="9" t="inlineStr">
        <is>
          <t>Đã đối chiếu</t>
        </is>
      </c>
      <c r="L310" s="10" t="n"/>
      <c r="M310" s="12" t="inlineStr">
        <is>
          <t>Bản đồ</t>
        </is>
      </c>
      <c r="N310" s="13" t="n"/>
      <c r="O310" s="14" t="n"/>
      <c r="P310" s="14" t="n"/>
      <c r="Q310" s="13" t="n"/>
      <c r="R310" s="15" t="n"/>
      <c r="S310" s="13" t="n"/>
      <c r="T310" s="13" t="n"/>
      <c r="U310" s="16">
        <f>IF(AND(ISNUMBER(O310),ISNUMBER(P310)),ROUND(SQRT(((P310-J310)*111320*COS(RADIANS(I310)))^2+((O310-I310)*110540)^2),0),"")</f>
        <v/>
      </c>
      <c r="V310" s="17">
        <f>IF(N310="","",IF(N310="Sửa vị trí",IF(OR(O310="",P310=""),"Thiếu vĩ độ / kinh độ mới",IF(OR(O310&lt;12.5,O310&gt;15,P310&lt;107,P310&gt;109.6),"Toạ độ ngoài Gia Lai (đảo vĩ/kinh độ?)",IF(Q310="","Chọn cách xác định",IF(U310&gt;20000,"Dời hơn 20 km – kiểm tra lại","OK")))),IF(AND(N310&lt;&gt;"Sửa vị trí",OR(O310&lt;&gt;"",P310&lt;&gt;"")),"Có toạ độ mới nhưng kết quả không phải Sửa vị trí","OK")))</f>
        <v/>
      </c>
    </row>
    <row r="311">
      <c r="A311" s="9" t="n">
        <v>307</v>
      </c>
      <c r="B311" s="9" t="inlineStr">
        <is>
          <t>f8bf8a1f-87ad-0c9e-faba-a98c7a7ebda9</t>
        </is>
      </c>
      <c r="C311" s="9" t="inlineStr">
        <is>
          <t>Trung bình</t>
        </is>
      </c>
      <c r="D311" s="10" t="inlineStr">
        <is>
          <t>Agribank</t>
        </is>
      </c>
      <c r="E311" s="9" t="inlineStr">
        <is>
          <t>Ngân hàng</t>
        </is>
      </c>
      <c r="F311" s="9" t="inlineStr">
        <is>
          <t>OpenStreetMap</t>
        </is>
      </c>
      <c r="G311" s="10" t="inlineStr">
        <is>
          <t>279 Đường Trần Hưng Đạo, Xã Mang Yang, Gia Lai</t>
        </is>
      </c>
      <c r="H311" s="9" t="inlineStr">
        <is>
          <t>Xã Mang Yang</t>
        </is>
      </c>
      <c r="I311" s="11" t="n">
        <v>14.040833</v>
      </c>
      <c r="J311" s="11" t="n">
        <v>108.252419</v>
      </c>
      <c r="K311" s="9" t="inlineStr">
        <is>
          <t>Đã đối chiếu</t>
        </is>
      </c>
      <c r="L311" s="10" t="n"/>
      <c r="M311" s="12" t="inlineStr">
        <is>
          <t>Bản đồ</t>
        </is>
      </c>
      <c r="N311" s="13" t="n"/>
      <c r="O311" s="14" t="n"/>
      <c r="P311" s="14" t="n"/>
      <c r="Q311" s="13" t="n"/>
      <c r="R311" s="15" t="n"/>
      <c r="S311" s="13" t="n"/>
      <c r="T311" s="13" t="n"/>
      <c r="U311" s="16">
        <f>IF(AND(ISNUMBER(O311),ISNUMBER(P311)),ROUND(SQRT(((P311-J311)*111320*COS(RADIANS(I311)))^2+((O311-I311)*110540)^2),0),"")</f>
        <v/>
      </c>
      <c r="V311" s="17">
        <f>IF(N311="","",IF(N311="Sửa vị trí",IF(OR(O311="",P311=""),"Thiếu vĩ độ / kinh độ mới",IF(OR(O311&lt;12.5,O311&gt;15,P311&lt;107,P311&gt;109.6),"Toạ độ ngoài Gia Lai (đảo vĩ/kinh độ?)",IF(Q311="","Chọn cách xác định",IF(U311&gt;20000,"Dời hơn 20 km – kiểm tra lại","OK")))),IF(AND(N311&lt;&gt;"Sửa vị trí",OR(O311&lt;&gt;"",P311&lt;&gt;"")),"Có toạ độ mới nhưng kết quả không phải Sửa vị trí","OK")))</f>
        <v/>
      </c>
    </row>
    <row r="312">
      <c r="A312" s="9" t="n">
        <v>308</v>
      </c>
      <c r="B312" s="9" t="inlineStr">
        <is>
          <t>024aec84-2311-6396-8339-105a85e8b800</t>
        </is>
      </c>
      <c r="C312" s="9" t="inlineStr">
        <is>
          <t>Trung bình</t>
        </is>
      </c>
      <c r="D312" s="10" t="inlineStr">
        <is>
          <t>Ngân Hàng Nông Nghiệp &amp; Phát Triển Nông Thôn Việt Nam (Agribank) - Cn Phù Mỹ Bình Định</t>
        </is>
      </c>
      <c r="E312" s="9" t="inlineStr">
        <is>
          <t>Ngân hàng</t>
        </is>
      </c>
      <c r="F312" s="9" t="inlineStr">
        <is>
          <t>OpenStreetMap</t>
        </is>
      </c>
      <c r="G312" s="10" t="inlineStr">
        <is>
          <t>Xã Phù Mỹ, Gia Lai</t>
        </is>
      </c>
      <c r="H312" s="9" t="inlineStr">
        <is>
          <t>Xã Phù Mỹ</t>
        </is>
      </c>
      <c r="I312" s="11" t="n">
        <v>14.171974</v>
      </c>
      <c r="J312" s="11" t="n">
        <v>109.049926</v>
      </c>
      <c r="K312" s="9" t="inlineStr">
        <is>
          <t>Đã đối chiếu</t>
        </is>
      </c>
      <c r="L312" s="10" t="n"/>
      <c r="M312" s="12" t="inlineStr">
        <is>
          <t>Bản đồ</t>
        </is>
      </c>
      <c r="N312" s="13" t="n"/>
      <c r="O312" s="14" t="n"/>
      <c r="P312" s="14" t="n"/>
      <c r="Q312" s="13" t="n"/>
      <c r="R312" s="15" t="n"/>
      <c r="S312" s="13" t="n"/>
      <c r="T312" s="13" t="n"/>
      <c r="U312" s="16">
        <f>IF(AND(ISNUMBER(O312),ISNUMBER(P312)),ROUND(SQRT(((P312-J312)*111320*COS(RADIANS(I312)))^2+((O312-I312)*110540)^2),0),"")</f>
        <v/>
      </c>
      <c r="V312" s="17">
        <f>IF(N312="","",IF(N312="Sửa vị trí",IF(OR(O312="",P312=""),"Thiếu vĩ độ / kinh độ mới",IF(OR(O312&lt;12.5,O312&gt;15,P312&lt;107,P312&gt;109.6),"Toạ độ ngoài Gia Lai (đảo vĩ/kinh độ?)",IF(Q312="","Chọn cách xác định",IF(U312&gt;20000,"Dời hơn 20 km – kiểm tra lại","OK")))),IF(AND(N312&lt;&gt;"Sửa vị trí",OR(O312&lt;&gt;"",P312&lt;&gt;"")),"Có toạ độ mới nhưng kết quả không phải Sửa vị trí","OK")))</f>
        <v/>
      </c>
    </row>
    <row r="313">
      <c r="A313" s="9" t="n">
        <v>309</v>
      </c>
      <c r="B313" s="9" t="inlineStr">
        <is>
          <t>48d62635-b1f8-2515-4c71-f6ee1ee2e33c</t>
        </is>
      </c>
      <c r="C313" s="9" t="inlineStr">
        <is>
          <t>Trung bình</t>
        </is>
      </c>
      <c r="D313" s="10" t="inlineStr">
        <is>
          <t>Ngân Hàng TMCP Công Thương Việt Nam (VietinBank)</t>
        </is>
      </c>
      <c r="E313" s="9" t="inlineStr">
        <is>
          <t>Ngân hàng</t>
        </is>
      </c>
      <c r="F313" s="9" t="inlineStr">
        <is>
          <t>OpenStreetMap</t>
        </is>
      </c>
      <c r="G313" s="10" t="inlineStr">
        <is>
          <t>Xã Phù Mỹ, Gia Lai</t>
        </is>
      </c>
      <c r="H313" s="9" t="inlineStr">
        <is>
          <t>Xã Phù Mỹ</t>
        </is>
      </c>
      <c r="I313" s="11" t="n">
        <v>14.173918</v>
      </c>
      <c r="J313" s="11" t="n">
        <v>109.051076</v>
      </c>
      <c r="K313" s="9" t="inlineStr">
        <is>
          <t>Đã đối chiếu</t>
        </is>
      </c>
      <c r="L313" s="10" t="n"/>
      <c r="M313" s="12" t="inlineStr">
        <is>
          <t>Bản đồ</t>
        </is>
      </c>
      <c r="N313" s="13" t="n"/>
      <c r="O313" s="14" t="n"/>
      <c r="P313" s="14" t="n"/>
      <c r="Q313" s="13" t="n"/>
      <c r="R313" s="15" t="n"/>
      <c r="S313" s="13" t="n"/>
      <c r="T313" s="13" t="n"/>
      <c r="U313" s="16">
        <f>IF(AND(ISNUMBER(O313),ISNUMBER(P313)),ROUND(SQRT(((P313-J313)*111320*COS(RADIANS(I313)))^2+((O313-I313)*110540)^2),0),"")</f>
        <v/>
      </c>
      <c r="V313" s="17">
        <f>IF(N313="","",IF(N313="Sửa vị trí",IF(OR(O313="",P313=""),"Thiếu vĩ độ / kinh độ mới",IF(OR(O313&lt;12.5,O313&gt;15,P313&lt;107,P313&gt;109.6),"Toạ độ ngoài Gia Lai (đảo vĩ/kinh độ?)",IF(Q313="","Chọn cách xác định",IF(U313&gt;20000,"Dời hơn 20 km – kiểm tra lại","OK")))),IF(AND(N313&lt;&gt;"Sửa vị trí",OR(O313&lt;&gt;"",P313&lt;&gt;"")),"Có toạ độ mới nhưng kết quả không phải Sửa vị trí","OK")))</f>
        <v/>
      </c>
    </row>
    <row r="314">
      <c r="A314" s="9" t="n">
        <v>310</v>
      </c>
      <c r="B314" s="9" t="inlineStr">
        <is>
          <t>d343c1b2-9546-11a5-ad9c-922044857aa3</t>
        </is>
      </c>
      <c r="C314" s="9" t="inlineStr">
        <is>
          <t>Trung bình</t>
        </is>
      </c>
      <c r="D314" s="10" t="inlineStr">
        <is>
          <t>Ngân Hàng TMCP Đầu Tư Và Phát Triển Việt Nam (BIDV)</t>
        </is>
      </c>
      <c r="E314" s="9" t="inlineStr">
        <is>
          <t>Ngân hàng</t>
        </is>
      </c>
      <c r="F314" s="9" t="inlineStr">
        <is>
          <t>OpenStreetMap</t>
        </is>
      </c>
      <c r="G314" s="10" t="inlineStr">
        <is>
          <t>Xã Phù Mỹ, Gia Lai</t>
        </is>
      </c>
      <c r="H314" s="9" t="inlineStr">
        <is>
          <t>Xã Phù Mỹ</t>
        </is>
      </c>
      <c r="I314" s="11" t="n">
        <v>14.17577</v>
      </c>
      <c r="J314" s="11" t="n">
        <v>109.051498</v>
      </c>
      <c r="K314" s="9" t="inlineStr">
        <is>
          <t>Đã đối chiếu</t>
        </is>
      </c>
      <c r="L314" s="10" t="n"/>
      <c r="M314" s="12" t="inlineStr">
        <is>
          <t>Bản đồ</t>
        </is>
      </c>
      <c r="N314" s="13" t="n"/>
      <c r="O314" s="14" t="n"/>
      <c r="P314" s="14" t="n"/>
      <c r="Q314" s="13" t="n"/>
      <c r="R314" s="15" t="n"/>
      <c r="S314" s="13" t="n"/>
      <c r="T314" s="13" t="n"/>
      <c r="U314" s="16">
        <f>IF(AND(ISNUMBER(O314),ISNUMBER(P314)),ROUND(SQRT(((P314-J314)*111320*COS(RADIANS(I314)))^2+((O314-I314)*110540)^2),0),"")</f>
        <v/>
      </c>
      <c r="V314" s="17">
        <f>IF(N314="","",IF(N314="Sửa vị trí",IF(OR(O314="",P314=""),"Thiếu vĩ độ / kinh độ mới",IF(OR(O314&lt;12.5,O314&gt;15,P314&lt;107,P314&gt;109.6),"Toạ độ ngoài Gia Lai (đảo vĩ/kinh độ?)",IF(Q314="","Chọn cách xác định",IF(U314&gt;20000,"Dời hơn 20 km – kiểm tra lại","OK")))),IF(AND(N314&lt;&gt;"Sửa vị trí",OR(O314&lt;&gt;"",P314&lt;&gt;"")),"Có toạ độ mới nhưng kết quả không phải Sửa vị trí","OK")))</f>
        <v/>
      </c>
    </row>
    <row r="315">
      <c r="A315" s="9" t="n">
        <v>311</v>
      </c>
      <c r="B315" s="9" t="inlineStr">
        <is>
          <t>f891728a-ff7a-bfb8-cf94-9eaf3bcc600e</t>
        </is>
      </c>
      <c r="C315" s="9" t="inlineStr">
        <is>
          <t>Trung bình</t>
        </is>
      </c>
      <c r="D315" s="10" t="inlineStr">
        <is>
          <t>BIDV</t>
        </is>
      </c>
      <c r="E315" s="9" t="inlineStr">
        <is>
          <t>Ngân hàng</t>
        </is>
      </c>
      <c r="F315" s="9" t="inlineStr">
        <is>
          <t>OpenStreetMap</t>
        </is>
      </c>
      <c r="G315" s="10" t="inlineStr">
        <is>
          <t>Xã Tuy Phước, Gia Lai</t>
        </is>
      </c>
      <c r="H315" s="9" t="inlineStr">
        <is>
          <t>Xã Tuy Phước</t>
        </is>
      </c>
      <c r="I315" s="11" t="n">
        <v>13.808651</v>
      </c>
      <c r="J315" s="11" t="n">
        <v>109.146959</v>
      </c>
      <c r="K315" s="9" t="inlineStr">
        <is>
          <t>Đã đối chiếu</t>
        </is>
      </c>
      <c r="L315" s="10" t="n"/>
      <c r="M315" s="12" t="inlineStr">
        <is>
          <t>Bản đồ</t>
        </is>
      </c>
      <c r="N315" s="13" t="n"/>
      <c r="O315" s="14" t="n"/>
      <c r="P315" s="14" t="n"/>
      <c r="Q315" s="13" t="n"/>
      <c r="R315" s="15" t="n"/>
      <c r="S315" s="13" t="n"/>
      <c r="T315" s="13" t="n"/>
      <c r="U315" s="16">
        <f>IF(AND(ISNUMBER(O315),ISNUMBER(P315)),ROUND(SQRT(((P315-J315)*111320*COS(RADIANS(I315)))^2+((O315-I315)*110540)^2),0),"")</f>
        <v/>
      </c>
      <c r="V315" s="17">
        <f>IF(N315="","",IF(N315="Sửa vị trí",IF(OR(O315="",P315=""),"Thiếu vĩ độ / kinh độ mới",IF(OR(O315&lt;12.5,O315&gt;15,P315&lt;107,P315&gt;109.6),"Toạ độ ngoài Gia Lai (đảo vĩ/kinh độ?)",IF(Q315="","Chọn cách xác định",IF(U315&gt;20000,"Dời hơn 20 km – kiểm tra lại","OK")))),IF(AND(N315&lt;&gt;"Sửa vị trí",OR(O315&lt;&gt;"",P315&lt;&gt;"")),"Có toạ độ mới nhưng kết quả không phải Sửa vị trí","OK")))</f>
        <v/>
      </c>
    </row>
    <row r="316">
      <c r="A316" s="9" t="n">
        <v>312</v>
      </c>
      <c r="B316" s="9" t="inlineStr">
        <is>
          <t>43e87712-28c6-6d1c-229f-7893692af205</t>
        </is>
      </c>
      <c r="C316" s="9" t="inlineStr">
        <is>
          <t>Trung bình</t>
        </is>
      </c>
      <c r="D316" s="10" t="inlineStr">
        <is>
          <t>Agribank</t>
        </is>
      </c>
      <c r="E316" s="9" t="inlineStr">
        <is>
          <t>Ngân hàng</t>
        </is>
      </c>
      <c r="F316" s="9" t="inlineStr">
        <is>
          <t>OpenStreetMap</t>
        </is>
      </c>
      <c r="G316" s="10" t="inlineStr">
        <is>
          <t>Xã Tuy Phước Tây, Gia Lai</t>
        </is>
      </c>
      <c r="H316" s="9" t="inlineStr">
        <is>
          <t>Xã Tuy Phước Tây</t>
        </is>
      </c>
      <c r="I316" s="11" t="n">
        <v>13.799908</v>
      </c>
      <c r="J316" s="11" t="n">
        <v>109.141457</v>
      </c>
      <c r="K316" s="9" t="inlineStr">
        <is>
          <t>Đã đối chiếu</t>
        </is>
      </c>
      <c r="L316" s="10" t="n"/>
      <c r="M316" s="12" t="inlineStr">
        <is>
          <t>Bản đồ</t>
        </is>
      </c>
      <c r="N316" s="13" t="n"/>
      <c r="O316" s="14" t="n"/>
      <c r="P316" s="14" t="n"/>
      <c r="Q316" s="13" t="n"/>
      <c r="R316" s="15" t="n"/>
      <c r="S316" s="13" t="n"/>
      <c r="T316" s="13" t="n"/>
      <c r="U316" s="16">
        <f>IF(AND(ISNUMBER(O316),ISNUMBER(P316)),ROUND(SQRT(((P316-J316)*111320*COS(RADIANS(I316)))^2+((O316-I316)*110540)^2),0),"")</f>
        <v/>
      </c>
      <c r="V316" s="17">
        <f>IF(N316="","",IF(N316="Sửa vị trí",IF(OR(O316="",P316=""),"Thiếu vĩ độ / kinh độ mới",IF(OR(O316&lt;12.5,O316&gt;15,P316&lt;107,P316&gt;109.6),"Toạ độ ngoài Gia Lai (đảo vĩ/kinh độ?)",IF(Q316="","Chọn cách xác định",IF(U316&gt;20000,"Dời hơn 20 km – kiểm tra lại","OK")))),IF(AND(N316&lt;&gt;"Sửa vị trí",OR(O316&lt;&gt;"",P316&lt;&gt;"")),"Có toạ độ mới nhưng kết quả không phải Sửa vị trí","OK")))</f>
        <v/>
      </c>
    </row>
    <row r="317">
      <c r="A317" s="9" t="n">
        <v>313</v>
      </c>
      <c r="B317" s="9" t="inlineStr">
        <is>
          <t>3c935570-5b90-4227-e72a-cd08e078748b</t>
        </is>
      </c>
      <c r="C317" s="9" t="inlineStr">
        <is>
          <t>Trung bình</t>
        </is>
      </c>
      <c r="D317" s="10" t="inlineStr">
        <is>
          <t>Ngân hàng Agribank Vĩnh Thạnh</t>
        </is>
      </c>
      <c r="E317" s="9" t="inlineStr">
        <is>
          <t>Ngân hàng</t>
        </is>
      </c>
      <c r="F317" s="9" t="inlineStr">
        <is>
          <t>OpenStreetMap</t>
        </is>
      </c>
      <c r="G317" s="10" t="inlineStr">
        <is>
          <t>Xã Vĩnh Thạnh, Gia Lai</t>
        </is>
      </c>
      <c r="H317" s="9" t="inlineStr">
        <is>
          <t>Xã Vĩnh Thạnh</t>
        </is>
      </c>
      <c r="I317" s="11" t="n">
        <v>14.097778</v>
      </c>
      <c r="J317" s="11" t="n">
        <v>108.786774</v>
      </c>
      <c r="K317" s="9" t="inlineStr">
        <is>
          <t>Đã đối chiếu</t>
        </is>
      </c>
      <c r="L317" s="10" t="n"/>
      <c r="M317" s="12" t="inlineStr">
        <is>
          <t>Bản đồ</t>
        </is>
      </c>
      <c r="N317" s="13" t="n"/>
      <c r="O317" s="14" t="n"/>
      <c r="P317" s="14" t="n"/>
      <c r="Q317" s="13" t="n"/>
      <c r="R317" s="15" t="n"/>
      <c r="S317" s="13" t="n"/>
      <c r="T317" s="13" t="n"/>
      <c r="U317" s="16">
        <f>IF(AND(ISNUMBER(O317),ISNUMBER(P317)),ROUND(SQRT(((P317-J317)*111320*COS(RADIANS(I317)))^2+((O317-I317)*110540)^2),0),"")</f>
        <v/>
      </c>
      <c r="V317" s="17">
        <f>IF(N317="","",IF(N317="Sửa vị trí",IF(OR(O317="",P317=""),"Thiếu vĩ độ / kinh độ mới",IF(OR(O317&lt;12.5,O317&gt;15,P317&lt;107,P317&gt;109.6),"Toạ độ ngoài Gia Lai (đảo vĩ/kinh độ?)",IF(Q317="","Chọn cách xác định",IF(U317&gt;20000,"Dời hơn 20 km – kiểm tra lại","OK")))),IF(AND(N317&lt;&gt;"Sửa vị trí",OR(O317&lt;&gt;"",P317&lt;&gt;"")),"Có toạ độ mới nhưng kết quả không phải Sửa vị trí","OK")))</f>
        <v/>
      </c>
    </row>
    <row r="318">
      <c r="A318" s="9" t="n">
        <v>314</v>
      </c>
      <c r="B318" s="9" t="inlineStr">
        <is>
          <t>e00ca4be-937a-0ddc-f248-adbaf5b4da33</t>
        </is>
      </c>
      <c r="C318" s="9" t="inlineStr">
        <is>
          <t>Trung bình</t>
        </is>
      </c>
      <c r="D318" s="10" t="inlineStr">
        <is>
          <t>Nha Nghi Soe Ham</t>
        </is>
      </c>
      <c r="E318" s="9" t="inlineStr">
        <is>
          <t>Nhà nghỉ</t>
        </is>
      </c>
      <c r="F318" s="9" t="inlineStr">
        <is>
          <t>OpenStreetMap</t>
        </is>
      </c>
      <c r="G318" s="10" t="inlineStr">
        <is>
          <t>Phường Diên Hồng, Gia Lai</t>
        </is>
      </c>
      <c r="H318" s="9" t="inlineStr">
        <is>
          <t>Phường Diên Hồng</t>
        </is>
      </c>
      <c r="I318" s="11" t="n">
        <v>13.96986</v>
      </c>
      <c r="J318" s="11" t="n">
        <v>107.994462</v>
      </c>
      <c r="K318" s="9" t="inlineStr">
        <is>
          <t>Đã đối chiếu</t>
        </is>
      </c>
      <c r="L318" s="10" t="n"/>
      <c r="M318" s="12" t="inlineStr">
        <is>
          <t>Bản đồ</t>
        </is>
      </c>
      <c r="N318" s="13" t="n"/>
      <c r="O318" s="14" t="n"/>
      <c r="P318" s="14" t="n"/>
      <c r="Q318" s="13" t="n"/>
      <c r="R318" s="15" t="n"/>
      <c r="S318" s="13" t="n"/>
      <c r="T318" s="13" t="n"/>
      <c r="U318" s="16">
        <f>IF(AND(ISNUMBER(O318),ISNUMBER(P318)),ROUND(SQRT(((P318-J318)*111320*COS(RADIANS(I318)))^2+((O318-I318)*110540)^2),0),"")</f>
        <v/>
      </c>
      <c r="V318" s="17">
        <f>IF(N318="","",IF(N318="Sửa vị trí",IF(OR(O318="",P318=""),"Thiếu vĩ độ / kinh độ mới",IF(OR(O318&lt;12.5,O318&gt;15,P318&lt;107,P318&gt;109.6),"Toạ độ ngoài Gia Lai (đảo vĩ/kinh độ?)",IF(Q318="","Chọn cách xác định",IF(U318&gt;20000,"Dời hơn 20 km – kiểm tra lại","OK")))),IF(AND(N318&lt;&gt;"Sửa vị trí",OR(O318&lt;&gt;"",P318&lt;&gt;"")),"Có toạ độ mới nhưng kết quả không phải Sửa vị trí","OK")))</f>
        <v/>
      </c>
    </row>
    <row r="319">
      <c r="A319" s="9" t="n">
        <v>315</v>
      </c>
      <c r="B319" s="9" t="inlineStr">
        <is>
          <t>743ee0ab-0bd5-8df8-0b80-ada998fae353</t>
        </is>
      </c>
      <c r="C319" s="9" t="inlineStr">
        <is>
          <t>Trung bình</t>
        </is>
      </c>
      <c r="D319" s="10" t="inlineStr">
        <is>
          <t>Nhà Nghỉ Bình 133</t>
        </is>
      </c>
      <c r="E319" s="9" t="inlineStr">
        <is>
          <t>Nhà nghỉ</t>
        </is>
      </c>
      <c r="F319" s="9" t="inlineStr">
        <is>
          <t>OpenStreetMap</t>
        </is>
      </c>
      <c r="G319" s="10" t="inlineStr">
        <is>
          <t>Phường Diên Hồng, Gia Lai</t>
        </is>
      </c>
      <c r="H319" s="9" t="inlineStr">
        <is>
          <t>Phường Diên Hồng</t>
        </is>
      </c>
      <c r="I319" s="11" t="n">
        <v>13.965428</v>
      </c>
      <c r="J319" s="11" t="n">
        <v>107.991962</v>
      </c>
      <c r="K319" s="9" t="inlineStr">
        <is>
          <t>Đã đối chiếu</t>
        </is>
      </c>
      <c r="L319" s="10" t="n"/>
      <c r="M319" s="12" t="inlineStr">
        <is>
          <t>Bản đồ</t>
        </is>
      </c>
      <c r="N319" s="13" t="n"/>
      <c r="O319" s="14" t="n"/>
      <c r="P319" s="14" t="n"/>
      <c r="Q319" s="13" t="n"/>
      <c r="R319" s="15" t="n"/>
      <c r="S319" s="13" t="n"/>
      <c r="T319" s="13" t="n"/>
      <c r="U319" s="16">
        <f>IF(AND(ISNUMBER(O319),ISNUMBER(P319)),ROUND(SQRT(((P319-J319)*111320*COS(RADIANS(I319)))^2+((O319-I319)*110540)^2),0),"")</f>
        <v/>
      </c>
      <c r="V319" s="17">
        <f>IF(N319="","",IF(N319="Sửa vị trí",IF(OR(O319="",P319=""),"Thiếu vĩ độ / kinh độ mới",IF(OR(O319&lt;12.5,O319&gt;15,P319&lt;107,P319&gt;109.6),"Toạ độ ngoài Gia Lai (đảo vĩ/kinh độ?)",IF(Q319="","Chọn cách xác định",IF(U319&gt;20000,"Dời hơn 20 km – kiểm tra lại","OK")))),IF(AND(N319&lt;&gt;"Sửa vị trí",OR(O319&lt;&gt;"",P319&lt;&gt;"")),"Có toạ độ mới nhưng kết quả không phải Sửa vị trí","OK")))</f>
        <v/>
      </c>
    </row>
    <row r="320">
      <c r="A320" s="9" t="n">
        <v>316</v>
      </c>
      <c r="B320" s="9" t="inlineStr">
        <is>
          <t>848db1a5-73c9-428e-1377-5087ec70ac42</t>
        </is>
      </c>
      <c r="C320" s="9" t="inlineStr">
        <is>
          <t>Trung bình</t>
        </is>
      </c>
      <c r="D320" s="10" t="inlineStr">
        <is>
          <t>Nhà Nghỉ Bình Minh</t>
        </is>
      </c>
      <c r="E320" s="9" t="inlineStr">
        <is>
          <t>Nhà nghỉ</t>
        </is>
      </c>
      <c r="F320" s="9" t="inlineStr">
        <is>
          <t>OpenStreetMap</t>
        </is>
      </c>
      <c r="G320" s="10" t="inlineStr">
        <is>
          <t>Phường Diên Hồng, Gia Lai</t>
        </is>
      </c>
      <c r="H320" s="9" t="inlineStr">
        <is>
          <t>Phường Diên Hồng</t>
        </is>
      </c>
      <c r="I320" s="11" t="n">
        <v>13.968487</v>
      </c>
      <c r="J320" s="11" t="n">
        <v>107.992127</v>
      </c>
      <c r="K320" s="9" t="inlineStr">
        <is>
          <t>Đã đối chiếu</t>
        </is>
      </c>
      <c r="L320" s="10" t="n"/>
      <c r="M320" s="12" t="inlineStr">
        <is>
          <t>Bản đồ</t>
        </is>
      </c>
      <c r="N320" s="13" t="n"/>
      <c r="O320" s="14" t="n"/>
      <c r="P320" s="14" t="n"/>
      <c r="Q320" s="13" t="n"/>
      <c r="R320" s="15" t="n"/>
      <c r="S320" s="13" t="n"/>
      <c r="T320" s="13" t="n"/>
      <c r="U320" s="16">
        <f>IF(AND(ISNUMBER(O320),ISNUMBER(P320)),ROUND(SQRT(((P320-J320)*111320*COS(RADIANS(I320)))^2+((O320-I320)*110540)^2),0),"")</f>
        <v/>
      </c>
      <c r="V320" s="17">
        <f>IF(N320="","",IF(N320="Sửa vị trí",IF(OR(O320="",P320=""),"Thiếu vĩ độ / kinh độ mới",IF(OR(O320&lt;12.5,O320&gt;15,P320&lt;107,P320&gt;109.6),"Toạ độ ngoài Gia Lai (đảo vĩ/kinh độ?)",IF(Q320="","Chọn cách xác định",IF(U320&gt;20000,"Dời hơn 20 km – kiểm tra lại","OK")))),IF(AND(N320&lt;&gt;"Sửa vị trí",OR(O320&lt;&gt;"",P320&lt;&gt;"")),"Có toạ độ mới nhưng kết quả không phải Sửa vị trí","OK")))</f>
        <v/>
      </c>
    </row>
    <row r="321">
      <c r="A321" s="9" t="n">
        <v>317</v>
      </c>
      <c r="B321" s="9" t="inlineStr">
        <is>
          <t>950cfcd9-3bf3-01dd-67e6-5b369e8f27c8</t>
        </is>
      </c>
      <c r="C321" s="9" t="inlineStr">
        <is>
          <t>Trung bình</t>
        </is>
      </c>
      <c r="D321" s="10" t="inlineStr">
        <is>
          <t>Nhà Nghỉ Vân Anh</t>
        </is>
      </c>
      <c r="E321" s="9" t="inlineStr">
        <is>
          <t>Nhà nghỉ</t>
        </is>
      </c>
      <c r="F321" s="9" t="inlineStr">
        <is>
          <t>OpenStreetMap</t>
        </is>
      </c>
      <c r="G321" s="10" t="inlineStr">
        <is>
          <t>Phường Diên Hồng, Gia Lai</t>
        </is>
      </c>
      <c r="H321" s="9" t="inlineStr">
        <is>
          <t>Phường Diên Hồng</t>
        </is>
      </c>
      <c r="I321" s="11" t="n">
        <v>13.978683</v>
      </c>
      <c r="J321" s="11" t="n">
        <v>107.984689</v>
      </c>
      <c r="K321" s="9" t="inlineStr">
        <is>
          <t>Đã đối chiếu</t>
        </is>
      </c>
      <c r="L321" s="10" t="n"/>
      <c r="M321" s="12" t="inlineStr">
        <is>
          <t>Bản đồ</t>
        </is>
      </c>
      <c r="N321" s="13" t="n"/>
      <c r="O321" s="14" t="n"/>
      <c r="P321" s="14" t="n"/>
      <c r="Q321" s="13" t="n"/>
      <c r="R321" s="15" t="n"/>
      <c r="S321" s="13" t="n"/>
      <c r="T321" s="13" t="n"/>
      <c r="U321" s="16">
        <f>IF(AND(ISNUMBER(O321),ISNUMBER(P321)),ROUND(SQRT(((P321-J321)*111320*COS(RADIANS(I321)))^2+((O321-I321)*110540)^2),0),"")</f>
        <v/>
      </c>
      <c r="V321" s="17">
        <f>IF(N321="","",IF(N321="Sửa vị trí",IF(OR(O321="",P321=""),"Thiếu vĩ độ / kinh độ mới",IF(OR(O321&lt;12.5,O321&gt;15,P321&lt;107,P321&gt;109.6),"Toạ độ ngoài Gia Lai (đảo vĩ/kinh độ?)",IF(Q321="","Chọn cách xác định",IF(U321&gt;20000,"Dời hơn 20 km – kiểm tra lại","OK")))),IF(AND(N321&lt;&gt;"Sửa vị trí",OR(O321&lt;&gt;"",P321&lt;&gt;"")),"Có toạ độ mới nhưng kết quả không phải Sửa vị trí","OK")))</f>
        <v/>
      </c>
    </row>
    <row r="322">
      <c r="A322" s="9" t="n">
        <v>318</v>
      </c>
      <c r="B322" s="9" t="inlineStr">
        <is>
          <t>e373e97c-1ce0-4098-b458-2ae9cd648917</t>
        </is>
      </c>
      <c r="C322" s="9" t="inlineStr">
        <is>
          <t>Trung bình</t>
        </is>
      </c>
      <c r="D322" s="10" t="inlineStr">
        <is>
          <t>Dang xua Hotel</t>
        </is>
      </c>
      <c r="E322" s="9" t="inlineStr">
        <is>
          <t>Nhà nghỉ</t>
        </is>
      </c>
      <c r="F322" s="9" t="inlineStr">
        <is>
          <t>OpenStreetMap</t>
        </is>
      </c>
      <c r="G322" s="10" t="inlineStr">
        <is>
          <t>84 Hùng Vương, Phường Pleiku, Gia Lai</t>
        </is>
      </c>
      <c r="H322" s="9" t="inlineStr">
        <is>
          <t>Phường Pleiku</t>
        </is>
      </c>
      <c r="I322" s="11" t="n">
        <v>13.976186</v>
      </c>
      <c r="J322" s="11" t="n">
        <v>108.007167</v>
      </c>
      <c r="K322" s="9" t="inlineStr">
        <is>
          <t>Đã đối chiếu</t>
        </is>
      </c>
      <c r="L322" s="10" t="n"/>
      <c r="M322" s="12" t="inlineStr">
        <is>
          <t>Bản đồ</t>
        </is>
      </c>
      <c r="N322" s="13" t="n"/>
      <c r="O322" s="14" t="n"/>
      <c r="P322" s="14" t="n"/>
      <c r="Q322" s="13" t="n"/>
      <c r="R322" s="15" t="n"/>
      <c r="S322" s="13" t="n"/>
      <c r="T322" s="13" t="n"/>
      <c r="U322" s="16">
        <f>IF(AND(ISNUMBER(O322),ISNUMBER(P322)),ROUND(SQRT(((P322-J322)*111320*COS(RADIANS(I322)))^2+((O322-I322)*110540)^2),0),"")</f>
        <v/>
      </c>
      <c r="V322" s="17">
        <f>IF(N322="","",IF(N322="Sửa vị trí",IF(OR(O322="",P322=""),"Thiếu vĩ độ / kinh độ mới",IF(OR(O322&lt;12.5,O322&gt;15,P322&lt;107,P322&gt;109.6),"Toạ độ ngoài Gia Lai (đảo vĩ/kinh độ?)",IF(Q322="","Chọn cách xác định",IF(U322&gt;20000,"Dời hơn 20 km – kiểm tra lại","OK")))),IF(AND(N322&lt;&gt;"Sửa vị trí",OR(O322&lt;&gt;"",P322&lt;&gt;"")),"Có toạ độ mới nhưng kết quả không phải Sửa vị trí","OK")))</f>
        <v/>
      </c>
    </row>
    <row r="323">
      <c r="A323" s="9" t="n">
        <v>319</v>
      </c>
      <c r="B323" s="9" t="inlineStr">
        <is>
          <t>b0ce7b7b-5c86-9583-20aa-e8fad196decf</t>
        </is>
      </c>
      <c r="C323" s="9" t="inlineStr">
        <is>
          <t>Trung bình</t>
        </is>
      </c>
      <c r="D323" s="10" t="inlineStr">
        <is>
          <t>Nhà Nghỉ Thuỳ Dương</t>
        </is>
      </c>
      <c r="E323" s="9" t="inlineStr">
        <is>
          <t>Nhà nghỉ</t>
        </is>
      </c>
      <c r="F323" s="9" t="inlineStr">
        <is>
          <t>OpenStreetMap</t>
        </is>
      </c>
      <c r="G323" s="10" t="inlineStr">
        <is>
          <t>Trường Chinh, Phường Pleiku, Gia Lai</t>
        </is>
      </c>
      <c r="H323" s="9" t="inlineStr">
        <is>
          <t>Phường Pleiku</t>
        </is>
      </c>
      <c r="I323" s="11" t="n">
        <v>13.97002</v>
      </c>
      <c r="J323" s="11" t="n">
        <v>108.015597</v>
      </c>
      <c r="K323" s="9" t="inlineStr">
        <is>
          <t>Đã đối chiếu</t>
        </is>
      </c>
      <c r="L323" s="10" t="n"/>
      <c r="M323" s="12" t="inlineStr">
        <is>
          <t>Bản đồ</t>
        </is>
      </c>
      <c r="N323" s="13" t="n"/>
      <c r="O323" s="14" t="n"/>
      <c r="P323" s="14" t="n"/>
      <c r="Q323" s="13" t="n"/>
      <c r="R323" s="15" t="n"/>
      <c r="S323" s="13" t="n"/>
      <c r="T323" s="13" t="n"/>
      <c r="U323" s="16">
        <f>IF(AND(ISNUMBER(O323),ISNUMBER(P323)),ROUND(SQRT(((P323-J323)*111320*COS(RADIANS(I323)))^2+((O323-I323)*110540)^2),0),"")</f>
        <v/>
      </c>
      <c r="V323" s="17">
        <f>IF(N323="","",IF(N323="Sửa vị trí",IF(OR(O323="",P323=""),"Thiếu vĩ độ / kinh độ mới",IF(OR(O323&lt;12.5,O323&gt;15,P323&lt;107,P323&gt;109.6),"Toạ độ ngoài Gia Lai (đảo vĩ/kinh độ?)",IF(Q323="","Chọn cách xác định",IF(U323&gt;20000,"Dời hơn 20 km – kiểm tra lại","OK")))),IF(AND(N323&lt;&gt;"Sửa vị trí",OR(O323&lt;&gt;"",P323&lt;&gt;"")),"Có toạ độ mới nhưng kết quả không phải Sửa vị trí","OK")))</f>
        <v/>
      </c>
    </row>
    <row r="324">
      <c r="A324" s="9" t="n">
        <v>320</v>
      </c>
      <c r="B324" s="9" t="inlineStr">
        <is>
          <t>b4429cf4-27c4-dc88-d7b8-2ba75ac19be5</t>
        </is>
      </c>
      <c r="C324" s="9" t="inlineStr">
        <is>
          <t>Trung bình</t>
        </is>
      </c>
      <c r="D324" s="10" t="inlineStr">
        <is>
          <t>Vinh Hoa</t>
        </is>
      </c>
      <c r="E324" s="9" t="inlineStr">
        <is>
          <t>Nhà nghỉ</t>
        </is>
      </c>
      <c r="F324" s="9" t="inlineStr">
        <is>
          <t>OpenStreetMap</t>
        </is>
      </c>
      <c r="G324" s="10" t="inlineStr">
        <is>
          <t>Phường Pleiku, Gia Lai</t>
        </is>
      </c>
      <c r="H324" s="9" t="inlineStr">
        <is>
          <t>Phường Pleiku</t>
        </is>
      </c>
      <c r="I324" s="11" t="n">
        <v>13.973896</v>
      </c>
      <c r="J324" s="11" t="n">
        <v>108.015126</v>
      </c>
      <c r="K324" s="9" t="inlineStr">
        <is>
          <t>Đã đối chiếu</t>
        </is>
      </c>
      <c r="L324" s="10" t="n"/>
      <c r="M324" s="12" t="inlineStr">
        <is>
          <t>Bản đồ</t>
        </is>
      </c>
      <c r="N324" s="13" t="n"/>
      <c r="O324" s="14" t="n"/>
      <c r="P324" s="14" t="n"/>
      <c r="Q324" s="13" t="n"/>
      <c r="R324" s="15" t="n"/>
      <c r="S324" s="13" t="n"/>
      <c r="T324" s="13" t="n"/>
      <c r="U324" s="16">
        <f>IF(AND(ISNUMBER(O324),ISNUMBER(P324)),ROUND(SQRT(((P324-J324)*111320*COS(RADIANS(I324)))^2+((O324-I324)*110540)^2),0),"")</f>
        <v/>
      </c>
      <c r="V324" s="17">
        <f>IF(N324="","",IF(N324="Sửa vị trí",IF(OR(O324="",P324=""),"Thiếu vĩ độ / kinh độ mới",IF(OR(O324&lt;12.5,O324&gt;15,P324&lt;107,P324&gt;109.6),"Toạ độ ngoài Gia Lai (đảo vĩ/kinh độ?)",IF(Q324="","Chọn cách xác định",IF(U324&gt;20000,"Dời hơn 20 km – kiểm tra lại","OK")))),IF(AND(N324&lt;&gt;"Sửa vị trí",OR(O324&lt;&gt;"",P324&lt;&gt;"")),"Có toạ độ mới nhưng kết quả không phải Sửa vị trí","OK")))</f>
        <v/>
      </c>
    </row>
    <row r="325">
      <c r="A325" s="9" t="n">
        <v>321</v>
      </c>
      <c r="B325" s="9" t="inlineStr">
        <is>
          <t>cb63b744-72ef-ede1-c7c1-ddcf5b6e85ad</t>
        </is>
      </c>
      <c r="C325" s="9" t="inlineStr">
        <is>
          <t>Trung bình</t>
        </is>
      </c>
      <c r="D325" s="10" t="inlineStr">
        <is>
          <t>Dong Que Guest House</t>
        </is>
      </c>
      <c r="E325" s="9" t="inlineStr">
        <is>
          <t>Nhà nghỉ</t>
        </is>
      </c>
      <c r="F325" s="9" t="inlineStr">
        <is>
          <t>OpenStreetMap</t>
        </is>
      </c>
      <c r="G325" s="10" t="inlineStr">
        <is>
          <t>Phường Thống Nhất, Gia Lai</t>
        </is>
      </c>
      <c r="H325" s="9" t="inlineStr">
        <is>
          <t>Phường Thống Nhất</t>
        </is>
      </c>
      <c r="I325" s="11" t="n">
        <v>14.015489</v>
      </c>
      <c r="J325" s="11" t="n">
        <v>107.985773</v>
      </c>
      <c r="K325" s="9" t="inlineStr">
        <is>
          <t>Đã đối chiếu</t>
        </is>
      </c>
      <c r="L325" s="10" t="n"/>
      <c r="M325" s="12" t="inlineStr">
        <is>
          <t>Bản đồ</t>
        </is>
      </c>
      <c r="N325" s="13" t="n"/>
      <c r="O325" s="14" t="n"/>
      <c r="P325" s="14" t="n"/>
      <c r="Q325" s="13" t="n"/>
      <c r="R325" s="15" t="n"/>
      <c r="S325" s="13" t="n"/>
      <c r="T325" s="13" t="n"/>
      <c r="U325" s="16">
        <f>IF(AND(ISNUMBER(O325),ISNUMBER(P325)),ROUND(SQRT(((P325-J325)*111320*COS(RADIANS(I325)))^2+((O325-I325)*110540)^2),0),"")</f>
        <v/>
      </c>
      <c r="V325" s="17">
        <f>IF(N325="","",IF(N325="Sửa vị trí",IF(OR(O325="",P325=""),"Thiếu vĩ độ / kinh độ mới",IF(OR(O325&lt;12.5,O325&gt;15,P325&lt;107,P325&gt;109.6),"Toạ độ ngoài Gia Lai (đảo vĩ/kinh độ?)",IF(Q325="","Chọn cách xác định",IF(U325&gt;20000,"Dời hơn 20 km – kiểm tra lại","OK")))),IF(AND(N325&lt;&gt;"Sửa vị trí",OR(O325&lt;&gt;"",P325&lt;&gt;"")),"Có toạ độ mới nhưng kết quả không phải Sửa vị trí","OK")))</f>
        <v/>
      </c>
    </row>
    <row r="326">
      <c r="A326" s="9" t="n">
        <v>322</v>
      </c>
      <c r="B326" s="9" t="inlineStr">
        <is>
          <t>eab23b7b-38f1-544f-44c1-0e13cb1faa64</t>
        </is>
      </c>
      <c r="C326" s="9" t="inlineStr">
        <is>
          <t>Trung bình</t>
        </is>
      </c>
      <c r="D326" s="10" t="inlineStr">
        <is>
          <t>Trạm sạc Vinfast</t>
        </is>
      </c>
      <c r="E326" s="9" t="inlineStr">
        <is>
          <t>Trạm sạc</t>
        </is>
      </c>
      <c r="F326" s="9" t="inlineStr">
        <is>
          <t>OpenStreetMap</t>
        </is>
      </c>
      <c r="G326" s="10" t="inlineStr">
        <is>
          <t>Phường Pleiku, Gia Lai</t>
        </is>
      </c>
      <c r="H326" s="9" t="inlineStr">
        <is>
          <t>Phường Pleiku</t>
        </is>
      </c>
      <c r="I326" s="11" t="n">
        <v>13.978438</v>
      </c>
      <c r="J326" s="11" t="n">
        <v>108.012272</v>
      </c>
      <c r="K326" s="9" t="inlineStr">
        <is>
          <t>Đã đối chiếu</t>
        </is>
      </c>
      <c r="L326" s="10" t="n"/>
      <c r="M326" s="12" t="inlineStr">
        <is>
          <t>Bản đồ</t>
        </is>
      </c>
      <c r="N326" s="13" t="n"/>
      <c r="O326" s="14" t="n"/>
      <c r="P326" s="14" t="n"/>
      <c r="Q326" s="13" t="n"/>
      <c r="R326" s="15" t="n"/>
      <c r="S326" s="13" t="n"/>
      <c r="T326" s="13" t="n"/>
      <c r="U326" s="16">
        <f>IF(AND(ISNUMBER(O326),ISNUMBER(P326)),ROUND(SQRT(((P326-J326)*111320*COS(RADIANS(I326)))^2+((O326-I326)*110540)^2),0),"")</f>
        <v/>
      </c>
      <c r="V326" s="17">
        <f>IF(N326="","",IF(N326="Sửa vị trí",IF(OR(O326="",P326=""),"Thiếu vĩ độ / kinh độ mới",IF(OR(O326&lt;12.5,O326&gt;15,P326&lt;107,P326&gt;109.6),"Toạ độ ngoài Gia Lai (đảo vĩ/kinh độ?)",IF(Q326="","Chọn cách xác định",IF(U326&gt;20000,"Dời hơn 20 km – kiểm tra lại","OK")))),IF(AND(N326&lt;&gt;"Sửa vị trí",OR(O326&lt;&gt;"",P326&lt;&gt;"")),"Có toạ độ mới nhưng kết quả không phải Sửa vị trí","OK")))</f>
        <v/>
      </c>
    </row>
    <row r="327">
      <c r="A327" s="9" t="n">
        <v>323</v>
      </c>
      <c r="B327" s="9" t="inlineStr">
        <is>
          <t>8754824b-8398-fe38-3b35-e4e3dd9ca352</t>
        </is>
      </c>
      <c r="C327" s="9" t="inlineStr">
        <is>
          <t>Trung bình</t>
        </is>
      </c>
      <c r="D327" s="10" t="inlineStr">
        <is>
          <t>Trạm sạc Trạm TBA Tam Quan</t>
        </is>
      </c>
      <c r="E327" s="9" t="inlineStr">
        <is>
          <t>Trạm sạc</t>
        </is>
      </c>
      <c r="F327" s="9" t="inlineStr">
        <is>
          <t>OpenStreetMap</t>
        </is>
      </c>
      <c r="G327" s="10" t="inlineStr">
        <is>
          <t>Phường Tam Quan, Gia Lai</t>
        </is>
      </c>
      <c r="H327" s="9" t="inlineStr">
        <is>
          <t>Phường Tam Quan</t>
        </is>
      </c>
      <c r="I327" s="11" t="n">
        <v>14.554941</v>
      </c>
      <c r="J327" s="11" t="n">
        <v>109.034429</v>
      </c>
      <c r="K327" s="9" t="inlineStr">
        <is>
          <t>Đã đối chiếu</t>
        </is>
      </c>
      <c r="L327" s="10" t="n"/>
      <c r="M327" s="12" t="inlineStr">
        <is>
          <t>Bản đồ</t>
        </is>
      </c>
      <c r="N327" s="13" t="n"/>
      <c r="O327" s="14" t="n"/>
      <c r="P327" s="14" t="n"/>
      <c r="Q327" s="13" t="n"/>
      <c r="R327" s="15" t="n"/>
      <c r="S327" s="13" t="n"/>
      <c r="T327" s="13" t="n"/>
      <c r="U327" s="16">
        <f>IF(AND(ISNUMBER(O327),ISNUMBER(P327)),ROUND(SQRT(((P327-J327)*111320*COS(RADIANS(I327)))^2+((O327-I327)*110540)^2),0),"")</f>
        <v/>
      </c>
      <c r="V327" s="17">
        <f>IF(N327="","",IF(N327="Sửa vị trí",IF(OR(O327="",P327=""),"Thiếu vĩ độ / kinh độ mới",IF(OR(O327&lt;12.5,O327&gt;15,P327&lt;107,P327&gt;109.6),"Toạ độ ngoài Gia Lai (đảo vĩ/kinh độ?)",IF(Q327="","Chọn cách xác định",IF(U327&gt;20000,"Dời hơn 20 km – kiểm tra lại","OK")))),IF(AND(N327&lt;&gt;"Sửa vị trí",OR(O327&lt;&gt;"",P327&lt;&gt;"")),"Có toạ độ mới nhưng kết quả không phải Sửa vị trí","OK")))</f>
        <v/>
      </c>
    </row>
    <row r="328">
      <c r="A328" s="9" t="n">
        <v>324</v>
      </c>
      <c r="B328" s="9" t="inlineStr">
        <is>
          <t>10e225bd-b625-7ad2-1634-c9fa0f094dd0</t>
        </is>
      </c>
      <c r="C328" s="9" t="inlineStr">
        <is>
          <t>Trung bình</t>
        </is>
      </c>
      <c r="D328" s="10" t="inlineStr">
        <is>
          <t>Trạm sạc Vinfast</t>
        </is>
      </c>
      <c r="E328" s="9" t="inlineStr">
        <is>
          <t>Trạm sạc</t>
        </is>
      </c>
      <c r="F328" s="9" t="inlineStr">
        <is>
          <t>OpenStreetMap</t>
        </is>
      </c>
      <c r="G328" s="10" t="inlineStr">
        <is>
          <t>Xã Ia Hrú, Gia Lai</t>
        </is>
      </c>
      <c r="H328" s="9" t="inlineStr">
        <is>
          <t>Xã Ia Hrú</t>
        </is>
      </c>
      <c r="I328" s="11" t="n">
        <v>13.577281</v>
      </c>
      <c r="J328" s="11" t="n">
        <v>108.099922</v>
      </c>
      <c r="K328" s="9" t="inlineStr">
        <is>
          <t>Đã đối chiếu</t>
        </is>
      </c>
      <c r="L328" s="10" t="n"/>
      <c r="M328" s="12" t="inlineStr">
        <is>
          <t>Bản đồ</t>
        </is>
      </c>
      <c r="N328" s="13" t="n"/>
      <c r="O328" s="14" t="n"/>
      <c r="P328" s="14" t="n"/>
      <c r="Q328" s="13" t="n"/>
      <c r="R328" s="15" t="n"/>
      <c r="S328" s="13" t="n"/>
      <c r="T328" s="13" t="n"/>
      <c r="U328" s="16">
        <f>IF(AND(ISNUMBER(O328),ISNUMBER(P328)),ROUND(SQRT(((P328-J328)*111320*COS(RADIANS(I328)))^2+((O328-I328)*110540)^2),0),"")</f>
        <v/>
      </c>
      <c r="V328" s="17">
        <f>IF(N328="","",IF(N328="Sửa vị trí",IF(OR(O328="",P328=""),"Thiếu vĩ độ / kinh độ mới",IF(OR(O328&lt;12.5,O328&gt;15,P328&lt;107,P328&gt;109.6),"Toạ độ ngoài Gia Lai (đảo vĩ/kinh độ?)",IF(Q328="","Chọn cách xác định",IF(U328&gt;20000,"Dời hơn 20 km – kiểm tra lại","OK")))),IF(AND(N328&lt;&gt;"Sửa vị trí",OR(O328&lt;&gt;"",P328&lt;&gt;"")),"Có toạ độ mới nhưng kết quả không phải Sửa vị trí","OK")))</f>
        <v/>
      </c>
    </row>
    <row r="329">
      <c r="A329" s="9" t="n">
        <v>325</v>
      </c>
      <c r="B329" s="9" t="inlineStr">
        <is>
          <t>0651565e-8665-4292-91e2-27d822dc1c22</t>
        </is>
      </c>
      <c r="C329" s="9" t="inlineStr">
        <is>
          <t>Trung bình</t>
        </is>
      </c>
      <c r="D329" s="10" t="inlineStr">
        <is>
          <t>Quảng trường Đại Đoàn Kết</t>
        </is>
      </c>
      <c r="E329" s="9" t="inlineStr">
        <is>
          <t>Địa danh văn hóa</t>
        </is>
      </c>
      <c r="F329" s="9" t="inlineStr">
        <is>
          <t>Dữ liệu gialai-travel</t>
        </is>
      </c>
      <c r="G329" s="10" t="inlineStr">
        <is>
          <t>Đường Trần Hưng Đạo, phường Tây Sơn, TP. Pleiku, Gia Lai</t>
        </is>
      </c>
      <c r="H329" s="9" t="inlineStr">
        <is>
          <t>Phường Pleiku</t>
        </is>
      </c>
      <c r="I329" s="11" t="n">
        <v>13.982935</v>
      </c>
      <c r="J329" s="11" t="n">
        <v>108.005989</v>
      </c>
      <c r="K329" s="9" t="inlineStr">
        <is>
          <t>Đã hiệu chỉnh tự động</t>
        </is>
      </c>
      <c r="L329" s="10" t="inlineStr">
        <is>
          <t>Đã hiệu chỉnh theo OpenStreetMap (node/5997147685), dời 675 m</t>
        </is>
      </c>
      <c r="M329" s="12" t="inlineStr">
        <is>
          <t>Bản đồ</t>
        </is>
      </c>
      <c r="N329" s="13" t="n"/>
      <c r="O329" s="14" t="n"/>
      <c r="P329" s="14" t="n"/>
      <c r="Q329" s="13" t="n"/>
      <c r="R329" s="15" t="n"/>
      <c r="S329" s="13" t="n"/>
      <c r="T329" s="13" t="n"/>
      <c r="U329" s="16">
        <f>IF(AND(ISNUMBER(O329),ISNUMBER(P329)),ROUND(SQRT(((P329-J329)*111320*COS(RADIANS(I329)))^2+((O329-I329)*110540)^2),0),"")</f>
        <v/>
      </c>
      <c r="V329" s="17">
        <f>IF(N329="","",IF(N329="Sửa vị trí",IF(OR(O329="",P329=""),"Thiếu vĩ độ / kinh độ mới",IF(OR(O329&lt;12.5,O329&gt;15,P329&lt;107,P329&gt;109.6),"Toạ độ ngoài Gia Lai (đảo vĩ/kinh độ?)",IF(Q329="","Chọn cách xác định",IF(U329&gt;20000,"Dời hơn 20 km – kiểm tra lại","OK")))),IF(AND(N329&lt;&gt;"Sửa vị trí",OR(O329&lt;&gt;"",P329&lt;&gt;"")),"Có toạ độ mới nhưng kết quả không phải Sửa vị trí","OK")))</f>
        <v/>
      </c>
    </row>
    <row r="330">
      <c r="A330" s="9" t="n">
        <v>326</v>
      </c>
      <c r="B330" s="9" t="inlineStr">
        <is>
          <t>77075fda-23e5-7a98-6111-86c52422e77b</t>
        </is>
      </c>
      <c r="C330" s="9" t="inlineStr">
        <is>
          <t>Thấp</t>
        </is>
      </c>
      <c r="D330" s="10" t="inlineStr">
        <is>
          <t>ATM 1347 Quang Trung, Phuong An Khe, Tinh Gia Lai (Agribank)</t>
        </is>
      </c>
      <c r="E330" s="9" t="inlineStr">
        <is>
          <t>ATM</t>
        </is>
      </c>
      <c r="F330" s="9" t="inlineStr">
        <is>
          <t>Website Agribank</t>
        </is>
      </c>
      <c r="G330" s="10" t="inlineStr">
        <is>
          <t>1347 Quang Trung, Phuong An Khe, Tinh Gia Lai, Phường An Bình, Gia Lai</t>
        </is>
      </c>
      <c r="H330" s="9" t="inlineStr">
        <is>
          <t>Phường An Bình</t>
        </is>
      </c>
      <c r="I330" s="11" t="n">
        <v>13.960747</v>
      </c>
      <c r="J330" s="11" t="n">
        <v>108.638777</v>
      </c>
      <c r="K330" s="9" t="inlineStr">
        <is>
          <t>Đã đối chiếu</t>
        </is>
      </c>
      <c r="L330" s="10" t="n"/>
      <c r="M330" s="12" t="inlineStr">
        <is>
          <t>Bản đồ</t>
        </is>
      </c>
      <c r="N330" s="13" t="n"/>
      <c r="O330" s="14" t="n"/>
      <c r="P330" s="14" t="n"/>
      <c r="Q330" s="13" t="n"/>
      <c r="R330" s="15" t="n"/>
      <c r="S330" s="13" t="n"/>
      <c r="T330" s="13" t="n"/>
      <c r="U330" s="16">
        <f>IF(AND(ISNUMBER(O330),ISNUMBER(P330)),ROUND(SQRT(((P330-J330)*111320*COS(RADIANS(I330)))^2+((O330-I330)*110540)^2),0),"")</f>
        <v/>
      </c>
      <c r="V330" s="17">
        <f>IF(N330="","",IF(N330="Sửa vị trí",IF(OR(O330="",P330=""),"Thiếu vĩ độ / kinh độ mới",IF(OR(O330&lt;12.5,O330&gt;15,P330&lt;107,P330&gt;109.6),"Toạ độ ngoài Gia Lai (đảo vĩ/kinh độ?)",IF(Q330="","Chọn cách xác định",IF(U330&gt;20000,"Dời hơn 20 km – kiểm tra lại","OK")))),IF(AND(N330&lt;&gt;"Sửa vị trí",OR(O330&lt;&gt;"",P330&lt;&gt;"")),"Có toạ độ mới nhưng kết quả không phải Sửa vị trí","OK")))</f>
        <v/>
      </c>
    </row>
    <row r="331">
      <c r="A331" s="9" t="n">
        <v>327</v>
      </c>
      <c r="B331" s="9" t="inlineStr">
        <is>
          <t>84766b92-5b04-c8d5-87ef-ccf0d791df23</t>
        </is>
      </c>
      <c r="C331" s="9" t="inlineStr">
        <is>
          <t>Thấp</t>
        </is>
      </c>
      <c r="D331" s="10" t="inlineStr">
        <is>
          <t>ATM 1347 Quang Trung, Phuong An Khe, Tinh Gia Lai (Agribank)</t>
        </is>
      </c>
      <c r="E331" s="9" t="inlineStr">
        <is>
          <t>ATM</t>
        </is>
      </c>
      <c r="F331" s="9" t="inlineStr">
        <is>
          <t>Website Agribank</t>
        </is>
      </c>
      <c r="G331" s="10" t="inlineStr">
        <is>
          <t>1347 Quang Trung, Phuong An Khe, Tinh Gia Lai, Phường An Bình, Gia Lai</t>
        </is>
      </c>
      <c r="H331" s="9" t="inlineStr">
        <is>
          <t>Phường An Bình</t>
        </is>
      </c>
      <c r="I331" s="11" t="n">
        <v>13.960747</v>
      </c>
      <c r="J331" s="11" t="n">
        <v>108.638777</v>
      </c>
      <c r="K331" s="9" t="inlineStr">
        <is>
          <t>Đã đối chiếu</t>
        </is>
      </c>
      <c r="L331" s="10" t="n"/>
      <c r="M331" s="12" t="inlineStr">
        <is>
          <t>Bản đồ</t>
        </is>
      </c>
      <c r="N331" s="13" t="n"/>
      <c r="O331" s="14" t="n"/>
      <c r="P331" s="14" t="n"/>
      <c r="Q331" s="13" t="n"/>
      <c r="R331" s="15" t="n"/>
      <c r="S331" s="13" t="n"/>
      <c r="T331" s="13" t="n"/>
      <c r="U331" s="16">
        <f>IF(AND(ISNUMBER(O331),ISNUMBER(P331)),ROUND(SQRT(((P331-J331)*111320*COS(RADIANS(I331)))^2+((O331-I331)*110540)^2),0),"")</f>
        <v/>
      </c>
      <c r="V331" s="17">
        <f>IF(N331="","",IF(N331="Sửa vị trí",IF(OR(O331="",P331=""),"Thiếu vĩ độ / kinh độ mới",IF(OR(O331&lt;12.5,O331&gt;15,P331&lt;107,P331&gt;109.6),"Toạ độ ngoài Gia Lai (đảo vĩ/kinh độ?)",IF(Q331="","Chọn cách xác định",IF(U331&gt;20000,"Dời hơn 20 km – kiểm tra lại","OK")))),IF(AND(N331&lt;&gt;"Sửa vị trí",OR(O331&lt;&gt;"",P331&lt;&gt;"")),"Có toạ độ mới nhưng kết quả không phải Sửa vị trí","OK")))</f>
        <v/>
      </c>
    </row>
    <row r="332">
      <c r="A332" s="9" t="n">
        <v>328</v>
      </c>
      <c r="B332" s="9" t="inlineStr">
        <is>
          <t>52fea74b-3beb-d89b-e9ec-f0d5abe1b98c</t>
        </is>
      </c>
      <c r="C332" s="9" t="inlineStr">
        <is>
          <t>Thấp</t>
        </is>
      </c>
      <c r="D332" s="10" t="inlineStr">
        <is>
          <t>ATM 1347 Quang Trung, Phuong An Khe, Tinh Gia Lai (Agribank)</t>
        </is>
      </c>
      <c r="E332" s="9" t="inlineStr">
        <is>
          <t>ATM</t>
        </is>
      </c>
      <c r="F332" s="9" t="inlineStr">
        <is>
          <t>Website Agribank</t>
        </is>
      </c>
      <c r="G332" s="10" t="inlineStr">
        <is>
          <t>1347 Quang Trung, Phuong An Khe, Tinh Gia Lai, Phường An Bình, Gia Lai</t>
        </is>
      </c>
      <c r="H332" s="9" t="inlineStr">
        <is>
          <t>Phường An Bình</t>
        </is>
      </c>
      <c r="I332" s="11" t="n">
        <v>13.960747</v>
      </c>
      <c r="J332" s="11" t="n">
        <v>108.638777</v>
      </c>
      <c r="K332" s="9" t="inlineStr">
        <is>
          <t>Đã đối chiếu</t>
        </is>
      </c>
      <c r="L332" s="10" t="n"/>
      <c r="M332" s="12" t="inlineStr">
        <is>
          <t>Bản đồ</t>
        </is>
      </c>
      <c r="N332" s="13" t="n"/>
      <c r="O332" s="14" t="n"/>
      <c r="P332" s="14" t="n"/>
      <c r="Q332" s="13" t="n"/>
      <c r="R332" s="15" t="n"/>
      <c r="S332" s="13" t="n"/>
      <c r="T332" s="13" t="n"/>
      <c r="U332" s="16">
        <f>IF(AND(ISNUMBER(O332),ISNUMBER(P332)),ROUND(SQRT(((P332-J332)*111320*COS(RADIANS(I332)))^2+((O332-I332)*110540)^2),0),"")</f>
        <v/>
      </c>
      <c r="V332" s="17">
        <f>IF(N332="","",IF(N332="Sửa vị trí",IF(OR(O332="",P332=""),"Thiếu vĩ độ / kinh độ mới",IF(OR(O332&lt;12.5,O332&gt;15,P332&lt;107,P332&gt;109.6),"Toạ độ ngoài Gia Lai (đảo vĩ/kinh độ?)",IF(Q332="","Chọn cách xác định",IF(U332&gt;20000,"Dời hơn 20 km – kiểm tra lại","OK")))),IF(AND(N332&lt;&gt;"Sửa vị trí",OR(O332&lt;&gt;"",P332&lt;&gt;"")),"Có toạ độ mới nhưng kết quả không phải Sửa vị trí","OK")))</f>
        <v/>
      </c>
    </row>
    <row r="333">
      <c r="A333" s="9" t="n">
        <v>329</v>
      </c>
      <c r="B333" s="9" t="inlineStr">
        <is>
          <t>0a68f6fe-b139-624d-1c57-80a9bb022947</t>
        </is>
      </c>
      <c r="C333" s="9" t="inlineStr">
        <is>
          <t>Thấp</t>
        </is>
      </c>
      <c r="D333" s="10" t="inlineStr">
        <is>
          <t>ATM Sư đoàn 2 (MB)</t>
        </is>
      </c>
      <c r="E333" s="9" t="inlineStr">
        <is>
          <t>ATM</t>
        </is>
      </c>
      <c r="F333" s="9" t="inlineStr">
        <is>
          <t>Trang bản đồ MB</t>
        </is>
      </c>
      <c r="G333" s="10" t="inlineStr">
        <is>
          <t>Đường Lê Lợi, phường Thống Nhất, tỉnh Gia Lai, Phường An Bình, Gia Lai</t>
        </is>
      </c>
      <c r="H333" s="9" t="inlineStr">
        <is>
          <t>Phường An Bình</t>
        </is>
      </c>
      <c r="I333" s="11" t="n">
        <v>13.983453</v>
      </c>
      <c r="J333" s="11" t="n">
        <v>108.652321</v>
      </c>
      <c r="K333" s="9" t="inlineStr">
        <is>
          <t>Đã đối chiếu</t>
        </is>
      </c>
      <c r="L333" s="10" t="n"/>
      <c r="M333" s="12" t="inlineStr">
        <is>
          <t>Bản đồ</t>
        </is>
      </c>
      <c r="N333" s="13" t="n"/>
      <c r="O333" s="14" t="n"/>
      <c r="P333" s="14" t="n"/>
      <c r="Q333" s="13" t="n"/>
      <c r="R333" s="15" t="n"/>
      <c r="S333" s="13" t="n"/>
      <c r="T333" s="13" t="n"/>
      <c r="U333" s="16">
        <f>IF(AND(ISNUMBER(O333),ISNUMBER(P333)),ROUND(SQRT(((P333-J333)*111320*COS(RADIANS(I333)))^2+((O333-I333)*110540)^2),0),"")</f>
        <v/>
      </c>
      <c r="V333" s="17">
        <f>IF(N333="","",IF(N333="Sửa vị trí",IF(OR(O333="",P333=""),"Thiếu vĩ độ / kinh độ mới",IF(OR(O333&lt;12.5,O333&gt;15,P333&lt;107,P333&gt;109.6),"Toạ độ ngoài Gia Lai (đảo vĩ/kinh độ?)",IF(Q333="","Chọn cách xác định",IF(U333&gt;20000,"Dời hơn 20 km – kiểm tra lại","OK")))),IF(AND(N333&lt;&gt;"Sửa vị trí",OR(O333&lt;&gt;"",P333&lt;&gt;"")),"Có toạ độ mới nhưng kết quả không phải Sửa vị trí","OK")))</f>
        <v/>
      </c>
    </row>
    <row r="334">
      <c r="A334" s="9" t="n">
        <v>330</v>
      </c>
      <c r="B334" s="9" t="inlineStr">
        <is>
          <t>da97653e-3bcb-79a0-092b-278e7889cdec</t>
        </is>
      </c>
      <c r="C334" s="9" t="inlineStr">
        <is>
          <t>Thấp</t>
        </is>
      </c>
      <c r="D334" s="10" t="inlineStr">
        <is>
          <t>ATM To DP Chi Cong, Phuong An Binh, Tinh Gia Lai (Agribank)</t>
        </is>
      </c>
      <c r="E334" s="9" t="inlineStr">
        <is>
          <t>ATM</t>
        </is>
      </c>
      <c r="F334" s="9" t="inlineStr">
        <is>
          <t>Website Agribank</t>
        </is>
      </c>
      <c r="G334" s="10" t="inlineStr">
        <is>
          <t>To DP Chi Cong, Phuong An Binh, Tinh Gia Lai, Phường An Bình, Gia Lai</t>
        </is>
      </c>
      <c r="H334" s="9" t="inlineStr">
        <is>
          <t>Phường An Bình</t>
        </is>
      </c>
      <c r="I334" s="11" t="n">
        <v>13.957298</v>
      </c>
      <c r="J334" s="11" t="n">
        <v>108.644292</v>
      </c>
      <c r="K334" s="9" t="inlineStr">
        <is>
          <t>Đã đối chiếu</t>
        </is>
      </c>
      <c r="L334" s="10" t="n"/>
      <c r="M334" s="12" t="inlineStr">
        <is>
          <t>Bản đồ</t>
        </is>
      </c>
      <c r="N334" s="13" t="n"/>
      <c r="O334" s="14" t="n"/>
      <c r="P334" s="14" t="n"/>
      <c r="Q334" s="13" t="n"/>
      <c r="R334" s="15" t="n"/>
      <c r="S334" s="13" t="n"/>
      <c r="T334" s="13" t="n"/>
      <c r="U334" s="16">
        <f>IF(AND(ISNUMBER(O334),ISNUMBER(P334)),ROUND(SQRT(((P334-J334)*111320*COS(RADIANS(I334)))^2+((O334-I334)*110540)^2),0),"")</f>
        <v/>
      </c>
      <c r="V334" s="17">
        <f>IF(N334="","",IF(N334="Sửa vị trí",IF(OR(O334="",P334=""),"Thiếu vĩ độ / kinh độ mới",IF(OR(O334&lt;12.5,O334&gt;15,P334&lt;107,P334&gt;109.6),"Toạ độ ngoài Gia Lai (đảo vĩ/kinh độ?)",IF(Q334="","Chọn cách xác định",IF(U334&gt;20000,"Dời hơn 20 km – kiểm tra lại","OK")))),IF(AND(N334&lt;&gt;"Sửa vị trí",OR(O334&lt;&gt;"",P334&lt;&gt;"")),"Có toạ độ mới nhưng kết quả không phải Sửa vị trí","OK")))</f>
        <v/>
      </c>
    </row>
    <row r="335">
      <c r="A335" s="9" t="n">
        <v>331</v>
      </c>
      <c r="B335" s="9" t="inlineStr">
        <is>
          <t>df25f667-8f69-cf43-4a5d-f7c8b2afbfc7</t>
        </is>
      </c>
      <c r="C335" s="9" t="inlineStr">
        <is>
          <t>Thấp</t>
        </is>
      </c>
      <c r="D335" s="10" t="inlineStr">
        <is>
          <t>ATM Vietcombank – PGD An Khê</t>
        </is>
      </c>
      <c r="E335" s="9" t="inlineStr">
        <is>
          <t>ATM</t>
        </is>
      </c>
      <c r="F335" s="9" t="inlineStr">
        <is>
          <t>Website Vietcombank</t>
        </is>
      </c>
      <c r="G335" s="10" t="inlineStr">
        <is>
          <t>01 Hai Bà Trưng, An Khê, Gia Lai, Phường An Khê, Gia Lai</t>
        </is>
      </c>
      <c r="H335" s="9" t="inlineStr">
        <is>
          <t>Phường An Khê</t>
        </is>
      </c>
      <c r="I335" s="11" t="n">
        <v>13.953411</v>
      </c>
      <c r="J335" s="11" t="n">
        <v>108.661212</v>
      </c>
      <c r="K335" s="9" t="inlineStr">
        <is>
          <t>Đã đối chiếu</t>
        </is>
      </c>
      <c r="L335" s="10" t="n"/>
      <c r="M335" s="12" t="inlineStr">
        <is>
          <t>Bản đồ</t>
        </is>
      </c>
      <c r="N335" s="13" t="n"/>
      <c r="O335" s="14" t="n"/>
      <c r="P335" s="14" t="n"/>
      <c r="Q335" s="13" t="n"/>
      <c r="R335" s="15" t="n"/>
      <c r="S335" s="13" t="n"/>
      <c r="T335" s="13" t="n"/>
      <c r="U335" s="16">
        <f>IF(AND(ISNUMBER(O335),ISNUMBER(P335)),ROUND(SQRT(((P335-J335)*111320*COS(RADIANS(I335)))^2+((O335-I335)*110540)^2),0),"")</f>
        <v/>
      </c>
      <c r="V335" s="17">
        <f>IF(N335="","",IF(N335="Sửa vị trí",IF(OR(O335="",P335=""),"Thiếu vĩ độ / kinh độ mới",IF(OR(O335&lt;12.5,O335&gt;15,P335&lt;107,P335&gt;109.6),"Toạ độ ngoài Gia Lai (đảo vĩ/kinh độ?)",IF(Q335="","Chọn cách xác định",IF(U335&gt;20000,"Dời hơn 20 km – kiểm tra lại","OK")))),IF(AND(N335&lt;&gt;"Sửa vị trí",OR(O335&lt;&gt;"",P335&lt;&gt;"")),"Có toạ độ mới nhưng kết quả không phải Sửa vị trí","OK")))</f>
        <v/>
      </c>
    </row>
    <row r="336">
      <c r="A336" s="9" t="n">
        <v>332</v>
      </c>
      <c r="B336" s="9" t="inlineStr">
        <is>
          <t>a5582625-6d3d-9978-b646-150544faef00</t>
        </is>
      </c>
      <c r="C336" s="9" t="inlineStr">
        <is>
          <t>Thấp</t>
        </is>
      </c>
      <c r="D336" s="10" t="inlineStr">
        <is>
          <t>ATM Lữ Đoàn PK 573 (MB)</t>
        </is>
      </c>
      <c r="E336" s="9" t="inlineStr">
        <is>
          <t>ATM</t>
        </is>
      </c>
      <c r="F336" s="9" t="inlineStr">
        <is>
          <t>Trang bản đồ MB</t>
        </is>
      </c>
      <c r="G336" s="10" t="inlineStr">
        <is>
          <t>Quốc lộ 19, Nhơn Hòa, xã An Nhơn Tây, tỉnh Gia Lai, Phường An Nhơn Nam, Gia Lai</t>
        </is>
      </c>
      <c r="H336" s="9" t="inlineStr">
        <is>
          <t>Phường An Nhơn Nam</t>
        </is>
      </c>
      <c r="I336" s="11" t="n">
        <v>13.85241</v>
      </c>
      <c r="J336" s="11" t="n">
        <v>109.091431</v>
      </c>
      <c r="K336" s="9" t="inlineStr">
        <is>
          <t>Đã đối chiếu</t>
        </is>
      </c>
      <c r="L336" s="10" t="n"/>
      <c r="M336" s="12" t="inlineStr">
        <is>
          <t>Bản đồ</t>
        </is>
      </c>
      <c r="N336" s="13" t="n"/>
      <c r="O336" s="14" t="n"/>
      <c r="P336" s="14" t="n"/>
      <c r="Q336" s="13" t="n"/>
      <c r="R336" s="15" t="n"/>
      <c r="S336" s="13" t="n"/>
      <c r="T336" s="13" t="n"/>
      <c r="U336" s="16">
        <f>IF(AND(ISNUMBER(O336),ISNUMBER(P336)),ROUND(SQRT(((P336-J336)*111320*COS(RADIANS(I336)))^2+((O336-I336)*110540)^2),0),"")</f>
        <v/>
      </c>
      <c r="V336" s="17">
        <f>IF(N336="","",IF(N336="Sửa vị trí",IF(OR(O336="",P336=""),"Thiếu vĩ độ / kinh độ mới",IF(OR(O336&lt;12.5,O336&gt;15,P336&lt;107,P336&gt;109.6),"Toạ độ ngoài Gia Lai (đảo vĩ/kinh độ?)",IF(Q336="","Chọn cách xác định",IF(U336&gt;20000,"Dời hơn 20 km – kiểm tra lại","OK")))),IF(AND(N336&lt;&gt;"Sửa vị trí",OR(O336&lt;&gt;"",P336&lt;&gt;"")),"Có toạ độ mới nhưng kết quả không phải Sửa vị trí","OK")))</f>
        <v/>
      </c>
    </row>
    <row r="337">
      <c r="A337" s="9" t="n">
        <v>333</v>
      </c>
      <c r="B337" s="9" t="inlineStr">
        <is>
          <t>feedc659-7100-bdbf-16d4-e5a169ca09d6</t>
        </is>
      </c>
      <c r="C337" s="9" t="inlineStr">
        <is>
          <t>Thấp</t>
        </is>
      </c>
      <c r="D337" s="10" t="inlineStr">
        <is>
          <t>ATM 53 Nguyen Hue, Phuong Ayun Pa, Tinh Gia Lai (Agribank)</t>
        </is>
      </c>
      <c r="E337" s="9" t="inlineStr">
        <is>
          <t>ATM</t>
        </is>
      </c>
      <c r="F337" s="9" t="inlineStr">
        <is>
          <t>Website Agribank</t>
        </is>
      </c>
      <c r="G337" s="10" t="inlineStr">
        <is>
          <t>53 Nguyen Hue, Phuong Ayun Pa, Tinh Gia Lai, Phường Ayun Pa, Gia Lai</t>
        </is>
      </c>
      <c r="H337" s="9" t="inlineStr">
        <is>
          <t>Phường Ayun Pa</t>
        </is>
      </c>
      <c r="I337" s="11" t="n">
        <v>13.402764</v>
      </c>
      <c r="J337" s="11" t="n">
        <v>108.43981</v>
      </c>
      <c r="K337" s="9" t="inlineStr">
        <is>
          <t>Đã đối chiếu</t>
        </is>
      </c>
      <c r="L337" s="10" t="n"/>
      <c r="M337" s="12" t="inlineStr">
        <is>
          <t>Bản đồ</t>
        </is>
      </c>
      <c r="N337" s="13" t="n"/>
      <c r="O337" s="14" t="n"/>
      <c r="P337" s="14" t="n"/>
      <c r="Q337" s="13" t="n"/>
      <c r="R337" s="15" t="n"/>
      <c r="S337" s="13" t="n"/>
      <c r="T337" s="13" t="n"/>
      <c r="U337" s="16">
        <f>IF(AND(ISNUMBER(O337),ISNUMBER(P337)),ROUND(SQRT(((P337-J337)*111320*COS(RADIANS(I337)))^2+((O337-I337)*110540)^2),0),"")</f>
        <v/>
      </c>
      <c r="V337" s="17">
        <f>IF(N337="","",IF(N337="Sửa vị trí",IF(OR(O337="",P337=""),"Thiếu vĩ độ / kinh độ mới",IF(OR(O337&lt;12.5,O337&gt;15,P337&lt;107,P337&gt;109.6),"Toạ độ ngoài Gia Lai (đảo vĩ/kinh độ?)",IF(Q337="","Chọn cách xác định",IF(U337&gt;20000,"Dời hơn 20 km – kiểm tra lại","OK")))),IF(AND(N337&lt;&gt;"Sửa vị trí",OR(O337&lt;&gt;"",P337&lt;&gt;"")),"Có toạ độ mới nhưng kết quả không phải Sửa vị trí","OK")))</f>
        <v/>
      </c>
    </row>
    <row r="338">
      <c r="A338" s="9" t="n">
        <v>334</v>
      </c>
      <c r="B338" s="9" t="inlineStr">
        <is>
          <t>e7f08284-2888-bb38-bd85-cffef403602a</t>
        </is>
      </c>
      <c r="C338" s="9" t="inlineStr">
        <is>
          <t>Thấp</t>
        </is>
      </c>
      <c r="D338" s="10" t="inlineStr">
        <is>
          <t>ATM 53 Nguyen Hue, Phuong Ayun Pa, Tinh Gia Lai (Agribank)</t>
        </is>
      </c>
      <c r="E338" s="9" t="inlineStr">
        <is>
          <t>ATM</t>
        </is>
      </c>
      <c r="F338" s="9" t="inlineStr">
        <is>
          <t>Website Agribank</t>
        </is>
      </c>
      <c r="G338" s="10" t="inlineStr">
        <is>
          <t>53 Nguyen Hue, Phuong Ayun Pa, Tinh Gia Lai, Phường Ayun Pa, Gia Lai</t>
        </is>
      </c>
      <c r="H338" s="9" t="inlineStr">
        <is>
          <t>Phường Ayun Pa</t>
        </is>
      </c>
      <c r="I338" s="11" t="n">
        <v>13.402764</v>
      </c>
      <c r="J338" s="11" t="n">
        <v>108.43981</v>
      </c>
      <c r="K338" s="9" t="inlineStr">
        <is>
          <t>Đã đối chiếu</t>
        </is>
      </c>
      <c r="L338" s="10" t="n"/>
      <c r="M338" s="12" t="inlineStr">
        <is>
          <t>Bản đồ</t>
        </is>
      </c>
      <c r="N338" s="13" t="n"/>
      <c r="O338" s="14" t="n"/>
      <c r="P338" s="14" t="n"/>
      <c r="Q338" s="13" t="n"/>
      <c r="R338" s="15" t="n"/>
      <c r="S338" s="13" t="n"/>
      <c r="T338" s="13" t="n"/>
      <c r="U338" s="16">
        <f>IF(AND(ISNUMBER(O338),ISNUMBER(P338)),ROUND(SQRT(((P338-J338)*111320*COS(RADIANS(I338)))^2+((O338-I338)*110540)^2),0),"")</f>
        <v/>
      </c>
      <c r="V338" s="17">
        <f>IF(N338="","",IF(N338="Sửa vị trí",IF(OR(O338="",P338=""),"Thiếu vĩ độ / kinh độ mới",IF(OR(O338&lt;12.5,O338&gt;15,P338&lt;107,P338&gt;109.6),"Toạ độ ngoài Gia Lai (đảo vĩ/kinh độ?)",IF(Q338="","Chọn cách xác định",IF(U338&gt;20000,"Dời hơn 20 km – kiểm tra lại","OK")))),IF(AND(N338&lt;&gt;"Sửa vị trí",OR(O338&lt;&gt;"",P338&lt;&gt;"")),"Có toạ độ mới nhưng kết quả không phải Sửa vị trí","OK")))</f>
        <v/>
      </c>
    </row>
    <row r="339">
      <c r="A339" s="9" t="n">
        <v>335</v>
      </c>
      <c r="B339" s="9" t="inlineStr">
        <is>
          <t>284af0fa-5bca-87b1-9f97-54c35b365705</t>
        </is>
      </c>
      <c r="C339" s="9" t="inlineStr">
        <is>
          <t>Thấp</t>
        </is>
      </c>
      <c r="D339" s="10" t="inlineStr">
        <is>
          <t>ATM 53 Nguyen Hue, Phuong Ayun Pa, Tinh Gia Lai (Agribank)</t>
        </is>
      </c>
      <c r="E339" s="9" t="inlineStr">
        <is>
          <t>ATM</t>
        </is>
      </c>
      <c r="F339" s="9" t="inlineStr">
        <is>
          <t>Website Agribank</t>
        </is>
      </c>
      <c r="G339" s="10" t="inlineStr">
        <is>
          <t>53 Nguyen Hue, Phuong Ayun Pa, Tinh Gia Lai, Phường Ayun Pa, Gia Lai</t>
        </is>
      </c>
      <c r="H339" s="9" t="inlineStr">
        <is>
          <t>Phường Ayun Pa</t>
        </is>
      </c>
      <c r="I339" s="11" t="n">
        <v>13.402764</v>
      </c>
      <c r="J339" s="11" t="n">
        <v>108.43981</v>
      </c>
      <c r="K339" s="9" t="inlineStr">
        <is>
          <t>Đã đối chiếu</t>
        </is>
      </c>
      <c r="L339" s="10" t="n"/>
      <c r="M339" s="12" t="inlineStr">
        <is>
          <t>Bản đồ</t>
        </is>
      </c>
      <c r="N339" s="13" t="n"/>
      <c r="O339" s="14" t="n"/>
      <c r="P339" s="14" t="n"/>
      <c r="Q339" s="13" t="n"/>
      <c r="R339" s="15" t="n"/>
      <c r="S339" s="13" t="n"/>
      <c r="T339" s="13" t="n"/>
      <c r="U339" s="16">
        <f>IF(AND(ISNUMBER(O339),ISNUMBER(P339)),ROUND(SQRT(((P339-J339)*111320*COS(RADIANS(I339)))^2+((O339-I339)*110540)^2),0),"")</f>
        <v/>
      </c>
      <c r="V339" s="17">
        <f>IF(N339="","",IF(N339="Sửa vị trí",IF(OR(O339="",P339=""),"Thiếu vĩ độ / kinh độ mới",IF(OR(O339&lt;12.5,O339&gt;15,P339&lt;107,P339&gt;109.6),"Toạ độ ngoài Gia Lai (đảo vĩ/kinh độ?)",IF(Q339="","Chọn cách xác định",IF(U339&gt;20000,"Dời hơn 20 km – kiểm tra lại","OK")))),IF(AND(N339&lt;&gt;"Sửa vị trí",OR(O339&lt;&gt;"",P339&lt;&gt;"")),"Có toạ độ mới nhưng kết quả không phải Sửa vị trí","OK")))</f>
        <v/>
      </c>
    </row>
    <row r="340">
      <c r="A340" s="9" t="n">
        <v>336</v>
      </c>
      <c r="B340" s="9" t="inlineStr">
        <is>
          <t>66c92653-ae38-99a3-68da-1f5762498e72</t>
        </is>
      </c>
      <c r="C340" s="9" t="inlineStr">
        <is>
          <t>Thấp</t>
        </is>
      </c>
      <c r="D340" s="10" t="inlineStr">
        <is>
          <t>ATM 53 Nguyen Hue, Phuong Ayun Pa, Tinh Gia Lai (Agribank)</t>
        </is>
      </c>
      <c r="E340" s="9" t="inlineStr">
        <is>
          <t>ATM</t>
        </is>
      </c>
      <c r="F340" s="9" t="inlineStr">
        <is>
          <t>Website Agribank</t>
        </is>
      </c>
      <c r="G340" s="10" t="inlineStr">
        <is>
          <t>53 Nguyen Hue, Phuong Ayun Pa, Tinh Gia Lai, Phường Ayun Pa, Gia Lai</t>
        </is>
      </c>
      <c r="H340" s="9" t="inlineStr">
        <is>
          <t>Phường Ayun Pa</t>
        </is>
      </c>
      <c r="I340" s="11" t="n">
        <v>13.402764</v>
      </c>
      <c r="J340" s="11" t="n">
        <v>108.43981</v>
      </c>
      <c r="K340" s="9" t="inlineStr">
        <is>
          <t>Đã đối chiếu</t>
        </is>
      </c>
      <c r="L340" s="10" t="n"/>
      <c r="M340" s="12" t="inlineStr">
        <is>
          <t>Bản đồ</t>
        </is>
      </c>
      <c r="N340" s="13" t="n"/>
      <c r="O340" s="14" t="n"/>
      <c r="P340" s="14" t="n"/>
      <c r="Q340" s="13" t="n"/>
      <c r="R340" s="15" t="n"/>
      <c r="S340" s="13" t="n"/>
      <c r="T340" s="13" t="n"/>
      <c r="U340" s="16">
        <f>IF(AND(ISNUMBER(O340),ISNUMBER(P340)),ROUND(SQRT(((P340-J340)*111320*COS(RADIANS(I340)))^2+((O340-I340)*110540)^2),0),"")</f>
        <v/>
      </c>
      <c r="V340" s="17">
        <f>IF(N340="","",IF(N340="Sửa vị trí",IF(OR(O340="",P340=""),"Thiếu vĩ độ / kinh độ mới",IF(OR(O340&lt;12.5,O340&gt;15,P340&lt;107,P340&gt;109.6),"Toạ độ ngoài Gia Lai (đảo vĩ/kinh độ?)",IF(Q340="","Chọn cách xác định",IF(U340&gt;20000,"Dời hơn 20 km – kiểm tra lại","OK")))),IF(AND(N340&lt;&gt;"Sửa vị trí",OR(O340&lt;&gt;"",P340&lt;&gt;"")),"Có toạ độ mới nhưng kết quả không phải Sửa vị trí","OK")))</f>
        <v/>
      </c>
    </row>
    <row r="341">
      <c r="A341" s="9" t="n">
        <v>337</v>
      </c>
      <c r="B341" s="9" t="inlineStr">
        <is>
          <t>802f7dac-2c07-14a9-ef7c-1cf78ecbbb94</t>
        </is>
      </c>
      <c r="C341" s="9" t="inlineStr">
        <is>
          <t>Thấp</t>
        </is>
      </c>
      <c r="D341" s="10" t="inlineStr">
        <is>
          <t>ATM Vietcombank – PGD AN NHƠN</t>
        </is>
      </c>
      <c r="E341" s="9" t="inlineStr">
        <is>
          <t>ATM</t>
        </is>
      </c>
      <c r="F341" s="9" t="inlineStr">
        <is>
          <t>Website Vietcombank</t>
        </is>
      </c>
      <c r="G341" s="10" t="inlineStr">
        <is>
          <t>194-196 NGÔ GIA TỰ,PHƯỜNG BÌNH ĐỊNH,TỈNH GIA LAI, Phường Bình Định, Gia Lai</t>
        </is>
      </c>
      <c r="H341" s="9" t="inlineStr">
        <is>
          <t>Phường Bình Định</t>
        </is>
      </c>
      <c r="I341" s="11" t="n">
        <v>13.889007</v>
      </c>
      <c r="J341" s="11" t="n">
        <v>109.114931</v>
      </c>
      <c r="K341" s="9" t="inlineStr">
        <is>
          <t>Đã đối chiếu</t>
        </is>
      </c>
      <c r="L341" s="10" t="n"/>
      <c r="M341" s="12" t="inlineStr">
        <is>
          <t>Bản đồ</t>
        </is>
      </c>
      <c r="N341" s="13" t="n"/>
      <c r="O341" s="14" t="n"/>
      <c r="P341" s="14" t="n"/>
      <c r="Q341" s="13" t="n"/>
      <c r="R341" s="15" t="n"/>
      <c r="S341" s="13" t="n"/>
      <c r="T341" s="13" t="n"/>
      <c r="U341" s="16">
        <f>IF(AND(ISNUMBER(O341),ISNUMBER(P341)),ROUND(SQRT(((P341-J341)*111320*COS(RADIANS(I341)))^2+((O341-I341)*110540)^2),0),"")</f>
        <v/>
      </c>
      <c r="V341" s="17">
        <f>IF(N341="","",IF(N341="Sửa vị trí",IF(OR(O341="",P341=""),"Thiếu vĩ độ / kinh độ mới",IF(OR(O341&lt;12.5,O341&gt;15,P341&lt;107,P341&gt;109.6),"Toạ độ ngoài Gia Lai (đảo vĩ/kinh độ?)",IF(Q341="","Chọn cách xác định",IF(U341&gt;20000,"Dời hơn 20 km – kiểm tra lại","OK")))),IF(AND(N341&lt;&gt;"Sửa vị trí",OR(O341&lt;&gt;"",P341&lt;&gt;"")),"Có toạ độ mới nhưng kết quả không phải Sửa vị trí","OK")))</f>
        <v/>
      </c>
    </row>
    <row r="342">
      <c r="A342" s="9" t="n">
        <v>338</v>
      </c>
      <c r="B342" s="9" t="inlineStr">
        <is>
          <t>e03ef8b6-754d-2d9e-a378-5aa54b2b4587</t>
        </is>
      </c>
      <c r="C342" s="9" t="inlineStr">
        <is>
          <t>Thấp</t>
        </is>
      </c>
      <c r="D342" s="10" t="inlineStr">
        <is>
          <t>CRM PGD AN Nhơn (MB)</t>
        </is>
      </c>
      <c r="E342" s="9" t="inlineStr">
        <is>
          <t>ATM</t>
        </is>
      </c>
      <c r="F342" s="9" t="inlineStr">
        <is>
          <t>Trang bản đồ MB</t>
        </is>
      </c>
      <c r="G342" s="10" t="inlineStr">
        <is>
          <t>Số 86, 88 đường Ngô Gia Tự, phường Bình Định, tỉnh Gia Lai, Phường Bình Định, Gia Lai</t>
        </is>
      </c>
      <c r="H342" s="9" t="inlineStr">
        <is>
          <t>Phường Bình Định</t>
        </is>
      </c>
      <c r="I342" s="11" t="n">
        <v>13.88851</v>
      </c>
      <c r="J342" s="11" t="n">
        <v>109.118279</v>
      </c>
      <c r="K342" s="9" t="inlineStr">
        <is>
          <t>Đã đối chiếu</t>
        </is>
      </c>
      <c r="L342" s="10" t="n"/>
      <c r="M342" s="12" t="inlineStr">
        <is>
          <t>Bản đồ</t>
        </is>
      </c>
      <c r="N342" s="13" t="n"/>
      <c r="O342" s="14" t="n"/>
      <c r="P342" s="14" t="n"/>
      <c r="Q342" s="13" t="n"/>
      <c r="R342" s="15" t="n"/>
      <c r="S342" s="13" t="n"/>
      <c r="T342" s="13" t="n"/>
      <c r="U342" s="16">
        <f>IF(AND(ISNUMBER(O342),ISNUMBER(P342)),ROUND(SQRT(((P342-J342)*111320*COS(RADIANS(I342)))^2+((O342-I342)*110540)^2),0),"")</f>
        <v/>
      </c>
      <c r="V342" s="17">
        <f>IF(N342="","",IF(N342="Sửa vị trí",IF(OR(O342="",P342=""),"Thiếu vĩ độ / kinh độ mới",IF(OR(O342&lt;12.5,O342&gt;15,P342&lt;107,P342&gt;109.6),"Toạ độ ngoài Gia Lai (đảo vĩ/kinh độ?)",IF(Q342="","Chọn cách xác định",IF(U342&gt;20000,"Dời hơn 20 km – kiểm tra lại","OK")))),IF(AND(N342&lt;&gt;"Sửa vị trí",OR(O342&lt;&gt;"",P342&lt;&gt;"")),"Có toạ độ mới nhưng kết quả không phải Sửa vị trí","OK")))</f>
        <v/>
      </c>
    </row>
    <row r="343">
      <c r="A343" s="9" t="n">
        <v>339</v>
      </c>
      <c r="B343" s="9" t="inlineStr">
        <is>
          <t>f6d1cb4d-1342-c03c-f8b2-5479de05cafa</t>
        </is>
      </c>
      <c r="C343" s="9" t="inlineStr">
        <is>
          <t>Thấp</t>
        </is>
      </c>
      <c r="D343" s="10" t="inlineStr">
        <is>
          <t>ATM 02 Hai Bà Trưng, phường Bồng Sơn, TX. Hoài Nhơn, Bình Định (Agribank)</t>
        </is>
      </c>
      <c r="E343" s="9" t="inlineStr">
        <is>
          <t>ATM</t>
        </is>
      </c>
      <c r="F343" s="9" t="inlineStr">
        <is>
          <t>Website Agribank</t>
        </is>
      </c>
      <c r="G343" s="10" t="inlineStr">
        <is>
          <t>02 Hai Bà Trưng, phường Bồng Sơn, TX. Hoài Nhơn, Bình Định, Phường Bồng Sơn, Gia Lai</t>
        </is>
      </c>
      <c r="H343" s="9" t="inlineStr">
        <is>
          <t>Phường Bồng Sơn</t>
        </is>
      </c>
      <c r="I343" s="11" t="n">
        <v>14.430172</v>
      </c>
      <c r="J343" s="11" t="n">
        <v>109.016253</v>
      </c>
      <c r="K343" s="9" t="inlineStr">
        <is>
          <t>Đã đối chiếu</t>
        </is>
      </c>
      <c r="L343" s="10" t="n"/>
      <c r="M343" s="12" t="inlineStr">
        <is>
          <t>Bản đồ</t>
        </is>
      </c>
      <c r="N343" s="13" t="n"/>
      <c r="O343" s="14" t="n"/>
      <c r="P343" s="14" t="n"/>
      <c r="Q343" s="13" t="n"/>
      <c r="R343" s="15" t="n"/>
      <c r="S343" s="13" t="n"/>
      <c r="T343" s="13" t="n"/>
      <c r="U343" s="16">
        <f>IF(AND(ISNUMBER(O343),ISNUMBER(P343)),ROUND(SQRT(((P343-J343)*111320*COS(RADIANS(I343)))^2+((O343-I343)*110540)^2),0),"")</f>
        <v/>
      </c>
      <c r="V343" s="17">
        <f>IF(N343="","",IF(N343="Sửa vị trí",IF(OR(O343="",P343=""),"Thiếu vĩ độ / kinh độ mới",IF(OR(O343&lt;12.5,O343&gt;15,P343&lt;107,P343&gt;109.6),"Toạ độ ngoài Gia Lai (đảo vĩ/kinh độ?)",IF(Q343="","Chọn cách xác định",IF(U343&gt;20000,"Dời hơn 20 km – kiểm tra lại","OK")))),IF(AND(N343&lt;&gt;"Sửa vị trí",OR(O343&lt;&gt;"",P343&lt;&gt;"")),"Có toạ độ mới nhưng kết quả không phải Sửa vị trí","OK")))</f>
        <v/>
      </c>
    </row>
    <row r="344">
      <c r="A344" s="9" t="n">
        <v>340</v>
      </c>
      <c r="B344" s="9" t="inlineStr">
        <is>
          <t>cb649ce1-8dd7-502c-b548-9c7cced59771</t>
        </is>
      </c>
      <c r="C344" s="9" t="inlineStr">
        <is>
          <t>Thấp</t>
        </is>
      </c>
      <c r="D344" s="10" t="inlineStr">
        <is>
          <t>ATM Vietcombank – PGD BỒNG SƠN</t>
        </is>
      </c>
      <c r="E344" s="9" t="inlineStr">
        <is>
          <t>ATM</t>
        </is>
      </c>
      <c r="F344" s="9" t="inlineStr">
        <is>
          <t>Website Vietcombank</t>
        </is>
      </c>
      <c r="G344" s="10" t="inlineStr">
        <is>
          <t>3314-3316-3318 Quang Trung, phường Bồng Sơn, Gia Lai, Phường Bồng Sơn, Gia Lai</t>
        </is>
      </c>
      <c r="H344" s="9" t="inlineStr">
        <is>
          <t>Phường Bồng Sơn</t>
        </is>
      </c>
      <c r="I344" s="11" t="n">
        <v>14.43012</v>
      </c>
      <c r="J344" s="11" t="n">
        <v>109.016862</v>
      </c>
      <c r="K344" s="9" t="inlineStr">
        <is>
          <t>Đã đối chiếu</t>
        </is>
      </c>
      <c r="L344" s="10" t="n"/>
      <c r="M344" s="12" t="inlineStr">
        <is>
          <t>Bản đồ</t>
        </is>
      </c>
      <c r="N344" s="13" t="n"/>
      <c r="O344" s="14" t="n"/>
      <c r="P344" s="14" t="n"/>
      <c r="Q344" s="13" t="n"/>
      <c r="R344" s="15" t="n"/>
      <c r="S344" s="13" t="n"/>
      <c r="T344" s="13" t="n"/>
      <c r="U344" s="16">
        <f>IF(AND(ISNUMBER(O344),ISNUMBER(P344)),ROUND(SQRT(((P344-J344)*111320*COS(RADIANS(I344)))^2+((O344-I344)*110540)^2),0),"")</f>
        <v/>
      </c>
      <c r="V344" s="17">
        <f>IF(N344="","",IF(N344="Sửa vị trí",IF(OR(O344="",P344=""),"Thiếu vĩ độ / kinh độ mới",IF(OR(O344&lt;12.5,O344&gt;15,P344&lt;107,P344&gt;109.6),"Toạ độ ngoài Gia Lai (đảo vĩ/kinh độ?)",IF(Q344="","Chọn cách xác định",IF(U344&gt;20000,"Dời hơn 20 km – kiểm tra lại","OK")))),IF(AND(N344&lt;&gt;"Sửa vị trí",OR(O344&lt;&gt;"",P344&lt;&gt;"")),"Có toạ độ mới nhưng kết quả không phải Sửa vị trí","OK")))</f>
        <v/>
      </c>
    </row>
    <row r="345">
      <c r="A345" s="9" t="n">
        <v>341</v>
      </c>
      <c r="B345" s="9" t="inlineStr">
        <is>
          <t>a4791364-f1de-95f7-ae76-f25e37b408da</t>
        </is>
      </c>
      <c r="C345" s="9" t="inlineStr">
        <is>
          <t>Thấp</t>
        </is>
      </c>
      <c r="D345" s="10" t="inlineStr">
        <is>
          <t>ATM Vietcombank – VINATEX BỒNG SƠN</t>
        </is>
      </c>
      <c r="E345" s="9" t="inlineStr">
        <is>
          <t>ATM</t>
        </is>
      </c>
      <c r="F345" s="9" t="inlineStr">
        <is>
          <t>Website Vietcombank</t>
        </is>
      </c>
      <c r="G345" s="10" t="inlineStr">
        <is>
          <t>Lô A6 cụm công nghiệp Bồng Sơn, phường Bồng Sơn, Gia Lai, Phường Bồng Sơn, Gia Lai</t>
        </is>
      </c>
      <c r="H345" s="9" t="inlineStr">
        <is>
          <t>Phường Bồng Sơn</t>
        </is>
      </c>
      <c r="I345" s="11" t="n">
        <v>14.422518</v>
      </c>
      <c r="J345" s="11" t="n">
        <v>109.00461</v>
      </c>
      <c r="K345" s="9" t="inlineStr">
        <is>
          <t>Đã đối chiếu</t>
        </is>
      </c>
      <c r="L345" s="10" t="n"/>
      <c r="M345" s="12" t="inlineStr">
        <is>
          <t>Bản đồ</t>
        </is>
      </c>
      <c r="N345" s="13" t="n"/>
      <c r="O345" s="14" t="n"/>
      <c r="P345" s="14" t="n"/>
      <c r="Q345" s="13" t="n"/>
      <c r="R345" s="15" t="n"/>
      <c r="S345" s="13" t="n"/>
      <c r="T345" s="13" t="n"/>
      <c r="U345" s="16">
        <f>IF(AND(ISNUMBER(O345),ISNUMBER(P345)),ROUND(SQRT(((P345-J345)*111320*COS(RADIANS(I345)))^2+((O345-I345)*110540)^2),0),"")</f>
        <v/>
      </c>
      <c r="V345" s="17">
        <f>IF(N345="","",IF(N345="Sửa vị trí",IF(OR(O345="",P345=""),"Thiếu vĩ độ / kinh độ mới",IF(OR(O345&lt;12.5,O345&gt;15,P345&lt;107,P345&gt;109.6),"Toạ độ ngoài Gia Lai (đảo vĩ/kinh độ?)",IF(Q345="","Chọn cách xác định",IF(U345&gt;20000,"Dời hơn 20 km – kiểm tra lại","OK")))),IF(AND(N345&lt;&gt;"Sửa vị trí",OR(O345&lt;&gt;"",P345&lt;&gt;"")),"Có toạ độ mới nhưng kết quả không phải Sửa vị trí","OK")))</f>
        <v/>
      </c>
    </row>
    <row r="346">
      <c r="A346" s="9" t="n">
        <v>342</v>
      </c>
      <c r="B346" s="9" t="inlineStr">
        <is>
          <t>8adc1f98-b24a-b85e-f698-90674f874302</t>
        </is>
      </c>
      <c r="C346" s="9" t="inlineStr">
        <is>
          <t>Thấp</t>
        </is>
      </c>
      <c r="D346" s="10" t="inlineStr">
        <is>
          <t>CRM PGD Hoài Nhơn (MB)</t>
        </is>
      </c>
      <c r="E346" s="9" t="inlineStr">
        <is>
          <t>ATM</t>
        </is>
      </c>
      <c r="F346" s="9" t="inlineStr">
        <is>
          <t>Trang bản đồ MB</t>
        </is>
      </c>
      <c r="G346" s="10" t="inlineStr">
        <is>
          <t>Số 2669, 2671 đường Quang Trung, phường Bồng Sơn, tỉnh Gia Lai, Phường Bồng Sơn, Gia Lai</t>
        </is>
      </c>
      <c r="H346" s="9" t="inlineStr">
        <is>
          <t>Phường Bồng Sơn</t>
        </is>
      </c>
      <c r="I346" s="11" t="n">
        <v>14.436797</v>
      </c>
      <c r="J346" s="11" t="n">
        <v>109.018098</v>
      </c>
      <c r="K346" s="9" t="inlineStr">
        <is>
          <t>Đã đối chiếu</t>
        </is>
      </c>
      <c r="L346" s="10" t="n"/>
      <c r="M346" s="12" t="inlineStr">
        <is>
          <t>Bản đồ</t>
        </is>
      </c>
      <c r="N346" s="13" t="n"/>
      <c r="O346" s="14" t="n"/>
      <c r="P346" s="14" t="n"/>
      <c r="Q346" s="13" t="n"/>
      <c r="R346" s="15" t="n"/>
      <c r="S346" s="13" t="n"/>
      <c r="T346" s="13" t="n"/>
      <c r="U346" s="16">
        <f>IF(AND(ISNUMBER(O346),ISNUMBER(P346)),ROUND(SQRT(((P346-J346)*111320*COS(RADIANS(I346)))^2+((O346-I346)*110540)^2),0),"")</f>
        <v/>
      </c>
      <c r="V346" s="17">
        <f>IF(N346="","",IF(N346="Sửa vị trí",IF(OR(O346="",P346=""),"Thiếu vĩ độ / kinh độ mới",IF(OR(O346&lt;12.5,O346&gt;15,P346&lt;107,P346&gt;109.6),"Toạ độ ngoài Gia Lai (đảo vĩ/kinh độ?)",IF(Q346="","Chọn cách xác định",IF(U346&gt;20000,"Dời hơn 20 km – kiểm tra lại","OK")))),IF(AND(N346&lt;&gt;"Sửa vị trí",OR(O346&lt;&gt;"",P346&lt;&gt;"")),"Có toạ độ mới nhưng kết quả không phải Sửa vị trí","OK")))</f>
        <v/>
      </c>
    </row>
    <row r="347">
      <c r="A347" s="9" t="n">
        <v>343</v>
      </c>
      <c r="B347" s="9" t="inlineStr">
        <is>
          <t>866e5af7-97c0-3d48-f9df-2108926868bb</t>
        </is>
      </c>
      <c r="C347" s="9" t="inlineStr">
        <is>
          <t>Thấp</t>
        </is>
      </c>
      <c r="D347" s="10" t="inlineStr">
        <is>
          <t>R-ATM Vietcombank – PGD BỒNG SƠN</t>
        </is>
      </c>
      <c r="E347" s="9" t="inlineStr">
        <is>
          <t>ATM</t>
        </is>
      </c>
      <c r="F347" s="9" t="inlineStr">
        <is>
          <t>Website Vietcombank</t>
        </is>
      </c>
      <c r="G347" s="10" t="inlineStr">
        <is>
          <t>3314-3316-3318 Quang Trung,phường Bồng Sơn,Gia Lai, Phường Bồng Sơn, Gia Lai</t>
        </is>
      </c>
      <c r="H347" s="9" t="inlineStr">
        <is>
          <t>Phường Bồng Sơn</t>
        </is>
      </c>
      <c r="I347" s="11" t="n">
        <v>14.43012</v>
      </c>
      <c r="J347" s="11" t="n">
        <v>109.016862</v>
      </c>
      <c r="K347" s="9" t="inlineStr">
        <is>
          <t>Đã đối chiếu</t>
        </is>
      </c>
      <c r="L347" s="10" t="n"/>
      <c r="M347" s="12" t="inlineStr">
        <is>
          <t>Bản đồ</t>
        </is>
      </c>
      <c r="N347" s="13" t="n"/>
      <c r="O347" s="14" t="n"/>
      <c r="P347" s="14" t="n"/>
      <c r="Q347" s="13" t="n"/>
      <c r="R347" s="15" t="n"/>
      <c r="S347" s="13" t="n"/>
      <c r="T347" s="13" t="n"/>
      <c r="U347" s="16">
        <f>IF(AND(ISNUMBER(O347),ISNUMBER(P347)),ROUND(SQRT(((P347-J347)*111320*COS(RADIANS(I347)))^2+((O347-I347)*110540)^2),0),"")</f>
        <v/>
      </c>
      <c r="V347" s="17">
        <f>IF(N347="","",IF(N347="Sửa vị trí",IF(OR(O347="",P347=""),"Thiếu vĩ độ / kinh độ mới",IF(OR(O347&lt;12.5,O347&gt;15,P347&lt;107,P347&gt;109.6),"Toạ độ ngoài Gia Lai (đảo vĩ/kinh độ?)",IF(Q347="","Chọn cách xác định",IF(U347&gt;20000,"Dời hơn 20 km – kiểm tra lại","OK")))),IF(AND(N347&lt;&gt;"Sửa vị trí",OR(O347&lt;&gt;"",P347&lt;&gt;"")),"Có toạ độ mới nhưng kết quả không phải Sửa vị trí","OK")))</f>
        <v/>
      </c>
    </row>
    <row r="348">
      <c r="A348" s="9" t="n">
        <v>344</v>
      </c>
      <c r="B348" s="9" t="inlineStr">
        <is>
          <t>30a07bf1-5376-52af-c2f0-027e6e4e59bc</t>
        </is>
      </c>
      <c r="C348" s="9" t="inlineStr">
        <is>
          <t>Thấp</t>
        </is>
      </c>
      <c r="D348" s="10" t="inlineStr">
        <is>
          <t>ATM 160 Hai Ba Trung, Phuong Dien Hong, Tinh Gia Lai (Agribank)</t>
        </is>
      </c>
      <c r="E348" s="9" t="inlineStr">
        <is>
          <t>ATM</t>
        </is>
      </c>
      <c r="F348" s="9" t="inlineStr">
        <is>
          <t>Website Agribank</t>
        </is>
      </c>
      <c r="G348" s="10" t="inlineStr">
        <is>
          <t>160 Hai Ba Trung, Phuong Dien Hong, Tinh Gia Lai, Phường Diên Hồng, Gia Lai</t>
        </is>
      </c>
      <c r="H348" s="9" t="inlineStr">
        <is>
          <t>Phường Diên Hồng</t>
        </is>
      </c>
      <c r="I348" s="11" t="n">
        <v>13.979667</v>
      </c>
      <c r="J348" s="11" t="n">
        <v>107.993029</v>
      </c>
      <c r="K348" s="9" t="inlineStr">
        <is>
          <t>Đã đối chiếu</t>
        </is>
      </c>
      <c r="L348" s="10" t="n"/>
      <c r="M348" s="12" t="inlineStr">
        <is>
          <t>Bản đồ</t>
        </is>
      </c>
      <c r="N348" s="13" t="n"/>
      <c r="O348" s="14" t="n"/>
      <c r="P348" s="14" t="n"/>
      <c r="Q348" s="13" t="n"/>
      <c r="R348" s="15" t="n"/>
      <c r="S348" s="13" t="n"/>
      <c r="T348" s="13" t="n"/>
      <c r="U348" s="16">
        <f>IF(AND(ISNUMBER(O348),ISNUMBER(P348)),ROUND(SQRT(((P348-J348)*111320*COS(RADIANS(I348)))^2+((O348-I348)*110540)^2),0),"")</f>
        <v/>
      </c>
      <c r="V348" s="17">
        <f>IF(N348="","",IF(N348="Sửa vị trí",IF(OR(O348="",P348=""),"Thiếu vĩ độ / kinh độ mới",IF(OR(O348&lt;12.5,O348&gt;15,P348&lt;107,P348&gt;109.6),"Toạ độ ngoài Gia Lai (đảo vĩ/kinh độ?)",IF(Q348="","Chọn cách xác định",IF(U348&gt;20000,"Dời hơn 20 km – kiểm tra lại","OK")))),IF(AND(N348&lt;&gt;"Sửa vị trí",OR(O348&lt;&gt;"",P348&lt;&gt;"")),"Có toạ độ mới nhưng kết quả không phải Sửa vị trí","OK")))</f>
        <v/>
      </c>
    </row>
    <row r="349">
      <c r="A349" s="9" t="n">
        <v>345</v>
      </c>
      <c r="B349" s="9" t="inlineStr">
        <is>
          <t>190ceba4-53aa-f872-2676-9f75e615689f</t>
        </is>
      </c>
      <c r="C349" s="9" t="inlineStr">
        <is>
          <t>Thấp</t>
        </is>
      </c>
      <c r="D349" s="10" t="inlineStr">
        <is>
          <t>ATM 160 Hai Ba Trung, Phuong Dien Hong, Tinh Gia Lai (Agribank)</t>
        </is>
      </c>
      <c r="E349" s="9" t="inlineStr">
        <is>
          <t>ATM</t>
        </is>
      </c>
      <c r="F349" s="9" t="inlineStr">
        <is>
          <t>Website Agribank</t>
        </is>
      </c>
      <c r="G349" s="10" t="inlineStr">
        <is>
          <t>160 Hai Ba Trung, Phuong Dien Hong, Tinh Gia Lai, Phường Diên Hồng, Gia Lai</t>
        </is>
      </c>
      <c r="H349" s="9" t="inlineStr">
        <is>
          <t>Phường Diên Hồng</t>
        </is>
      </c>
      <c r="I349" s="11" t="n">
        <v>13.979667</v>
      </c>
      <c r="J349" s="11" t="n">
        <v>107.993029</v>
      </c>
      <c r="K349" s="9" t="inlineStr">
        <is>
          <t>Đã đối chiếu</t>
        </is>
      </c>
      <c r="L349" s="10" t="n"/>
      <c r="M349" s="12" t="inlineStr">
        <is>
          <t>Bản đồ</t>
        </is>
      </c>
      <c r="N349" s="13" t="n"/>
      <c r="O349" s="14" t="n"/>
      <c r="P349" s="14" t="n"/>
      <c r="Q349" s="13" t="n"/>
      <c r="R349" s="15" t="n"/>
      <c r="S349" s="13" t="n"/>
      <c r="T349" s="13" t="n"/>
      <c r="U349" s="16">
        <f>IF(AND(ISNUMBER(O349),ISNUMBER(P349)),ROUND(SQRT(((P349-J349)*111320*COS(RADIANS(I349)))^2+((O349-I349)*110540)^2),0),"")</f>
        <v/>
      </c>
      <c r="V349" s="17">
        <f>IF(N349="","",IF(N349="Sửa vị trí",IF(OR(O349="",P349=""),"Thiếu vĩ độ / kinh độ mới",IF(OR(O349&lt;12.5,O349&gt;15,P349&lt;107,P349&gt;109.6),"Toạ độ ngoài Gia Lai (đảo vĩ/kinh độ?)",IF(Q349="","Chọn cách xác định",IF(U349&gt;20000,"Dời hơn 20 km – kiểm tra lại","OK")))),IF(AND(N349&lt;&gt;"Sửa vị trí",OR(O349&lt;&gt;"",P349&lt;&gt;"")),"Có toạ độ mới nhưng kết quả không phải Sửa vị trí","OK")))</f>
        <v/>
      </c>
    </row>
    <row r="350">
      <c r="A350" s="9" t="n">
        <v>346</v>
      </c>
      <c r="B350" s="9" t="inlineStr">
        <is>
          <t>e94c55d9-01ec-e41b-1290-6ac00c13ce72</t>
        </is>
      </c>
      <c r="C350" s="9" t="inlineStr">
        <is>
          <t>Thấp</t>
        </is>
      </c>
      <c r="D350" s="10" t="inlineStr">
        <is>
          <t>ATM 189 Tran Phu, Phuong Dien Hong, Tinh Gia Lai (Agribank)</t>
        </is>
      </c>
      <c r="E350" s="9" t="inlineStr">
        <is>
          <t>ATM</t>
        </is>
      </c>
      <c r="F350" s="9" t="inlineStr">
        <is>
          <t>Website Agribank</t>
        </is>
      </c>
      <c r="G350" s="10" t="inlineStr">
        <is>
          <t>189 Tran Phu, Phuong Dien Hong, Tinh Gia Lai, Phường Diên Hồng, Gia Lai</t>
        </is>
      </c>
      <c r="H350" s="9" t="inlineStr">
        <is>
          <t>Phường Diên Hồng</t>
        </is>
      </c>
      <c r="I350" s="11" t="n">
        <v>13.977149</v>
      </c>
      <c r="J350" s="11" t="n">
        <v>107.994717</v>
      </c>
      <c r="K350" s="9" t="inlineStr">
        <is>
          <t>Đã đối chiếu</t>
        </is>
      </c>
      <c r="L350" s="10" t="n"/>
      <c r="M350" s="12" t="inlineStr">
        <is>
          <t>Bản đồ</t>
        </is>
      </c>
      <c r="N350" s="13" t="n"/>
      <c r="O350" s="14" t="n"/>
      <c r="P350" s="14" t="n"/>
      <c r="Q350" s="13" t="n"/>
      <c r="R350" s="15" t="n"/>
      <c r="S350" s="13" t="n"/>
      <c r="T350" s="13" t="n"/>
      <c r="U350" s="16">
        <f>IF(AND(ISNUMBER(O350),ISNUMBER(P350)),ROUND(SQRT(((P350-J350)*111320*COS(RADIANS(I350)))^2+((O350-I350)*110540)^2),0),"")</f>
        <v/>
      </c>
      <c r="V350" s="17">
        <f>IF(N350="","",IF(N350="Sửa vị trí",IF(OR(O350="",P350=""),"Thiếu vĩ độ / kinh độ mới",IF(OR(O350&lt;12.5,O350&gt;15,P350&lt;107,P350&gt;109.6),"Toạ độ ngoài Gia Lai (đảo vĩ/kinh độ?)",IF(Q350="","Chọn cách xác định",IF(U350&gt;20000,"Dời hơn 20 km – kiểm tra lại","OK")))),IF(AND(N350&lt;&gt;"Sửa vị trí",OR(O350&lt;&gt;"",P350&lt;&gt;"")),"Có toạ độ mới nhưng kết quả không phải Sửa vị trí","OK")))</f>
        <v/>
      </c>
    </row>
    <row r="351">
      <c r="A351" s="9" t="n">
        <v>347</v>
      </c>
      <c r="B351" s="9" t="inlineStr">
        <is>
          <t>53101530-358f-cbcb-5cd0-362196443733</t>
        </is>
      </c>
      <c r="C351" s="9" t="inlineStr">
        <is>
          <t>Thấp</t>
        </is>
      </c>
      <c r="D351" s="10" t="inlineStr">
        <is>
          <t>ATM 25 Tang Bat Ho, Phuong Dien Hong, Tinh Gia Lai (Agribank)</t>
        </is>
      </c>
      <c r="E351" s="9" t="inlineStr">
        <is>
          <t>ATM</t>
        </is>
      </c>
      <c r="F351" s="9" t="inlineStr">
        <is>
          <t>Website Agribank</t>
        </is>
      </c>
      <c r="G351" s="10" t="inlineStr">
        <is>
          <t>25 Tang Bat Ho, Phuong Dien Hong, Tinh Gia Lai, Phường Diên Hồng, Gia Lai</t>
        </is>
      </c>
      <c r="H351" s="9" t="inlineStr">
        <is>
          <t>Phường Diên Hồng</t>
        </is>
      </c>
      <c r="I351" s="11" t="n">
        <v>13.980355</v>
      </c>
      <c r="J351" s="11" t="n">
        <v>107.995495</v>
      </c>
      <c r="K351" s="9" t="inlineStr">
        <is>
          <t>Đã đối chiếu</t>
        </is>
      </c>
      <c r="L351" s="10" t="n"/>
      <c r="M351" s="12" t="inlineStr">
        <is>
          <t>Bản đồ</t>
        </is>
      </c>
      <c r="N351" s="13" t="n"/>
      <c r="O351" s="14" t="n"/>
      <c r="P351" s="14" t="n"/>
      <c r="Q351" s="13" t="n"/>
      <c r="R351" s="15" t="n"/>
      <c r="S351" s="13" t="n"/>
      <c r="T351" s="13" t="n"/>
      <c r="U351" s="16">
        <f>IF(AND(ISNUMBER(O351),ISNUMBER(P351)),ROUND(SQRT(((P351-J351)*111320*COS(RADIANS(I351)))^2+((O351-I351)*110540)^2),0),"")</f>
        <v/>
      </c>
      <c r="V351" s="17">
        <f>IF(N351="","",IF(N351="Sửa vị trí",IF(OR(O351="",P351=""),"Thiếu vĩ độ / kinh độ mới",IF(OR(O351&lt;12.5,O351&gt;15,P351&lt;107,P351&gt;109.6),"Toạ độ ngoài Gia Lai (đảo vĩ/kinh độ?)",IF(Q351="","Chọn cách xác định",IF(U351&gt;20000,"Dời hơn 20 km – kiểm tra lại","OK")))),IF(AND(N351&lt;&gt;"Sửa vị trí",OR(O351&lt;&gt;"",P351&lt;&gt;"")),"Có toạ độ mới nhưng kết quả không phải Sửa vị trí","OK")))</f>
        <v/>
      </c>
    </row>
    <row r="352">
      <c r="A352" s="9" t="n">
        <v>348</v>
      </c>
      <c r="B352" s="9" t="inlineStr">
        <is>
          <t>ffbce83b-3812-b8b6-525c-2b7531a3091a</t>
        </is>
      </c>
      <c r="C352" s="9" t="inlineStr">
        <is>
          <t>Thấp</t>
        </is>
      </c>
      <c r="D352" s="10" t="inlineStr">
        <is>
          <t>ATM 25 Tang Bat Ho, Phuong Dien Hong, Tinh Gia Lai (Agribank)</t>
        </is>
      </c>
      <c r="E352" s="9" t="inlineStr">
        <is>
          <t>ATM</t>
        </is>
      </c>
      <c r="F352" s="9" t="inlineStr">
        <is>
          <t>Website Agribank</t>
        </is>
      </c>
      <c r="G352" s="10" t="inlineStr">
        <is>
          <t>25 Tang Bat Ho, Phuong Dien Hong, Tinh Gia Lai, Phường Diên Hồng, Gia Lai</t>
        </is>
      </c>
      <c r="H352" s="9" t="inlineStr">
        <is>
          <t>Phường Diên Hồng</t>
        </is>
      </c>
      <c r="I352" s="11" t="n">
        <v>13.980355</v>
      </c>
      <c r="J352" s="11" t="n">
        <v>107.995495</v>
      </c>
      <c r="K352" s="9" t="inlineStr">
        <is>
          <t>Đã đối chiếu</t>
        </is>
      </c>
      <c r="L352" s="10" t="n"/>
      <c r="M352" s="12" t="inlineStr">
        <is>
          <t>Bản đồ</t>
        </is>
      </c>
      <c r="N352" s="13" t="n"/>
      <c r="O352" s="14" t="n"/>
      <c r="P352" s="14" t="n"/>
      <c r="Q352" s="13" t="n"/>
      <c r="R352" s="15" t="n"/>
      <c r="S352" s="13" t="n"/>
      <c r="T352" s="13" t="n"/>
      <c r="U352" s="16">
        <f>IF(AND(ISNUMBER(O352),ISNUMBER(P352)),ROUND(SQRT(((P352-J352)*111320*COS(RADIANS(I352)))^2+((O352-I352)*110540)^2),0),"")</f>
        <v/>
      </c>
      <c r="V352" s="17">
        <f>IF(N352="","",IF(N352="Sửa vị trí",IF(OR(O352="",P352=""),"Thiếu vĩ độ / kinh độ mới",IF(OR(O352&lt;12.5,O352&gt;15,P352&lt;107,P352&gt;109.6),"Toạ độ ngoài Gia Lai (đảo vĩ/kinh độ?)",IF(Q352="","Chọn cách xác định",IF(U352&gt;20000,"Dời hơn 20 km – kiểm tra lại","OK")))),IF(AND(N352&lt;&gt;"Sửa vị trí",OR(O352&lt;&gt;"",P352&lt;&gt;"")),"Có toạ độ mới nhưng kết quả không phải Sửa vị trí","OK")))</f>
        <v/>
      </c>
    </row>
    <row r="353">
      <c r="A353" s="9" t="n">
        <v>349</v>
      </c>
      <c r="B353" s="9" t="inlineStr">
        <is>
          <t>eb41c788-d63a-a81c-3ca2-026a28113aad</t>
        </is>
      </c>
      <c r="C353" s="9" t="inlineStr">
        <is>
          <t>Thấp</t>
        </is>
      </c>
      <c r="D353" s="10" t="inlineStr">
        <is>
          <t>ATM 25 Tang Bat Ho, Phuong Dien Hong, Tinh Gia Lai (Agribank)</t>
        </is>
      </c>
      <c r="E353" s="9" t="inlineStr">
        <is>
          <t>ATM</t>
        </is>
      </c>
      <c r="F353" s="9" t="inlineStr">
        <is>
          <t>Website Agribank</t>
        </is>
      </c>
      <c r="G353" s="10" t="inlineStr">
        <is>
          <t>25 Tang Bat Ho, Phuong Dien Hong, Tinh Gia Lai, Phường Diên Hồng, Gia Lai</t>
        </is>
      </c>
      <c r="H353" s="9" t="inlineStr">
        <is>
          <t>Phường Diên Hồng</t>
        </is>
      </c>
      <c r="I353" s="11" t="n">
        <v>13.980355</v>
      </c>
      <c r="J353" s="11" t="n">
        <v>107.995495</v>
      </c>
      <c r="K353" s="9" t="inlineStr">
        <is>
          <t>Đã đối chiếu</t>
        </is>
      </c>
      <c r="L353" s="10" t="n"/>
      <c r="M353" s="12" t="inlineStr">
        <is>
          <t>Bản đồ</t>
        </is>
      </c>
      <c r="N353" s="13" t="n"/>
      <c r="O353" s="14" t="n"/>
      <c r="P353" s="14" t="n"/>
      <c r="Q353" s="13" t="n"/>
      <c r="R353" s="15" t="n"/>
      <c r="S353" s="13" t="n"/>
      <c r="T353" s="13" t="n"/>
      <c r="U353" s="16">
        <f>IF(AND(ISNUMBER(O353),ISNUMBER(P353)),ROUND(SQRT(((P353-J353)*111320*COS(RADIANS(I353)))^2+((O353-I353)*110540)^2),0),"")</f>
        <v/>
      </c>
      <c r="V353" s="17">
        <f>IF(N353="","",IF(N353="Sửa vị trí",IF(OR(O353="",P353=""),"Thiếu vĩ độ / kinh độ mới",IF(OR(O353&lt;12.5,O353&gt;15,P353&lt;107,P353&gt;109.6),"Toạ độ ngoài Gia Lai (đảo vĩ/kinh độ?)",IF(Q353="","Chọn cách xác định",IF(U353&gt;20000,"Dời hơn 20 km – kiểm tra lại","OK")))),IF(AND(N353&lt;&gt;"Sửa vị trí",OR(O353&lt;&gt;"",P353&lt;&gt;"")),"Có toạ độ mới nhưng kết quả không phải Sửa vị trí","OK")))</f>
        <v/>
      </c>
    </row>
    <row r="354">
      <c r="A354" s="9" t="n">
        <v>350</v>
      </c>
      <c r="B354" s="9" t="inlineStr">
        <is>
          <t>82bb3876-fac3-e30d-fba2-32c3d55cb7ac</t>
        </is>
      </c>
      <c r="C354" s="9" t="inlineStr">
        <is>
          <t>Thấp</t>
        </is>
      </c>
      <c r="D354" s="10" t="inlineStr">
        <is>
          <t>ATM Vietcombank – PGD DIÊN HỒNG</t>
        </is>
      </c>
      <c r="E354" s="9" t="inlineStr">
        <is>
          <t>ATM</t>
        </is>
      </c>
      <c r="F354" s="9" t="inlineStr">
        <is>
          <t>Website Vietcombank</t>
        </is>
      </c>
      <c r="G354" s="10" t="inlineStr">
        <is>
          <t>150 Trần Phú, phường Diên Hồng, Gia Lai, Phường Diên Hồng, Gia Lai</t>
        </is>
      </c>
      <c r="H354" s="9" t="inlineStr">
        <is>
          <t>Phường Diên Hồng</t>
        </is>
      </c>
      <c r="I354" s="11" t="n">
        <v>13.977775</v>
      </c>
      <c r="J354" s="11" t="n">
        <v>107.995581</v>
      </c>
      <c r="K354" s="9" t="inlineStr">
        <is>
          <t>Đã đối chiếu</t>
        </is>
      </c>
      <c r="L354" s="10" t="n"/>
      <c r="M354" s="12" t="inlineStr">
        <is>
          <t>Bản đồ</t>
        </is>
      </c>
      <c r="N354" s="13" t="n"/>
      <c r="O354" s="14" t="n"/>
      <c r="P354" s="14" t="n"/>
      <c r="Q354" s="13" t="n"/>
      <c r="R354" s="15" t="n"/>
      <c r="S354" s="13" t="n"/>
      <c r="T354" s="13" t="n"/>
      <c r="U354" s="16">
        <f>IF(AND(ISNUMBER(O354),ISNUMBER(P354)),ROUND(SQRT(((P354-J354)*111320*COS(RADIANS(I354)))^2+((O354-I354)*110540)^2),0),"")</f>
        <v/>
      </c>
      <c r="V354" s="17">
        <f>IF(N354="","",IF(N354="Sửa vị trí",IF(OR(O354="",P354=""),"Thiếu vĩ độ / kinh độ mới",IF(OR(O354&lt;12.5,O354&gt;15,P354&lt;107,P354&gt;109.6),"Toạ độ ngoài Gia Lai (đảo vĩ/kinh độ?)",IF(Q354="","Chọn cách xác định",IF(U354&gt;20000,"Dời hơn 20 km – kiểm tra lại","OK")))),IF(AND(N354&lt;&gt;"Sửa vị trí",OR(O354&lt;&gt;"",P354&lt;&gt;"")),"Có toạ độ mới nhưng kết quả không phải Sửa vị trí","OK")))</f>
        <v/>
      </c>
    </row>
    <row r="355">
      <c r="A355" s="9" t="n">
        <v>351</v>
      </c>
      <c r="B355" s="9" t="inlineStr">
        <is>
          <t>f6b7c0a0-b73c-95d4-48e4-dc4fafab484c</t>
        </is>
      </c>
      <c r="C355" s="9" t="inlineStr">
        <is>
          <t>Thấp</t>
        </is>
      </c>
      <c r="D355" s="10" t="inlineStr">
        <is>
          <t>ATM Vietcombank – PGD Pleiku</t>
        </is>
      </c>
      <c r="E355" s="9" t="inlineStr">
        <is>
          <t>ATM</t>
        </is>
      </c>
      <c r="F355" s="9" t="inlineStr">
        <is>
          <t>Website Vietcombank</t>
        </is>
      </c>
      <c r="G355" s="10" t="inlineStr">
        <is>
          <t>156 Hai Bà Trưng, Diên Hồng, Gia Lai, Phường Diên Hồng, Gia Lai</t>
        </is>
      </c>
      <c r="H355" s="9" t="inlineStr">
        <is>
          <t>Phường Diên Hồng</t>
        </is>
      </c>
      <c r="I355" s="11" t="n">
        <v>13.979797</v>
      </c>
      <c r="J355" s="11" t="n">
        <v>107.993359</v>
      </c>
      <c r="K355" s="9" t="inlineStr">
        <is>
          <t>Đã đối chiếu</t>
        </is>
      </c>
      <c r="L355" s="10" t="n"/>
      <c r="M355" s="12" t="inlineStr">
        <is>
          <t>Bản đồ</t>
        </is>
      </c>
      <c r="N355" s="13" t="n"/>
      <c r="O355" s="14" t="n"/>
      <c r="P355" s="14" t="n"/>
      <c r="Q355" s="13" t="n"/>
      <c r="R355" s="15" t="n"/>
      <c r="S355" s="13" t="n"/>
      <c r="T355" s="13" t="n"/>
      <c r="U355" s="16">
        <f>IF(AND(ISNUMBER(O355),ISNUMBER(P355)),ROUND(SQRT(((P355-J355)*111320*COS(RADIANS(I355)))^2+((O355-I355)*110540)^2),0),"")</f>
        <v/>
      </c>
      <c r="V355" s="17">
        <f>IF(N355="","",IF(N355="Sửa vị trí",IF(OR(O355="",P355=""),"Thiếu vĩ độ / kinh độ mới",IF(OR(O355&lt;12.5,O355&gt;15,P355&lt;107,P355&gt;109.6),"Toạ độ ngoài Gia Lai (đảo vĩ/kinh độ?)",IF(Q355="","Chọn cách xác định",IF(U355&gt;20000,"Dời hơn 20 km – kiểm tra lại","OK")))),IF(AND(N355&lt;&gt;"Sửa vị trí",OR(O355&lt;&gt;"",P355&lt;&gt;"")),"Có toạ độ mới nhưng kết quả không phải Sửa vị trí","OK")))</f>
        <v/>
      </c>
    </row>
    <row r="356">
      <c r="A356" s="9" t="n">
        <v>352</v>
      </c>
      <c r="B356" s="9" t="inlineStr">
        <is>
          <t>774f82c7-cda9-a8e3-c638-ade17130526a</t>
        </is>
      </c>
      <c r="C356" s="9" t="inlineStr">
        <is>
          <t>Thấp</t>
        </is>
      </c>
      <c r="D356" s="10" t="inlineStr">
        <is>
          <t>ATM Vietcombank – TT GIÁO DỤC TX</t>
        </is>
      </c>
      <c r="E356" s="9" t="inlineStr">
        <is>
          <t>ATM</t>
        </is>
      </c>
      <c r="F356" s="9" t="inlineStr">
        <is>
          <t>Website Vietcombank</t>
        </is>
      </c>
      <c r="G356" s="10" t="inlineStr">
        <is>
          <t>06 Lý Thái Tổ, phường Diên Hồng, Gia Lai, Phường Diên Hồng, Gia Lai</t>
        </is>
      </c>
      <c r="H356" s="9" t="inlineStr">
        <is>
          <t>Phường Diên Hồng</t>
        </is>
      </c>
      <c r="I356" s="11" t="n">
        <v>13.979881</v>
      </c>
      <c r="J356" s="11" t="n">
        <v>107.992826</v>
      </c>
      <c r="K356" s="9" t="inlineStr">
        <is>
          <t>Đã đối chiếu</t>
        </is>
      </c>
      <c r="L356" s="10" t="n"/>
      <c r="M356" s="12" t="inlineStr">
        <is>
          <t>Bản đồ</t>
        </is>
      </c>
      <c r="N356" s="13" t="n"/>
      <c r="O356" s="14" t="n"/>
      <c r="P356" s="14" t="n"/>
      <c r="Q356" s="13" t="n"/>
      <c r="R356" s="15" t="n"/>
      <c r="S356" s="13" t="n"/>
      <c r="T356" s="13" t="n"/>
      <c r="U356" s="16">
        <f>IF(AND(ISNUMBER(O356),ISNUMBER(P356)),ROUND(SQRT(((P356-J356)*111320*COS(RADIANS(I356)))^2+((O356-I356)*110540)^2),0),"")</f>
        <v/>
      </c>
      <c r="V356" s="17">
        <f>IF(N356="","",IF(N356="Sửa vị trí",IF(OR(O356="",P356=""),"Thiếu vĩ độ / kinh độ mới",IF(OR(O356&lt;12.5,O356&gt;15,P356&lt;107,P356&gt;109.6),"Toạ độ ngoài Gia Lai (đảo vĩ/kinh độ?)",IF(Q356="","Chọn cách xác định",IF(U356&gt;20000,"Dời hơn 20 km – kiểm tra lại","OK")))),IF(AND(N356&lt;&gt;"Sửa vị trí",OR(O356&lt;&gt;"",P356&lt;&gt;"")),"Có toạ độ mới nhưng kết quả không phải Sửa vị trí","OK")))</f>
        <v/>
      </c>
    </row>
    <row r="357">
      <c r="A357" s="9" t="n">
        <v>353</v>
      </c>
      <c r="B357" s="9" t="inlineStr">
        <is>
          <t>42b1bd74-967d-15ce-2c04-5bd7bfe020e8</t>
        </is>
      </c>
      <c r="C357" s="9" t="inlineStr">
        <is>
          <t>Thấp</t>
        </is>
      </c>
      <c r="D357" s="10" t="inlineStr">
        <is>
          <t>R-ATM Vietcombank – PGD DIÊN HỒNG</t>
        </is>
      </c>
      <c r="E357" s="9" t="inlineStr">
        <is>
          <t>ATM</t>
        </is>
      </c>
      <c r="F357" s="9" t="inlineStr">
        <is>
          <t>Website Vietcombank</t>
        </is>
      </c>
      <c r="G357" s="10" t="inlineStr">
        <is>
          <t>150 TRẦN PHÚ P.DIÊN HỒNG GIA LAI, Phường Diên Hồng, Gia Lai</t>
        </is>
      </c>
      <c r="H357" s="9" t="inlineStr">
        <is>
          <t>Phường Diên Hồng</t>
        </is>
      </c>
      <c r="I357" s="11" t="n">
        <v>13.977775</v>
      </c>
      <c r="J357" s="11" t="n">
        <v>107.995581</v>
      </c>
      <c r="K357" s="9" t="inlineStr">
        <is>
          <t>Đã đối chiếu</t>
        </is>
      </c>
      <c r="L357" s="10" t="n"/>
      <c r="M357" s="12" t="inlineStr">
        <is>
          <t>Bản đồ</t>
        </is>
      </c>
      <c r="N357" s="13" t="n"/>
      <c r="O357" s="14" t="n"/>
      <c r="P357" s="14" t="n"/>
      <c r="Q357" s="13" t="n"/>
      <c r="R357" s="15" t="n"/>
      <c r="S357" s="13" t="n"/>
      <c r="T357" s="13" t="n"/>
      <c r="U357" s="16">
        <f>IF(AND(ISNUMBER(O357),ISNUMBER(P357)),ROUND(SQRT(((P357-J357)*111320*COS(RADIANS(I357)))^2+((O357-I357)*110540)^2),0),"")</f>
        <v/>
      </c>
      <c r="V357" s="17">
        <f>IF(N357="","",IF(N357="Sửa vị trí",IF(OR(O357="",P357=""),"Thiếu vĩ độ / kinh độ mới",IF(OR(O357&lt;12.5,O357&gt;15,P357&lt;107,P357&gt;109.6),"Toạ độ ngoài Gia Lai (đảo vĩ/kinh độ?)",IF(Q357="","Chọn cách xác định",IF(U357&gt;20000,"Dời hơn 20 km – kiểm tra lại","OK")))),IF(AND(N357&lt;&gt;"Sửa vị trí",OR(O357&lt;&gt;"",P357&lt;&gt;"")),"Có toạ độ mới nhưng kết quả không phải Sửa vị trí","OK")))</f>
        <v/>
      </c>
    </row>
    <row r="358">
      <c r="A358" s="9" t="n">
        <v>354</v>
      </c>
      <c r="B358" s="9" t="inlineStr">
        <is>
          <t>5762b9e1-6145-2af9-c1cf-693c7f5a8c4c</t>
        </is>
      </c>
      <c r="C358" s="9" t="inlineStr">
        <is>
          <t>Thấp</t>
        </is>
      </c>
      <c r="D358" s="10" t="inlineStr">
        <is>
          <t>ATM khu phố Thạnh Xuân Đông, phường Hoài Hương, TX. Hoài Nhơn, Bình Định (Agribank)</t>
        </is>
      </c>
      <c r="E358" s="9" t="inlineStr">
        <is>
          <t>ATM</t>
        </is>
      </c>
      <c r="F358" s="9" t="inlineStr">
        <is>
          <t>Website Agribank</t>
        </is>
      </c>
      <c r="G358" s="10" t="inlineStr">
        <is>
          <t>Phường Hoài Nhơn Đông, Gia Lai</t>
        </is>
      </c>
      <c r="H358" s="9" t="inlineStr">
        <is>
          <t>Phường Hoài Nhơn Đông</t>
        </is>
      </c>
      <c r="I358" s="11" t="n">
        <v>14.494012</v>
      </c>
      <c r="J358" s="11" t="n">
        <v>109.089259</v>
      </c>
      <c r="K358" s="9" t="inlineStr">
        <is>
          <t>Đã đối chiếu</t>
        </is>
      </c>
      <c r="L358" s="10" t="n"/>
      <c r="M358" s="12" t="inlineStr">
        <is>
          <t>Bản đồ</t>
        </is>
      </c>
      <c r="N358" s="13" t="n"/>
      <c r="O358" s="14" t="n"/>
      <c r="P358" s="14" t="n"/>
      <c r="Q358" s="13" t="n"/>
      <c r="R358" s="15" t="n"/>
      <c r="S358" s="13" t="n"/>
      <c r="T358" s="13" t="n"/>
      <c r="U358" s="16">
        <f>IF(AND(ISNUMBER(O358),ISNUMBER(P358)),ROUND(SQRT(((P358-J358)*111320*COS(RADIANS(I358)))^2+((O358-I358)*110540)^2),0),"")</f>
        <v/>
      </c>
      <c r="V358" s="17">
        <f>IF(N358="","",IF(N358="Sửa vị trí",IF(OR(O358="",P358=""),"Thiếu vĩ độ / kinh độ mới",IF(OR(O358&lt;12.5,O358&gt;15,P358&lt;107,P358&gt;109.6),"Toạ độ ngoài Gia Lai (đảo vĩ/kinh độ?)",IF(Q358="","Chọn cách xác định",IF(U358&gt;20000,"Dời hơn 20 km – kiểm tra lại","OK")))),IF(AND(N358&lt;&gt;"Sửa vị trí",OR(O358&lt;&gt;"",P358&lt;&gt;"")),"Có toạ độ mới nhưng kết quả không phải Sửa vị trí","OK")))</f>
        <v/>
      </c>
    </row>
    <row r="359">
      <c r="A359" s="9" t="n">
        <v>355</v>
      </c>
      <c r="B359" s="9" t="inlineStr">
        <is>
          <t>37e271ba-df4a-fefa-2c3e-e881b1caf7d7</t>
        </is>
      </c>
      <c r="C359" s="9" t="inlineStr">
        <is>
          <t>Thấp</t>
        </is>
      </c>
      <c r="D359" s="10" t="inlineStr">
        <is>
          <t>ATM 119 Vo Van Kiet, Phuong Thong Nhat, Tinh Gia Lai (Agribank)</t>
        </is>
      </c>
      <c r="E359" s="9" t="inlineStr">
        <is>
          <t>ATM</t>
        </is>
      </c>
      <c r="F359" s="9" t="inlineStr">
        <is>
          <t>Website Agribank</t>
        </is>
      </c>
      <c r="G359" s="10" t="inlineStr">
        <is>
          <t>119 Vo Van Kiet, Phuong Thong Nhat, Tinh Gia Lai, Phường Hội Phú, Gia Lai</t>
        </is>
      </c>
      <c r="H359" s="9" t="inlineStr">
        <is>
          <t>Phường Hội Phú</t>
        </is>
      </c>
      <c r="I359" s="11" t="n">
        <v>13.964466</v>
      </c>
      <c r="J359" s="11" t="n">
        <v>108.017029</v>
      </c>
      <c r="K359" s="9" t="inlineStr">
        <is>
          <t>Đã đối chiếu</t>
        </is>
      </c>
      <c r="L359" s="10" t="n"/>
      <c r="M359" s="12" t="inlineStr">
        <is>
          <t>Bản đồ</t>
        </is>
      </c>
      <c r="N359" s="13" t="n"/>
      <c r="O359" s="14" t="n"/>
      <c r="P359" s="14" t="n"/>
      <c r="Q359" s="13" t="n"/>
      <c r="R359" s="15" t="n"/>
      <c r="S359" s="13" t="n"/>
      <c r="T359" s="13" t="n"/>
      <c r="U359" s="16">
        <f>IF(AND(ISNUMBER(O359),ISNUMBER(P359)),ROUND(SQRT(((P359-J359)*111320*COS(RADIANS(I359)))^2+((O359-I359)*110540)^2),0),"")</f>
        <v/>
      </c>
      <c r="V359" s="17">
        <f>IF(N359="","",IF(N359="Sửa vị trí",IF(OR(O359="",P359=""),"Thiếu vĩ độ / kinh độ mới",IF(OR(O359&lt;12.5,O359&gt;15,P359&lt;107,P359&gt;109.6),"Toạ độ ngoài Gia Lai (đảo vĩ/kinh độ?)",IF(Q359="","Chọn cách xác định",IF(U359&gt;20000,"Dời hơn 20 km – kiểm tra lại","OK")))),IF(AND(N359&lt;&gt;"Sửa vị trí",OR(O359&lt;&gt;"",P359&lt;&gt;"")),"Có toạ độ mới nhưng kết quả không phải Sửa vị trí","OK")))</f>
        <v/>
      </c>
    </row>
    <row r="360">
      <c r="A360" s="9" t="n">
        <v>356</v>
      </c>
      <c r="B360" s="9" t="inlineStr">
        <is>
          <t>452b348f-306c-5391-6092-e721e5ccc84f</t>
        </is>
      </c>
      <c r="C360" s="9" t="inlineStr">
        <is>
          <t>Thấp</t>
        </is>
      </c>
      <c r="D360" s="10" t="inlineStr">
        <is>
          <t>ATM Vietcombank – BV ĐHYD HAGL</t>
        </is>
      </c>
      <c r="E360" s="9" t="inlineStr">
        <is>
          <t>ATM</t>
        </is>
      </c>
      <c r="F360" s="9" t="inlineStr">
        <is>
          <t>Website Vietcombank</t>
        </is>
      </c>
      <c r="G360" s="10" t="inlineStr">
        <is>
          <t>Lê Duẩn, phường An Phú, Gia Lai, Phường Hội Phú, Gia Lai</t>
        </is>
      </c>
      <c r="H360" s="9" t="inlineStr">
        <is>
          <t>Phường Hội Phú</t>
        </is>
      </c>
      <c r="I360" s="11" t="n">
        <v>13.971235</v>
      </c>
      <c r="J360" s="11" t="n">
        <v>108.031073</v>
      </c>
      <c r="K360" s="9" t="inlineStr">
        <is>
          <t>Đã đối chiếu</t>
        </is>
      </c>
      <c r="L360" s="10" t="n"/>
      <c r="M360" s="12" t="inlineStr">
        <is>
          <t>Bản đồ</t>
        </is>
      </c>
      <c r="N360" s="13" t="n"/>
      <c r="O360" s="14" t="n"/>
      <c r="P360" s="14" t="n"/>
      <c r="Q360" s="13" t="n"/>
      <c r="R360" s="15" t="n"/>
      <c r="S360" s="13" t="n"/>
      <c r="T360" s="13" t="n"/>
      <c r="U360" s="16">
        <f>IF(AND(ISNUMBER(O360),ISNUMBER(P360)),ROUND(SQRT(((P360-J360)*111320*COS(RADIANS(I360)))^2+((O360-I360)*110540)^2),0),"")</f>
        <v/>
      </c>
      <c r="V360" s="17">
        <f>IF(N360="","",IF(N360="Sửa vị trí",IF(OR(O360="",P360=""),"Thiếu vĩ độ / kinh độ mới",IF(OR(O360&lt;12.5,O360&gt;15,P360&lt;107,P360&gt;109.6),"Toạ độ ngoài Gia Lai (đảo vĩ/kinh độ?)",IF(Q360="","Chọn cách xác định",IF(U360&gt;20000,"Dời hơn 20 km – kiểm tra lại","OK")))),IF(AND(N360&lt;&gt;"Sửa vị trí",OR(O360&lt;&gt;"",P360&lt;&gt;"")),"Có toạ độ mới nhưng kết quả không phải Sửa vị trí","OK")))</f>
        <v/>
      </c>
    </row>
    <row r="361">
      <c r="A361" s="9" t="n">
        <v>357</v>
      </c>
      <c r="B361" s="9" t="inlineStr">
        <is>
          <t>72d2548d-4ce7-4f8e-39ea-034f3a2564bf</t>
        </is>
      </c>
      <c r="C361" s="9" t="inlineStr">
        <is>
          <t>Thấp</t>
        </is>
      </c>
      <c r="D361" s="10" t="inlineStr">
        <is>
          <t>ATM Vietcombank – PGD TRÀ BÁ</t>
        </is>
      </c>
      <c r="E361" s="9" t="inlineStr">
        <is>
          <t>ATM</t>
        </is>
      </c>
      <c r="F361" s="9" t="inlineStr">
        <is>
          <t>Website Vietcombank</t>
        </is>
      </c>
      <c r="G361" s="10" t="inlineStr">
        <is>
          <t>133 Trường Chinh, phường Hội Phú, Gia Lai, Phường Hội Phú, Gia Lai</t>
        </is>
      </c>
      <c r="H361" s="9" t="inlineStr">
        <is>
          <t>Phường Hội Phú</t>
        </is>
      </c>
      <c r="I361" s="11" t="n">
        <v>13.964068</v>
      </c>
      <c r="J361" s="11" t="n">
        <v>108.017085</v>
      </c>
      <c r="K361" s="9" t="inlineStr">
        <is>
          <t>Đã đối chiếu</t>
        </is>
      </c>
      <c r="L361" s="10" t="n"/>
      <c r="M361" s="12" t="inlineStr">
        <is>
          <t>Bản đồ</t>
        </is>
      </c>
      <c r="N361" s="13" t="n"/>
      <c r="O361" s="14" t="n"/>
      <c r="P361" s="14" t="n"/>
      <c r="Q361" s="13" t="n"/>
      <c r="R361" s="15" t="n"/>
      <c r="S361" s="13" t="n"/>
      <c r="T361" s="13" t="n"/>
      <c r="U361" s="16">
        <f>IF(AND(ISNUMBER(O361),ISNUMBER(P361)),ROUND(SQRT(((P361-J361)*111320*COS(RADIANS(I361)))^2+((O361-I361)*110540)^2),0),"")</f>
        <v/>
      </c>
      <c r="V361" s="17">
        <f>IF(N361="","",IF(N361="Sửa vị trí",IF(OR(O361="",P361=""),"Thiếu vĩ độ / kinh độ mới",IF(OR(O361&lt;12.5,O361&gt;15,P361&lt;107,P361&gt;109.6),"Toạ độ ngoài Gia Lai (đảo vĩ/kinh độ?)",IF(Q361="","Chọn cách xác định",IF(U361&gt;20000,"Dời hơn 20 km – kiểm tra lại","OK")))),IF(AND(N361&lt;&gt;"Sửa vị trí",OR(O361&lt;&gt;"",P361&lt;&gt;"")),"Có toạ độ mới nhưng kết quả không phải Sửa vị trí","OK")))</f>
        <v/>
      </c>
    </row>
    <row r="362">
      <c r="A362" s="9" t="n">
        <v>358</v>
      </c>
      <c r="B362" s="9" t="inlineStr">
        <is>
          <t>03d7c722-85ed-7f4a-0e54-e7448c11dba4</t>
        </is>
      </c>
      <c r="C362" s="9" t="inlineStr">
        <is>
          <t>Thấp</t>
        </is>
      </c>
      <c r="D362" s="10" t="inlineStr">
        <is>
          <t>R-ATM Vietcombank – PGD TRÀ BÁ</t>
        </is>
      </c>
      <c r="E362" s="9" t="inlineStr">
        <is>
          <t>ATM</t>
        </is>
      </c>
      <c r="F362" s="9" t="inlineStr">
        <is>
          <t>Website Vietcombank</t>
        </is>
      </c>
      <c r="G362" s="10" t="inlineStr">
        <is>
          <t>133 Trường Chinh, phường Hội Phú, Gia Lai, Phường Hội Phú, Gia Lai</t>
        </is>
      </c>
      <c r="H362" s="9" t="inlineStr">
        <is>
          <t>Phường Hội Phú</t>
        </is>
      </c>
      <c r="I362" s="11" t="n">
        <v>13.964068</v>
      </c>
      <c r="J362" s="11" t="n">
        <v>108.017085</v>
      </c>
      <c r="K362" s="9" t="inlineStr">
        <is>
          <t>Đã đối chiếu</t>
        </is>
      </c>
      <c r="L362" s="10" t="n"/>
      <c r="M362" s="12" t="inlineStr">
        <is>
          <t>Bản đồ</t>
        </is>
      </c>
      <c r="N362" s="13" t="n"/>
      <c r="O362" s="14" t="n"/>
      <c r="P362" s="14" t="n"/>
      <c r="Q362" s="13" t="n"/>
      <c r="R362" s="15" t="n"/>
      <c r="S362" s="13" t="n"/>
      <c r="T362" s="13" t="n"/>
      <c r="U362" s="16">
        <f>IF(AND(ISNUMBER(O362),ISNUMBER(P362)),ROUND(SQRT(((P362-J362)*111320*COS(RADIANS(I362)))^2+((O362-I362)*110540)^2),0),"")</f>
        <v/>
      </c>
      <c r="V362" s="17">
        <f>IF(N362="","",IF(N362="Sửa vị trí",IF(OR(O362="",P362=""),"Thiếu vĩ độ / kinh độ mới",IF(OR(O362&lt;12.5,O362&gt;15,P362&lt;107,P362&gt;109.6),"Toạ độ ngoài Gia Lai (đảo vĩ/kinh độ?)",IF(Q362="","Chọn cách xác định",IF(U362&gt;20000,"Dời hơn 20 km – kiểm tra lại","OK")))),IF(AND(N362&lt;&gt;"Sửa vị trí",OR(O362&lt;&gt;"",P362&lt;&gt;"")),"Có toạ độ mới nhưng kết quả không phải Sửa vị trí","OK")))</f>
        <v/>
      </c>
    </row>
    <row r="363">
      <c r="A363" s="9" t="n">
        <v>359</v>
      </c>
      <c r="B363" s="9" t="inlineStr">
        <is>
          <t>245f5519-69ab-1b7e-af5f-597529e8fd07</t>
        </is>
      </c>
      <c r="C363" s="9" t="inlineStr">
        <is>
          <t>Thấp</t>
        </is>
      </c>
      <c r="D363" s="10" t="inlineStr">
        <is>
          <t>ATM 100B Phan Dinh Phung, Phuong Pleiku, Tinh Gia Lai (Agribank)</t>
        </is>
      </c>
      <c r="E363" s="9" t="inlineStr">
        <is>
          <t>ATM</t>
        </is>
      </c>
      <c r="F363" s="9" t="inlineStr">
        <is>
          <t>Website Agribank</t>
        </is>
      </c>
      <c r="G363" s="10" t="inlineStr">
        <is>
          <t>100B Phan Dinh Phung, Phuong Pleiku, Tinh Gia Lai, Phường Pleiku, Gia Lai</t>
        </is>
      </c>
      <c r="H363" s="9" t="inlineStr">
        <is>
          <t>Phường Pleiku</t>
        </is>
      </c>
      <c r="I363" s="11" t="n">
        <v>13.983157</v>
      </c>
      <c r="J363" s="11" t="n">
        <v>108.000617</v>
      </c>
      <c r="K363" s="9" t="inlineStr">
        <is>
          <t>Đã đối chiếu</t>
        </is>
      </c>
      <c r="L363" s="10" t="n"/>
      <c r="M363" s="12" t="inlineStr">
        <is>
          <t>Bản đồ</t>
        </is>
      </c>
      <c r="N363" s="13" t="n"/>
      <c r="O363" s="14" t="n"/>
      <c r="P363" s="14" t="n"/>
      <c r="Q363" s="13" t="n"/>
      <c r="R363" s="15" t="n"/>
      <c r="S363" s="13" t="n"/>
      <c r="T363" s="13" t="n"/>
      <c r="U363" s="16">
        <f>IF(AND(ISNUMBER(O363),ISNUMBER(P363)),ROUND(SQRT(((P363-J363)*111320*COS(RADIANS(I363)))^2+((O363-I363)*110540)^2),0),"")</f>
        <v/>
      </c>
      <c r="V363" s="17">
        <f>IF(N363="","",IF(N363="Sửa vị trí",IF(OR(O363="",P363=""),"Thiếu vĩ độ / kinh độ mới",IF(OR(O363&lt;12.5,O363&gt;15,P363&lt;107,P363&gt;109.6),"Toạ độ ngoài Gia Lai (đảo vĩ/kinh độ?)",IF(Q363="","Chọn cách xác định",IF(U363&gt;20000,"Dời hơn 20 km – kiểm tra lại","OK")))),IF(AND(N363&lt;&gt;"Sửa vị trí",OR(O363&lt;&gt;"",P363&lt;&gt;"")),"Có toạ độ mới nhưng kết quả không phải Sửa vị trí","OK")))</f>
        <v/>
      </c>
    </row>
    <row r="364">
      <c r="A364" s="9" t="n">
        <v>360</v>
      </c>
      <c r="B364" s="9" t="inlineStr">
        <is>
          <t>80a090b5-5778-a266-0c18-d6da97870800</t>
        </is>
      </c>
      <c r="C364" s="9" t="inlineStr">
        <is>
          <t>Thấp</t>
        </is>
      </c>
      <c r="D364" s="10" t="inlineStr">
        <is>
          <t>ATM 102 Le Duan, Phuong Pleiku, Tinh Gia Lai (Agribank)</t>
        </is>
      </c>
      <c r="E364" s="9" t="inlineStr">
        <is>
          <t>ATM</t>
        </is>
      </c>
      <c r="F364" s="9" t="inlineStr">
        <is>
          <t>Website Agribank</t>
        </is>
      </c>
      <c r="G364" s="10" t="inlineStr">
        <is>
          <t>102 Le Duan, Phuong Pleiku, Tinh Gia Lai, Phường Pleiku, Gia Lai</t>
        </is>
      </c>
      <c r="H364" s="9" t="inlineStr">
        <is>
          <t>Phường Pleiku</t>
        </is>
      </c>
      <c r="I364" s="11" t="n">
        <v>13.970614</v>
      </c>
      <c r="J364" s="11" t="n">
        <v>108.018577</v>
      </c>
      <c r="K364" s="9" t="inlineStr">
        <is>
          <t>Đã đối chiếu</t>
        </is>
      </c>
      <c r="L364" s="10" t="n"/>
      <c r="M364" s="12" t="inlineStr">
        <is>
          <t>Bản đồ</t>
        </is>
      </c>
      <c r="N364" s="13" t="n"/>
      <c r="O364" s="14" t="n"/>
      <c r="P364" s="14" t="n"/>
      <c r="Q364" s="13" t="n"/>
      <c r="R364" s="15" t="n"/>
      <c r="S364" s="13" t="n"/>
      <c r="T364" s="13" t="n"/>
      <c r="U364" s="16">
        <f>IF(AND(ISNUMBER(O364),ISNUMBER(P364)),ROUND(SQRT(((P364-J364)*111320*COS(RADIANS(I364)))^2+((O364-I364)*110540)^2),0),"")</f>
        <v/>
      </c>
      <c r="V364" s="17">
        <f>IF(N364="","",IF(N364="Sửa vị trí",IF(OR(O364="",P364=""),"Thiếu vĩ độ / kinh độ mới",IF(OR(O364&lt;12.5,O364&gt;15,P364&lt;107,P364&gt;109.6),"Toạ độ ngoài Gia Lai (đảo vĩ/kinh độ?)",IF(Q364="","Chọn cách xác định",IF(U364&gt;20000,"Dời hơn 20 km – kiểm tra lại","OK")))),IF(AND(N364&lt;&gt;"Sửa vị trí",OR(O364&lt;&gt;"",P364&lt;&gt;"")),"Có toạ độ mới nhưng kết quả không phải Sửa vị trí","OK")))</f>
        <v/>
      </c>
    </row>
    <row r="365">
      <c r="A365" s="9" t="n">
        <v>361</v>
      </c>
      <c r="B365" s="9" t="inlineStr">
        <is>
          <t>95b9d265-74a9-5a53-e189-ddc06a3aa059</t>
        </is>
      </c>
      <c r="C365" s="9" t="inlineStr">
        <is>
          <t>Thấp</t>
        </is>
      </c>
      <c r="D365" s="10" t="inlineStr">
        <is>
          <t>ATM 102 Le Duan, Phuong Pleiku, Tinh Gia Lai (Agribank)</t>
        </is>
      </c>
      <c r="E365" s="9" t="inlineStr">
        <is>
          <t>ATM</t>
        </is>
      </c>
      <c r="F365" s="9" t="inlineStr">
        <is>
          <t>Website Agribank</t>
        </is>
      </c>
      <c r="G365" s="10" t="inlineStr">
        <is>
          <t>102 Le Duan, Phuong Pleiku, Tinh Gia Lai, Phường Pleiku, Gia Lai</t>
        </is>
      </c>
      <c r="H365" s="9" t="inlineStr">
        <is>
          <t>Phường Pleiku</t>
        </is>
      </c>
      <c r="I365" s="11" t="n">
        <v>13.970614</v>
      </c>
      <c r="J365" s="11" t="n">
        <v>108.018577</v>
      </c>
      <c r="K365" s="9" t="inlineStr">
        <is>
          <t>Đã đối chiếu</t>
        </is>
      </c>
      <c r="L365" s="10" t="n"/>
      <c r="M365" s="12" t="inlineStr">
        <is>
          <t>Bản đồ</t>
        </is>
      </c>
      <c r="N365" s="13" t="n"/>
      <c r="O365" s="14" t="n"/>
      <c r="P365" s="14" t="n"/>
      <c r="Q365" s="13" t="n"/>
      <c r="R365" s="15" t="n"/>
      <c r="S365" s="13" t="n"/>
      <c r="T365" s="13" t="n"/>
      <c r="U365" s="16">
        <f>IF(AND(ISNUMBER(O365),ISNUMBER(P365)),ROUND(SQRT(((P365-J365)*111320*COS(RADIANS(I365)))^2+((O365-I365)*110540)^2),0),"")</f>
        <v/>
      </c>
      <c r="V365" s="17">
        <f>IF(N365="","",IF(N365="Sửa vị trí",IF(OR(O365="",P365=""),"Thiếu vĩ độ / kinh độ mới",IF(OR(O365&lt;12.5,O365&gt;15,P365&lt;107,P365&gt;109.6),"Toạ độ ngoài Gia Lai (đảo vĩ/kinh độ?)",IF(Q365="","Chọn cách xác định",IF(U365&gt;20000,"Dời hơn 20 km – kiểm tra lại","OK")))),IF(AND(N365&lt;&gt;"Sửa vị trí",OR(O365&lt;&gt;"",P365&lt;&gt;"")),"Có toạ độ mới nhưng kết quả không phải Sửa vị trí","OK")))</f>
        <v/>
      </c>
    </row>
    <row r="366">
      <c r="A366" s="9" t="n">
        <v>362</v>
      </c>
      <c r="B366" s="9" t="inlineStr">
        <is>
          <t>38d5bd98-12f0-e777-914b-4abb7098a0ea</t>
        </is>
      </c>
      <c r="C366" s="9" t="inlineStr">
        <is>
          <t>Thấp</t>
        </is>
      </c>
      <c r="D366" s="10" t="inlineStr">
        <is>
          <t>ATM 102 Le Duan, Phuong Pleiku, Tinh Gia Lai (Agribank)</t>
        </is>
      </c>
      <c r="E366" s="9" t="inlineStr">
        <is>
          <t>ATM</t>
        </is>
      </c>
      <c r="F366" s="9" t="inlineStr">
        <is>
          <t>Website Agribank</t>
        </is>
      </c>
      <c r="G366" s="10" t="inlineStr">
        <is>
          <t>102 Le Duan, Phuong Pleiku, Tinh Gia Lai, Phường Pleiku, Gia Lai</t>
        </is>
      </c>
      <c r="H366" s="9" t="inlineStr">
        <is>
          <t>Phường Pleiku</t>
        </is>
      </c>
      <c r="I366" s="11" t="n">
        <v>13.970614</v>
      </c>
      <c r="J366" s="11" t="n">
        <v>108.018577</v>
      </c>
      <c r="K366" s="9" t="inlineStr">
        <is>
          <t>Đã đối chiếu</t>
        </is>
      </c>
      <c r="L366" s="10" t="n"/>
      <c r="M366" s="12" t="inlineStr">
        <is>
          <t>Bản đồ</t>
        </is>
      </c>
      <c r="N366" s="13" t="n"/>
      <c r="O366" s="14" t="n"/>
      <c r="P366" s="14" t="n"/>
      <c r="Q366" s="13" t="n"/>
      <c r="R366" s="15" t="n"/>
      <c r="S366" s="13" t="n"/>
      <c r="T366" s="13" t="n"/>
      <c r="U366" s="16">
        <f>IF(AND(ISNUMBER(O366),ISNUMBER(P366)),ROUND(SQRT(((P366-J366)*111320*COS(RADIANS(I366)))^2+((O366-I366)*110540)^2),0),"")</f>
        <v/>
      </c>
      <c r="V366" s="17">
        <f>IF(N366="","",IF(N366="Sửa vị trí",IF(OR(O366="",P366=""),"Thiếu vĩ độ / kinh độ mới",IF(OR(O366&lt;12.5,O366&gt;15,P366&lt;107,P366&gt;109.6),"Toạ độ ngoài Gia Lai (đảo vĩ/kinh độ?)",IF(Q366="","Chọn cách xác định",IF(U366&gt;20000,"Dời hơn 20 km – kiểm tra lại","OK")))),IF(AND(N366&lt;&gt;"Sửa vị trí",OR(O366&lt;&gt;"",P366&lt;&gt;"")),"Có toạ độ mới nhưng kết quả không phải Sửa vị trí","OK")))</f>
        <v/>
      </c>
    </row>
    <row r="367">
      <c r="A367" s="9" t="n">
        <v>363</v>
      </c>
      <c r="B367" s="9" t="inlineStr">
        <is>
          <t>b176ade0-21b4-b5d9-7a4e-bd52d1f6a749</t>
        </is>
      </c>
      <c r="C367" s="9" t="inlineStr">
        <is>
          <t>Thấp</t>
        </is>
      </c>
      <c r="D367" s="10" t="inlineStr">
        <is>
          <t>ATM 69 Hung Vuong, Phuong Pleiku, Tinh Gia Lai (Agribank)</t>
        </is>
      </c>
      <c r="E367" s="9" t="inlineStr">
        <is>
          <t>ATM</t>
        </is>
      </c>
      <c r="F367" s="9" t="inlineStr">
        <is>
          <t>Website Agribank</t>
        </is>
      </c>
      <c r="G367" s="10" t="inlineStr">
        <is>
          <t>69 Hung Vuong, Phuong Pleiku, Tinh Gia Lai, Phường Pleiku, Gia Lai</t>
        </is>
      </c>
      <c r="H367" s="9" t="inlineStr">
        <is>
          <t>Phường Pleiku</t>
        </is>
      </c>
      <c r="I367" s="11" t="n">
        <v>13.977581</v>
      </c>
      <c r="J367" s="11" t="n">
        <v>108.001427</v>
      </c>
      <c r="K367" s="9" t="inlineStr">
        <is>
          <t>Đã đối chiếu</t>
        </is>
      </c>
      <c r="L367" s="10" t="n"/>
      <c r="M367" s="12" t="inlineStr">
        <is>
          <t>Bản đồ</t>
        </is>
      </c>
      <c r="N367" s="13" t="n"/>
      <c r="O367" s="14" t="n"/>
      <c r="P367" s="14" t="n"/>
      <c r="Q367" s="13" t="n"/>
      <c r="R367" s="15" t="n"/>
      <c r="S367" s="13" t="n"/>
      <c r="T367" s="13" t="n"/>
      <c r="U367" s="16">
        <f>IF(AND(ISNUMBER(O367),ISNUMBER(P367)),ROUND(SQRT(((P367-J367)*111320*COS(RADIANS(I367)))^2+((O367-I367)*110540)^2),0),"")</f>
        <v/>
      </c>
      <c r="V367" s="17">
        <f>IF(N367="","",IF(N367="Sửa vị trí",IF(OR(O367="",P367=""),"Thiếu vĩ độ / kinh độ mới",IF(OR(O367&lt;12.5,O367&gt;15,P367&lt;107,P367&gt;109.6),"Toạ độ ngoài Gia Lai (đảo vĩ/kinh độ?)",IF(Q367="","Chọn cách xác định",IF(U367&gt;20000,"Dời hơn 20 km – kiểm tra lại","OK")))),IF(AND(N367&lt;&gt;"Sửa vị trí",OR(O367&lt;&gt;"",P367&lt;&gt;"")),"Có toạ độ mới nhưng kết quả không phải Sửa vị trí","OK")))</f>
        <v/>
      </c>
    </row>
    <row r="368">
      <c r="A368" s="9" t="n">
        <v>364</v>
      </c>
      <c r="B368" s="9" t="inlineStr">
        <is>
          <t>f36a78bc-31b3-4739-a216-10365b37cb3f</t>
        </is>
      </c>
      <c r="C368" s="9" t="inlineStr">
        <is>
          <t>Thấp</t>
        </is>
      </c>
      <c r="D368" s="10" t="inlineStr">
        <is>
          <t>ATM Bộ tư lệnh Quân đoàn 3 (MB)</t>
        </is>
      </c>
      <c r="E368" s="9" t="inlineStr">
        <is>
          <t>ATM</t>
        </is>
      </c>
      <c r="F368" s="9" t="inlineStr">
        <is>
          <t>Trang bản đồ MB</t>
        </is>
      </c>
      <c r="G368" s="10" t="inlineStr">
        <is>
          <t>Đường Lê Duẩn, phường Thống Nhất, tỉnh Gia Lai, Phường Pleiku, Gia Lai</t>
        </is>
      </c>
      <c r="H368" s="9" t="inlineStr">
        <is>
          <t>Phường Pleiku</t>
        </is>
      </c>
      <c r="I368" s="11" t="n">
        <v>13.97186</v>
      </c>
      <c r="J368" s="11" t="n">
        <v>108.030581</v>
      </c>
      <c r="K368" s="9" t="inlineStr">
        <is>
          <t>Đã đối chiếu</t>
        </is>
      </c>
      <c r="L368" s="10" t="n"/>
      <c r="M368" s="12" t="inlineStr">
        <is>
          <t>Bản đồ</t>
        </is>
      </c>
      <c r="N368" s="13" t="n"/>
      <c r="O368" s="14" t="n"/>
      <c r="P368" s="14" t="n"/>
      <c r="Q368" s="13" t="n"/>
      <c r="R368" s="15" t="n"/>
      <c r="S368" s="13" t="n"/>
      <c r="T368" s="13" t="n"/>
      <c r="U368" s="16">
        <f>IF(AND(ISNUMBER(O368),ISNUMBER(P368)),ROUND(SQRT(((P368-J368)*111320*COS(RADIANS(I368)))^2+((O368-I368)*110540)^2),0),"")</f>
        <v/>
      </c>
      <c r="V368" s="17">
        <f>IF(N368="","",IF(N368="Sửa vị trí",IF(OR(O368="",P368=""),"Thiếu vĩ độ / kinh độ mới",IF(OR(O368&lt;12.5,O368&gt;15,P368&lt;107,P368&gt;109.6),"Toạ độ ngoài Gia Lai (đảo vĩ/kinh độ?)",IF(Q368="","Chọn cách xác định",IF(U368&gt;20000,"Dời hơn 20 km – kiểm tra lại","OK")))),IF(AND(N368&lt;&gt;"Sửa vị trí",OR(O368&lt;&gt;"",P368&lt;&gt;"")),"Có toạ độ mới nhưng kết quả không phải Sửa vị trí","OK")))</f>
        <v/>
      </c>
    </row>
    <row r="369">
      <c r="A369" s="9" t="n">
        <v>365</v>
      </c>
      <c r="B369" s="9" t="inlineStr">
        <is>
          <t>f79aa199-0c72-4b8a-bd65-6a2ee99ce0b0</t>
        </is>
      </c>
      <c r="C369" s="9" t="inlineStr">
        <is>
          <t>Thấp</t>
        </is>
      </c>
      <c r="D369" s="10" t="inlineStr">
        <is>
          <t>ATM PGD Pleiku (MB)</t>
        </is>
      </c>
      <c r="E369" s="9" t="inlineStr">
        <is>
          <t>ATM</t>
        </is>
      </c>
      <c r="F369" s="9" t="inlineStr">
        <is>
          <t>Trang bản đồ MB</t>
        </is>
      </c>
      <c r="G369" s="10" t="inlineStr">
        <is>
          <t>Số 145 đường Nguyễn Tất Thành, phường Thống Nhất, tỉnh Gia Lai, Phường Pleiku, Gia Lai</t>
        </is>
      </c>
      <c r="H369" s="9" t="inlineStr">
        <is>
          <t>Phường Pleiku</t>
        </is>
      </c>
      <c r="I369" s="11" t="n">
        <v>13.97867</v>
      </c>
      <c r="J369" s="11" t="n">
        <v>108.012436</v>
      </c>
      <c r="K369" s="9" t="inlineStr">
        <is>
          <t>Đã đối chiếu</t>
        </is>
      </c>
      <c r="L369" s="10" t="n"/>
      <c r="M369" s="12" t="inlineStr">
        <is>
          <t>Bản đồ</t>
        </is>
      </c>
      <c r="N369" s="13" t="n"/>
      <c r="O369" s="14" t="n"/>
      <c r="P369" s="14" t="n"/>
      <c r="Q369" s="13" t="n"/>
      <c r="R369" s="15" t="n"/>
      <c r="S369" s="13" t="n"/>
      <c r="T369" s="13" t="n"/>
      <c r="U369" s="16">
        <f>IF(AND(ISNUMBER(O369),ISNUMBER(P369)),ROUND(SQRT(((P369-J369)*111320*COS(RADIANS(I369)))^2+((O369-I369)*110540)^2),0),"")</f>
        <v/>
      </c>
      <c r="V369" s="17">
        <f>IF(N369="","",IF(N369="Sửa vị trí",IF(OR(O369="",P369=""),"Thiếu vĩ độ / kinh độ mới",IF(OR(O369&lt;12.5,O369&gt;15,P369&lt;107,P369&gt;109.6),"Toạ độ ngoài Gia Lai (đảo vĩ/kinh độ?)",IF(Q369="","Chọn cách xác định",IF(U369&gt;20000,"Dời hơn 20 km – kiểm tra lại","OK")))),IF(AND(N369&lt;&gt;"Sửa vị trí",OR(O369&lt;&gt;"",P369&lt;&gt;"")),"Có toạ độ mới nhưng kết quả không phải Sửa vị trí","OK")))</f>
        <v/>
      </c>
    </row>
    <row r="370">
      <c r="A370" s="9" t="n">
        <v>366</v>
      </c>
      <c r="B370" s="9" t="inlineStr">
        <is>
          <t>a22f746f-7703-dee1-c678-728078ec3b9c</t>
        </is>
      </c>
      <c r="C370" s="9" t="inlineStr">
        <is>
          <t>Thấp</t>
        </is>
      </c>
      <c r="D370" s="10" t="inlineStr">
        <is>
          <t>ATM Vietcombank – BENH VIEN TINH</t>
        </is>
      </c>
      <c r="E370" s="9" t="inlineStr">
        <is>
          <t>ATM</t>
        </is>
      </c>
      <c r="F370" s="9" t="inlineStr">
        <is>
          <t>Website Vietcombank</t>
        </is>
      </c>
      <c r="G370" s="10" t="inlineStr">
        <is>
          <t>132 Tôn Thất Tùng, phường Pleiku, Gia Lai, Phường Pleiku, Gia Lai</t>
        </is>
      </c>
      <c r="H370" s="9" t="inlineStr">
        <is>
          <t>Phường Pleiku</t>
        </is>
      </c>
      <c r="I370" s="11" t="n">
        <v>13.98391</v>
      </c>
      <c r="J370" s="11" t="n">
        <v>108.028153</v>
      </c>
      <c r="K370" s="9" t="inlineStr">
        <is>
          <t>Đã đối chiếu</t>
        </is>
      </c>
      <c r="L370" s="10" t="n"/>
      <c r="M370" s="12" t="inlineStr">
        <is>
          <t>Bản đồ</t>
        </is>
      </c>
      <c r="N370" s="13" t="n"/>
      <c r="O370" s="14" t="n"/>
      <c r="P370" s="14" t="n"/>
      <c r="Q370" s="13" t="n"/>
      <c r="R370" s="15" t="n"/>
      <c r="S370" s="13" t="n"/>
      <c r="T370" s="13" t="n"/>
      <c r="U370" s="16">
        <f>IF(AND(ISNUMBER(O370),ISNUMBER(P370)),ROUND(SQRT(((P370-J370)*111320*COS(RADIANS(I370)))^2+((O370-I370)*110540)^2),0),"")</f>
        <v/>
      </c>
      <c r="V370" s="17">
        <f>IF(N370="","",IF(N370="Sửa vị trí",IF(OR(O370="",P370=""),"Thiếu vĩ độ / kinh độ mới",IF(OR(O370&lt;12.5,O370&gt;15,P370&lt;107,P370&gt;109.6),"Toạ độ ngoài Gia Lai (đảo vĩ/kinh độ?)",IF(Q370="","Chọn cách xác định",IF(U370&gt;20000,"Dời hơn 20 km – kiểm tra lại","OK")))),IF(AND(N370&lt;&gt;"Sửa vị trí",OR(O370&lt;&gt;"",P370&lt;&gt;"")),"Có toạ độ mới nhưng kết quả không phải Sửa vị trí","OK")))</f>
        <v/>
      </c>
    </row>
    <row r="371">
      <c r="A371" s="9" t="n">
        <v>367</v>
      </c>
      <c r="B371" s="9" t="inlineStr">
        <is>
          <t>e109d507-c649-f0fc-b4b3-7abddf6211cd</t>
        </is>
      </c>
      <c r="C371" s="9" t="inlineStr">
        <is>
          <t>Thấp</t>
        </is>
      </c>
      <c r="D371" s="10" t="inlineStr">
        <is>
          <t>ATM Vietcombank – BƯU ĐIỆN TỈNH</t>
        </is>
      </c>
      <c r="E371" s="9" t="inlineStr">
        <is>
          <t>ATM</t>
        </is>
      </c>
      <c r="F371" s="9" t="inlineStr">
        <is>
          <t>Website Vietcombank</t>
        </is>
      </c>
      <c r="G371" s="10" t="inlineStr">
        <is>
          <t>69 Hùng Vương, phường Pleiku, Gia Lai, Phường Pleiku, Gia Lai</t>
        </is>
      </c>
      <c r="H371" s="9" t="inlineStr">
        <is>
          <t>Phường Pleiku</t>
        </is>
      </c>
      <c r="I371" s="11" t="n">
        <v>13.977266</v>
      </c>
      <c r="J371" s="11" t="n">
        <v>108.001279</v>
      </c>
      <c r="K371" s="9" t="inlineStr">
        <is>
          <t>Đã đối chiếu</t>
        </is>
      </c>
      <c r="L371" s="10" t="n"/>
      <c r="M371" s="12" t="inlineStr">
        <is>
          <t>Bản đồ</t>
        </is>
      </c>
      <c r="N371" s="13" t="n"/>
      <c r="O371" s="14" t="n"/>
      <c r="P371" s="14" t="n"/>
      <c r="Q371" s="13" t="n"/>
      <c r="R371" s="15" t="n"/>
      <c r="S371" s="13" t="n"/>
      <c r="T371" s="13" t="n"/>
      <c r="U371" s="16">
        <f>IF(AND(ISNUMBER(O371),ISNUMBER(P371)),ROUND(SQRT(((P371-J371)*111320*COS(RADIANS(I371)))^2+((O371-I371)*110540)^2),0),"")</f>
        <v/>
      </c>
      <c r="V371" s="17">
        <f>IF(N371="","",IF(N371="Sửa vị trí",IF(OR(O371="",P371=""),"Thiếu vĩ độ / kinh độ mới",IF(OR(O371&lt;12.5,O371&gt;15,P371&lt;107,P371&gt;109.6),"Toạ độ ngoài Gia Lai (đảo vĩ/kinh độ?)",IF(Q371="","Chọn cách xác định",IF(U371&gt;20000,"Dời hơn 20 km – kiểm tra lại","OK")))),IF(AND(N371&lt;&gt;"Sửa vị trí",OR(O371&lt;&gt;"",P371&lt;&gt;"")),"Có toạ độ mới nhưng kết quả không phải Sửa vị trí","OK")))</f>
        <v/>
      </c>
    </row>
    <row r="372">
      <c r="A372" s="9" t="n">
        <v>368</v>
      </c>
      <c r="B372" s="9" t="inlineStr">
        <is>
          <t>a3c595a1-e0bc-9a1c-d114-11a073b0da17</t>
        </is>
      </c>
      <c r="C372" s="9" t="inlineStr">
        <is>
          <t>Thấp</t>
        </is>
      </c>
      <c r="D372" s="10" t="inlineStr">
        <is>
          <t>ATM Vietcombank – BỆNH VIỆN NHI</t>
        </is>
      </c>
      <c r="E372" s="9" t="inlineStr">
        <is>
          <t>ATM</t>
        </is>
      </c>
      <c r="F372" s="9" t="inlineStr">
        <is>
          <t>Website Vietcombank</t>
        </is>
      </c>
      <c r="G372" s="10" t="inlineStr">
        <is>
          <t>Thôn 6, phường Pleiku, Gia Lai, Phường Pleiku, Gia Lai</t>
        </is>
      </c>
      <c r="H372" s="9" t="inlineStr">
        <is>
          <t>Phường Pleiku</t>
        </is>
      </c>
      <c r="I372" s="11" t="n">
        <v>13.98981</v>
      </c>
      <c r="J372" s="11" t="n">
        <v>108.04188</v>
      </c>
      <c r="K372" s="9" t="inlineStr">
        <is>
          <t>Đã đối chiếu</t>
        </is>
      </c>
      <c r="L372" s="10" t="n"/>
      <c r="M372" s="12" t="inlineStr">
        <is>
          <t>Bản đồ</t>
        </is>
      </c>
      <c r="N372" s="13" t="n"/>
      <c r="O372" s="14" t="n"/>
      <c r="P372" s="14" t="n"/>
      <c r="Q372" s="13" t="n"/>
      <c r="R372" s="15" t="n"/>
      <c r="S372" s="13" t="n"/>
      <c r="T372" s="13" t="n"/>
      <c r="U372" s="16">
        <f>IF(AND(ISNUMBER(O372),ISNUMBER(P372)),ROUND(SQRT(((P372-J372)*111320*COS(RADIANS(I372)))^2+((O372-I372)*110540)^2),0),"")</f>
        <v/>
      </c>
      <c r="V372" s="17">
        <f>IF(N372="","",IF(N372="Sửa vị trí",IF(OR(O372="",P372=""),"Thiếu vĩ độ / kinh độ mới",IF(OR(O372&lt;12.5,O372&gt;15,P372&lt;107,P372&gt;109.6),"Toạ độ ngoài Gia Lai (đảo vĩ/kinh độ?)",IF(Q372="","Chọn cách xác định",IF(U372&gt;20000,"Dời hơn 20 km – kiểm tra lại","OK")))),IF(AND(N372&lt;&gt;"Sửa vị trí",OR(O372&lt;&gt;"",P372&lt;&gt;"")),"Có toạ độ mới nhưng kết quả không phải Sửa vị trí","OK")))</f>
        <v/>
      </c>
    </row>
    <row r="373">
      <c r="A373" s="9" t="n">
        <v>369</v>
      </c>
      <c r="B373" s="9" t="inlineStr">
        <is>
          <t>003e8d4a-af90-a65b-a383-4fb9ac222068</t>
        </is>
      </c>
      <c r="C373" s="9" t="inlineStr">
        <is>
          <t>Thấp</t>
        </is>
      </c>
      <c r="D373" s="10" t="inlineStr">
        <is>
          <t>ATM Vietcombank – KS MƯỜNG THANH</t>
        </is>
      </c>
      <c r="E373" s="9" t="inlineStr">
        <is>
          <t>ATM</t>
        </is>
      </c>
      <c r="F373" s="9" t="inlineStr">
        <is>
          <t>Website Vietcombank</t>
        </is>
      </c>
      <c r="G373" s="10" t="inlineStr">
        <is>
          <t>01 Phù Đổng, P.Pleiku, Gia Lai, Phường Pleiku, Gia Lai</t>
        </is>
      </c>
      <c r="H373" s="9" t="inlineStr">
        <is>
          <t>Phường Pleiku</t>
        </is>
      </c>
      <c r="I373" s="11" t="n">
        <v>13.97227</v>
      </c>
      <c r="J373" s="11" t="n">
        <v>108.014785</v>
      </c>
      <c r="K373" s="9" t="inlineStr">
        <is>
          <t>Đã đối chiếu</t>
        </is>
      </c>
      <c r="L373" s="10" t="n"/>
      <c r="M373" s="12" t="inlineStr">
        <is>
          <t>Bản đồ</t>
        </is>
      </c>
      <c r="N373" s="13" t="n"/>
      <c r="O373" s="14" t="n"/>
      <c r="P373" s="14" t="n"/>
      <c r="Q373" s="13" t="n"/>
      <c r="R373" s="15" t="n"/>
      <c r="S373" s="13" t="n"/>
      <c r="T373" s="13" t="n"/>
      <c r="U373" s="16">
        <f>IF(AND(ISNUMBER(O373),ISNUMBER(P373)),ROUND(SQRT(((P373-J373)*111320*COS(RADIANS(I373)))^2+((O373-I373)*110540)^2),0),"")</f>
        <v/>
      </c>
      <c r="V373" s="17">
        <f>IF(N373="","",IF(N373="Sửa vị trí",IF(OR(O373="",P373=""),"Thiếu vĩ độ / kinh độ mới",IF(OR(O373&lt;12.5,O373&gt;15,P373&lt;107,P373&gt;109.6),"Toạ độ ngoài Gia Lai (đảo vĩ/kinh độ?)",IF(Q373="","Chọn cách xác định",IF(U373&gt;20000,"Dời hơn 20 km – kiểm tra lại","OK")))),IF(AND(N373&lt;&gt;"Sửa vị trí",OR(O373&lt;&gt;"",P373&lt;&gt;"")),"Có toạ độ mới nhưng kết quả không phải Sửa vị trí","OK")))</f>
        <v/>
      </c>
    </row>
    <row r="374">
      <c r="A374" s="9" t="n">
        <v>370</v>
      </c>
      <c r="B374" s="9" t="inlineStr">
        <is>
          <t>63623d2a-8c15-e936-ac35-5f8234f89ac6</t>
        </is>
      </c>
      <c r="C374" s="9" t="inlineStr">
        <is>
          <t>Thấp</t>
        </is>
      </c>
      <c r="D374" s="10" t="inlineStr">
        <is>
          <t>ATM Vietcombank – KS PLEIKU</t>
        </is>
      </c>
      <c r="E374" s="9" t="inlineStr">
        <is>
          <t>ATM</t>
        </is>
      </c>
      <c r="F374" s="9" t="inlineStr">
        <is>
          <t>Website Vietcombank</t>
        </is>
      </c>
      <c r="G374" s="10" t="inlineStr">
        <is>
          <t>03 NguyễnTất Thành, phường Pleiku, Gia Lai, Phường Pleiku, Gia Lai</t>
        </is>
      </c>
      <c r="H374" s="9" t="inlineStr">
        <is>
          <t>Phường Pleiku</t>
        </is>
      </c>
      <c r="I374" s="11" t="n">
        <v>13.985277</v>
      </c>
      <c r="J374" s="11" t="n">
        <v>108.007542</v>
      </c>
      <c r="K374" s="9" t="inlineStr">
        <is>
          <t>Đã đối chiếu</t>
        </is>
      </c>
      <c r="L374" s="10" t="n"/>
      <c r="M374" s="12" t="inlineStr">
        <is>
          <t>Bản đồ</t>
        </is>
      </c>
      <c r="N374" s="13" t="n"/>
      <c r="O374" s="14" t="n"/>
      <c r="P374" s="14" t="n"/>
      <c r="Q374" s="13" t="n"/>
      <c r="R374" s="15" t="n"/>
      <c r="S374" s="13" t="n"/>
      <c r="T374" s="13" t="n"/>
      <c r="U374" s="16">
        <f>IF(AND(ISNUMBER(O374),ISNUMBER(P374)),ROUND(SQRT(((P374-J374)*111320*COS(RADIANS(I374)))^2+((O374-I374)*110540)^2),0),"")</f>
        <v/>
      </c>
      <c r="V374" s="17">
        <f>IF(N374="","",IF(N374="Sửa vị trí",IF(OR(O374="",P374=""),"Thiếu vĩ độ / kinh độ mới",IF(OR(O374&lt;12.5,O374&gt;15,P374&lt;107,P374&gt;109.6),"Toạ độ ngoài Gia Lai (đảo vĩ/kinh độ?)",IF(Q374="","Chọn cách xác định",IF(U374&gt;20000,"Dời hơn 20 km – kiểm tra lại","OK")))),IF(AND(N374&lt;&gt;"Sửa vị trí",OR(O374&lt;&gt;"",P374&lt;&gt;"")),"Có toạ độ mới nhưng kết quả không phải Sửa vị trí","OK")))</f>
        <v/>
      </c>
    </row>
    <row r="375">
      <c r="A375" s="9" t="n">
        <v>371</v>
      </c>
      <c r="B375" s="9" t="inlineStr">
        <is>
          <t>a371a9d3-c18f-dd91-d380-e43c95b54c3c</t>
        </is>
      </c>
      <c r="C375" s="9" t="inlineStr">
        <is>
          <t>Thấp</t>
        </is>
      </c>
      <c r="D375" s="10" t="inlineStr">
        <is>
          <t>ATM Vietcombank – PGD HOA LƯ</t>
        </is>
      </c>
      <c r="E375" s="9" t="inlineStr">
        <is>
          <t>ATM</t>
        </is>
      </c>
      <c r="F375" s="9" t="inlineStr">
        <is>
          <t>Website Vietcombank</t>
        </is>
      </c>
      <c r="G375" s="10" t="inlineStr">
        <is>
          <t>56 Nguyễn Tất Thành, phường Pleiku, Gia Lai, Phường Pleiku, Gia Lai</t>
        </is>
      </c>
      <c r="H375" s="9" t="inlineStr">
        <is>
          <t>Phường Pleiku</t>
        </is>
      </c>
      <c r="I375" s="11" t="n">
        <v>13.982082</v>
      </c>
      <c r="J375" s="11" t="n">
        <v>108.009435</v>
      </c>
      <c r="K375" s="9" t="inlineStr">
        <is>
          <t>Đã đối chiếu</t>
        </is>
      </c>
      <c r="L375" s="10" t="n"/>
      <c r="M375" s="12" t="inlineStr">
        <is>
          <t>Bản đồ</t>
        </is>
      </c>
      <c r="N375" s="13" t="n"/>
      <c r="O375" s="14" t="n"/>
      <c r="P375" s="14" t="n"/>
      <c r="Q375" s="13" t="n"/>
      <c r="R375" s="15" t="n"/>
      <c r="S375" s="13" t="n"/>
      <c r="T375" s="13" t="n"/>
      <c r="U375" s="16">
        <f>IF(AND(ISNUMBER(O375),ISNUMBER(P375)),ROUND(SQRT(((P375-J375)*111320*COS(RADIANS(I375)))^2+((O375-I375)*110540)^2),0),"")</f>
        <v/>
      </c>
      <c r="V375" s="17">
        <f>IF(N375="","",IF(N375="Sửa vị trí",IF(OR(O375="",P375=""),"Thiếu vĩ độ / kinh độ mới",IF(OR(O375&lt;12.5,O375&gt;15,P375&lt;107,P375&gt;109.6),"Toạ độ ngoài Gia Lai (đảo vĩ/kinh độ?)",IF(Q375="","Chọn cách xác định",IF(U375&gt;20000,"Dời hơn 20 km – kiểm tra lại","OK")))),IF(AND(N375&lt;&gt;"Sửa vị trí",OR(O375&lt;&gt;"",P375&lt;&gt;"")),"Có toạ độ mới nhưng kết quả không phải Sửa vị trí","OK")))</f>
        <v/>
      </c>
    </row>
    <row r="376">
      <c r="A376" s="9" t="n">
        <v>372</v>
      </c>
      <c r="B376" s="9" t="inlineStr">
        <is>
          <t>f95589a9-c9dd-69ca-3630-25d0dc53cf84</t>
        </is>
      </c>
      <c r="C376" s="9" t="inlineStr">
        <is>
          <t>Thấp</t>
        </is>
      </c>
      <c r="D376" s="10" t="inlineStr">
        <is>
          <t>ATM Vietcombank – SIÊU THỊ COOP-MART</t>
        </is>
      </c>
      <c r="E376" s="9" t="inlineStr">
        <is>
          <t>ATM</t>
        </is>
      </c>
      <c r="F376" s="9" t="inlineStr">
        <is>
          <t>Website Vietcombank</t>
        </is>
      </c>
      <c r="G376" s="10" t="inlineStr">
        <is>
          <t>21 Cách Mạng, phường Pleiku, Gia Lai, Phường Pleiku, Gia Lai</t>
        </is>
      </c>
      <c r="H376" s="9" t="inlineStr">
        <is>
          <t>Phường Pleiku</t>
        </is>
      </c>
      <c r="I376" s="11" t="n">
        <v>13.988047</v>
      </c>
      <c r="J376" s="11" t="n">
        <v>108.008083</v>
      </c>
      <c r="K376" s="9" t="inlineStr">
        <is>
          <t>Đã đối chiếu</t>
        </is>
      </c>
      <c r="L376" s="10" t="n"/>
      <c r="M376" s="12" t="inlineStr">
        <is>
          <t>Bản đồ</t>
        </is>
      </c>
      <c r="N376" s="13" t="n"/>
      <c r="O376" s="14" t="n"/>
      <c r="P376" s="14" t="n"/>
      <c r="Q376" s="13" t="n"/>
      <c r="R376" s="15" t="n"/>
      <c r="S376" s="13" t="n"/>
      <c r="T376" s="13" t="n"/>
      <c r="U376" s="16">
        <f>IF(AND(ISNUMBER(O376),ISNUMBER(P376)),ROUND(SQRT(((P376-J376)*111320*COS(RADIANS(I376)))^2+((O376-I376)*110540)^2),0),"")</f>
        <v/>
      </c>
      <c r="V376" s="17">
        <f>IF(N376="","",IF(N376="Sửa vị trí",IF(OR(O376="",P376=""),"Thiếu vĩ độ / kinh độ mới",IF(OR(O376&lt;12.5,O376&gt;15,P376&lt;107,P376&gt;109.6),"Toạ độ ngoài Gia Lai (đảo vĩ/kinh độ?)",IF(Q376="","Chọn cách xác định",IF(U376&gt;20000,"Dời hơn 20 km – kiểm tra lại","OK")))),IF(AND(N376&lt;&gt;"Sửa vị trí",OR(O376&lt;&gt;"",P376&lt;&gt;"")),"Có toạ độ mới nhưng kết quả không phải Sửa vị trí","OK")))</f>
        <v/>
      </c>
    </row>
    <row r="377">
      <c r="A377" s="9" t="n">
        <v>373</v>
      </c>
      <c r="B377" s="9" t="inlineStr">
        <is>
          <t>6059f783-9137-c042-dc0f-b38cb955122f</t>
        </is>
      </c>
      <c r="C377" s="9" t="inlineStr">
        <is>
          <t>Thấp</t>
        </is>
      </c>
      <c r="D377" s="10" t="inlineStr">
        <is>
          <t>ATM Vietcombank – TRỤ SỞ VCB</t>
        </is>
      </c>
      <c r="E377" s="9" t="inlineStr">
        <is>
          <t>ATM</t>
        </is>
      </c>
      <c r="F377" s="9" t="inlineStr">
        <is>
          <t>Website Vietcombank</t>
        </is>
      </c>
      <c r="G377" s="10" t="inlineStr">
        <is>
          <t>33 Quang Trung, phường Pleiku, Gia Lai, Phường Pleiku, Gia Lai</t>
        </is>
      </c>
      <c r="H377" s="9" t="inlineStr">
        <is>
          <t>Phường Pleiku</t>
        </is>
      </c>
      <c r="I377" s="11" t="n">
        <v>13.97712</v>
      </c>
      <c r="J377" s="11" t="n">
        <v>108.005601</v>
      </c>
      <c r="K377" s="9" t="inlineStr">
        <is>
          <t>Đã đối chiếu</t>
        </is>
      </c>
      <c r="L377" s="10" t="n"/>
      <c r="M377" s="12" t="inlineStr">
        <is>
          <t>Bản đồ</t>
        </is>
      </c>
      <c r="N377" s="13" t="n"/>
      <c r="O377" s="14" t="n"/>
      <c r="P377" s="14" t="n"/>
      <c r="Q377" s="13" t="n"/>
      <c r="R377" s="15" t="n"/>
      <c r="S377" s="13" t="n"/>
      <c r="T377" s="13" t="n"/>
      <c r="U377" s="16">
        <f>IF(AND(ISNUMBER(O377),ISNUMBER(P377)),ROUND(SQRT(((P377-J377)*111320*COS(RADIANS(I377)))^2+((O377-I377)*110540)^2),0),"")</f>
        <v/>
      </c>
      <c r="V377" s="17">
        <f>IF(N377="","",IF(N377="Sửa vị trí",IF(OR(O377="",P377=""),"Thiếu vĩ độ / kinh độ mới",IF(OR(O377&lt;12.5,O377&gt;15,P377&lt;107,P377&gt;109.6),"Toạ độ ngoài Gia Lai (đảo vĩ/kinh độ?)",IF(Q377="","Chọn cách xác định",IF(U377&gt;20000,"Dời hơn 20 km – kiểm tra lại","OK")))),IF(AND(N377&lt;&gt;"Sửa vị trí",OR(O377&lt;&gt;"",P377&lt;&gt;"")),"Có toạ độ mới nhưng kết quả không phải Sửa vị trí","OK")))</f>
        <v/>
      </c>
    </row>
    <row r="378">
      <c r="A378" s="9" t="n">
        <v>374</v>
      </c>
      <c r="B378" s="9" t="inlineStr">
        <is>
          <t>3be4f233-bdfb-a8a2-2da2-017389d7539e</t>
        </is>
      </c>
      <c r="C378" s="9" t="inlineStr">
        <is>
          <t>Thấp</t>
        </is>
      </c>
      <c r="D378" s="10" t="inlineStr">
        <is>
          <t>CRM CN Gia Lai (MB)</t>
        </is>
      </c>
      <c r="E378" s="9" t="inlineStr">
        <is>
          <t>ATM</t>
        </is>
      </c>
      <c r="F378" s="9" t="inlineStr">
        <is>
          <t>Trang bản đồ MB</t>
        </is>
      </c>
      <c r="G378" s="10" t="inlineStr">
        <is>
          <t>Số 8 đường Lê Lai, phường Thống Nhất, tỉnh Gia Lai, Phường Pleiku, Gia Lai</t>
        </is>
      </c>
      <c r="H378" s="9" t="inlineStr">
        <is>
          <t>Phường Pleiku</t>
        </is>
      </c>
      <c r="I378" s="11" t="n">
        <v>13.978451</v>
      </c>
      <c r="J378" s="11" t="n">
        <v>107.999191</v>
      </c>
      <c r="K378" s="9" t="inlineStr">
        <is>
          <t>Đã đối chiếu</t>
        </is>
      </c>
      <c r="L378" s="10" t="n"/>
      <c r="M378" s="12" t="inlineStr">
        <is>
          <t>Bản đồ</t>
        </is>
      </c>
      <c r="N378" s="13" t="n"/>
      <c r="O378" s="14" t="n"/>
      <c r="P378" s="14" t="n"/>
      <c r="Q378" s="13" t="n"/>
      <c r="R378" s="15" t="n"/>
      <c r="S378" s="13" t="n"/>
      <c r="T378" s="13" t="n"/>
      <c r="U378" s="16">
        <f>IF(AND(ISNUMBER(O378),ISNUMBER(P378)),ROUND(SQRT(((P378-J378)*111320*COS(RADIANS(I378)))^2+((O378-I378)*110540)^2),0),"")</f>
        <v/>
      </c>
      <c r="V378" s="17">
        <f>IF(N378="","",IF(N378="Sửa vị trí",IF(OR(O378="",P378=""),"Thiếu vĩ độ / kinh độ mới",IF(OR(O378&lt;12.5,O378&gt;15,P378&lt;107,P378&gt;109.6),"Toạ độ ngoài Gia Lai (đảo vĩ/kinh độ?)",IF(Q378="","Chọn cách xác định",IF(U378&gt;20000,"Dời hơn 20 km – kiểm tra lại","OK")))),IF(AND(N378&lt;&gt;"Sửa vị trí",OR(O378&lt;&gt;"",P378&lt;&gt;"")),"Có toạ độ mới nhưng kết quả không phải Sửa vị trí","OK")))</f>
        <v/>
      </c>
    </row>
    <row r="379">
      <c r="A379" s="9" t="n">
        <v>375</v>
      </c>
      <c r="B379" s="9" t="inlineStr">
        <is>
          <t>955a572d-2098-cf4b-12cb-21328af9ba92</t>
        </is>
      </c>
      <c r="C379" s="9" t="inlineStr">
        <is>
          <t>Thấp</t>
        </is>
      </c>
      <c r="D379" s="10" t="inlineStr">
        <is>
          <t>R-ATM Vietcombank – Gia Lai- SIÊU THỊ COOP-MART</t>
        </is>
      </c>
      <c r="E379" s="9" t="inlineStr">
        <is>
          <t>ATM</t>
        </is>
      </c>
      <c r="F379" s="9" t="inlineStr">
        <is>
          <t>Website Vietcombank</t>
        </is>
      </c>
      <c r="G379" s="10" t="inlineStr">
        <is>
          <t>21 CÁCH MẠNG P.PLEIKU GIA LAI, Phường Pleiku, Gia Lai</t>
        </is>
      </c>
      <c r="H379" s="9" t="inlineStr">
        <is>
          <t>Phường Pleiku</t>
        </is>
      </c>
      <c r="I379" s="11" t="n">
        <v>13.988047</v>
      </c>
      <c r="J379" s="11" t="n">
        <v>108.008083</v>
      </c>
      <c r="K379" s="9" t="inlineStr">
        <is>
          <t>Đã đối chiếu</t>
        </is>
      </c>
      <c r="L379" s="10" t="n"/>
      <c r="M379" s="12" t="inlineStr">
        <is>
          <t>Bản đồ</t>
        </is>
      </c>
      <c r="N379" s="13" t="n"/>
      <c r="O379" s="14" t="n"/>
      <c r="P379" s="14" t="n"/>
      <c r="Q379" s="13" t="n"/>
      <c r="R379" s="15" t="n"/>
      <c r="S379" s="13" t="n"/>
      <c r="T379" s="13" t="n"/>
      <c r="U379" s="16">
        <f>IF(AND(ISNUMBER(O379),ISNUMBER(P379)),ROUND(SQRT(((P379-J379)*111320*COS(RADIANS(I379)))^2+((O379-I379)*110540)^2),0),"")</f>
        <v/>
      </c>
      <c r="V379" s="17">
        <f>IF(N379="","",IF(N379="Sửa vị trí",IF(OR(O379="",P379=""),"Thiếu vĩ độ / kinh độ mới",IF(OR(O379&lt;12.5,O379&gt;15,P379&lt;107,P379&gt;109.6),"Toạ độ ngoài Gia Lai (đảo vĩ/kinh độ?)",IF(Q379="","Chọn cách xác định",IF(U379&gt;20000,"Dời hơn 20 km – kiểm tra lại","OK")))),IF(AND(N379&lt;&gt;"Sửa vị trí",OR(O379&lt;&gt;"",P379&lt;&gt;"")),"Có toạ độ mới nhưng kết quả không phải Sửa vị trí","OK")))</f>
        <v/>
      </c>
    </row>
    <row r="380">
      <c r="A380" s="9" t="n">
        <v>376</v>
      </c>
      <c r="B380" s="9" t="inlineStr">
        <is>
          <t>fd671555-84af-c54f-7d8f-360b5f575bc0</t>
        </is>
      </c>
      <c r="C380" s="9" t="inlineStr">
        <is>
          <t>Thấp</t>
        </is>
      </c>
      <c r="D380" s="10" t="inlineStr">
        <is>
          <t>R-ATM Vietcombank – PGD HOA LƯ</t>
        </is>
      </c>
      <c r="E380" s="9" t="inlineStr">
        <is>
          <t>ATM</t>
        </is>
      </c>
      <c r="F380" s="9" t="inlineStr">
        <is>
          <t>Website Vietcombank</t>
        </is>
      </c>
      <c r="G380" s="10" t="inlineStr">
        <is>
          <t>56 NGUYỄN TẤT THÀNH P.PLEIKU GIA LAI, Phường Pleiku, Gia Lai</t>
        </is>
      </c>
      <c r="H380" s="9" t="inlineStr">
        <is>
          <t>Phường Pleiku</t>
        </is>
      </c>
      <c r="I380" s="11" t="n">
        <v>13.982082</v>
      </c>
      <c r="J380" s="11" t="n">
        <v>108.009435</v>
      </c>
      <c r="K380" s="9" t="inlineStr">
        <is>
          <t>Đã đối chiếu</t>
        </is>
      </c>
      <c r="L380" s="10" t="n"/>
      <c r="M380" s="12" t="inlineStr">
        <is>
          <t>Bản đồ</t>
        </is>
      </c>
      <c r="N380" s="13" t="n"/>
      <c r="O380" s="14" t="n"/>
      <c r="P380" s="14" t="n"/>
      <c r="Q380" s="13" t="n"/>
      <c r="R380" s="15" t="n"/>
      <c r="S380" s="13" t="n"/>
      <c r="T380" s="13" t="n"/>
      <c r="U380" s="16">
        <f>IF(AND(ISNUMBER(O380),ISNUMBER(P380)),ROUND(SQRT(((P380-J380)*111320*COS(RADIANS(I380)))^2+((O380-I380)*110540)^2),0),"")</f>
        <v/>
      </c>
      <c r="V380" s="17">
        <f>IF(N380="","",IF(N380="Sửa vị trí",IF(OR(O380="",P380=""),"Thiếu vĩ độ / kinh độ mới",IF(OR(O380&lt;12.5,O380&gt;15,P380&lt;107,P380&gt;109.6),"Toạ độ ngoài Gia Lai (đảo vĩ/kinh độ?)",IF(Q380="","Chọn cách xác định",IF(U380&gt;20000,"Dời hơn 20 km – kiểm tra lại","OK")))),IF(AND(N380&lt;&gt;"Sửa vị trí",OR(O380&lt;&gt;"",P380&lt;&gt;"")),"Có toạ độ mới nhưng kết quả không phải Sửa vị trí","OK")))</f>
        <v/>
      </c>
    </row>
    <row r="381">
      <c r="A381" s="9" t="n">
        <v>377</v>
      </c>
      <c r="B381" s="9" t="inlineStr">
        <is>
          <t>bdc5f33f-3b22-7625-445a-0e925c7ace41</t>
        </is>
      </c>
      <c r="C381" s="9" t="inlineStr">
        <is>
          <t>Thấp</t>
        </is>
      </c>
      <c r="D381" s="10" t="inlineStr">
        <is>
          <t>R-ATM Vietcombank – TRỤ SỞ VCB</t>
        </is>
      </c>
      <c r="E381" s="9" t="inlineStr">
        <is>
          <t>ATM</t>
        </is>
      </c>
      <c r="F381" s="9" t="inlineStr">
        <is>
          <t>Website Vietcombank</t>
        </is>
      </c>
      <c r="G381" s="10" t="inlineStr">
        <is>
          <t>33 QUANG TRUNG P.PLEIKU GIA LAI, Phường Pleiku, Gia Lai</t>
        </is>
      </c>
      <c r="H381" s="9" t="inlineStr">
        <is>
          <t>Phường Pleiku</t>
        </is>
      </c>
      <c r="I381" s="11" t="n">
        <v>13.97712</v>
      </c>
      <c r="J381" s="11" t="n">
        <v>108.005601</v>
      </c>
      <c r="K381" s="9" t="inlineStr">
        <is>
          <t>Đã đối chiếu</t>
        </is>
      </c>
      <c r="L381" s="10" t="n"/>
      <c r="M381" s="12" t="inlineStr">
        <is>
          <t>Bản đồ</t>
        </is>
      </c>
      <c r="N381" s="13" t="n"/>
      <c r="O381" s="14" t="n"/>
      <c r="P381" s="14" t="n"/>
      <c r="Q381" s="13" t="n"/>
      <c r="R381" s="15" t="n"/>
      <c r="S381" s="13" t="n"/>
      <c r="T381" s="13" t="n"/>
      <c r="U381" s="16">
        <f>IF(AND(ISNUMBER(O381),ISNUMBER(P381)),ROUND(SQRT(((P381-J381)*111320*COS(RADIANS(I381)))^2+((O381-I381)*110540)^2),0),"")</f>
        <v/>
      </c>
      <c r="V381" s="17">
        <f>IF(N381="","",IF(N381="Sửa vị trí",IF(OR(O381="",P381=""),"Thiếu vĩ độ / kinh độ mới",IF(OR(O381&lt;12.5,O381&gt;15,P381&lt;107,P381&gt;109.6),"Toạ độ ngoài Gia Lai (đảo vĩ/kinh độ?)",IF(Q381="","Chọn cách xác định",IF(U381&gt;20000,"Dời hơn 20 km – kiểm tra lại","OK")))),IF(AND(N381&lt;&gt;"Sửa vị trí",OR(O381&lt;&gt;"",P381&lt;&gt;"")),"Có toạ độ mới nhưng kết quả không phải Sửa vị trí","OK")))</f>
        <v/>
      </c>
    </row>
    <row r="382">
      <c r="A382" s="9" t="n">
        <v>378</v>
      </c>
      <c r="B382" s="9" t="inlineStr">
        <is>
          <t>4c46b591-fc17-c367-a838-6d4c85994d30</t>
        </is>
      </c>
      <c r="C382" s="9" t="inlineStr">
        <is>
          <t>Thấp</t>
        </is>
      </c>
      <c r="D382" s="10" t="inlineStr">
        <is>
          <t>ATM Bộ chỉ huy bộ đội biên phòng tỉnh Bình Định (MB)</t>
        </is>
      </c>
      <c r="E382" s="9" t="inlineStr">
        <is>
          <t>ATM</t>
        </is>
      </c>
      <c r="F382" s="9" t="inlineStr">
        <is>
          <t>Trang bản đồ MB</t>
        </is>
      </c>
      <c r="G382" s="10" t="inlineStr">
        <is>
          <t>Số 99 đường Lý Thường Kiệt, phường Quy Nhơn, tỉnh Gia Lai., Phường Quy Nhơn, Gia Lai</t>
        </is>
      </c>
      <c r="H382" s="9" t="inlineStr">
        <is>
          <t>Phường Quy Nhơn</t>
        </is>
      </c>
      <c r="I382" s="11" t="n">
        <v>13.775968</v>
      </c>
      <c r="J382" s="11" t="n">
        <v>109.223721</v>
      </c>
      <c r="K382" s="9" t="inlineStr">
        <is>
          <t>Đã đối chiếu</t>
        </is>
      </c>
      <c r="L382" s="10" t="n"/>
      <c r="M382" s="12" t="inlineStr">
        <is>
          <t>Bản đồ</t>
        </is>
      </c>
      <c r="N382" s="13" t="n"/>
      <c r="O382" s="14" t="n"/>
      <c r="P382" s="14" t="n"/>
      <c r="Q382" s="13" t="n"/>
      <c r="R382" s="15" t="n"/>
      <c r="S382" s="13" t="n"/>
      <c r="T382" s="13" t="n"/>
      <c r="U382" s="16">
        <f>IF(AND(ISNUMBER(O382),ISNUMBER(P382)),ROUND(SQRT(((P382-J382)*111320*COS(RADIANS(I382)))^2+((O382-I382)*110540)^2),0),"")</f>
        <v/>
      </c>
      <c r="V382" s="17">
        <f>IF(N382="","",IF(N382="Sửa vị trí",IF(OR(O382="",P382=""),"Thiếu vĩ độ / kinh độ mới",IF(OR(O382&lt;12.5,O382&gt;15,P382&lt;107,P382&gt;109.6),"Toạ độ ngoài Gia Lai (đảo vĩ/kinh độ?)",IF(Q382="","Chọn cách xác định",IF(U382&gt;20000,"Dời hơn 20 km – kiểm tra lại","OK")))),IF(AND(N382&lt;&gt;"Sửa vị trí",OR(O382&lt;&gt;"",P382&lt;&gt;"")),"Có toạ độ mới nhưng kết quả không phải Sửa vị trí","OK")))</f>
        <v/>
      </c>
    </row>
    <row r="383">
      <c r="A383" s="9" t="n">
        <v>379</v>
      </c>
      <c r="B383" s="9" t="inlineStr">
        <is>
          <t>64c9330e-ea2f-292c-d13a-2173f6227e43</t>
        </is>
      </c>
      <c r="C383" s="9" t="inlineStr">
        <is>
          <t>Thấp</t>
        </is>
      </c>
      <c r="D383" s="10" t="inlineStr">
        <is>
          <t>ATM Công Ty Gỗ Đại Thành (MB)</t>
        </is>
      </c>
      <c r="E383" s="9" t="inlineStr">
        <is>
          <t>ATM</t>
        </is>
      </c>
      <c r="F383" s="9" t="inlineStr">
        <is>
          <t>Trang bản đồ MB</t>
        </is>
      </c>
      <c r="G383" s="10" t="inlineStr">
        <is>
          <t>Quốc lộ 1A, tổ 1, khu vực 8, phường Quy Nhơn Tây, tỉnh Gia Lai, Phường Quy Nhơn, Gia Lai</t>
        </is>
      </c>
      <c r="H383" s="9" t="inlineStr">
        <is>
          <t>Phường Quy Nhơn</t>
        </is>
      </c>
      <c r="I383" s="11" t="n">
        <v>13.77488</v>
      </c>
      <c r="J383" s="11" t="n">
        <v>109.22595</v>
      </c>
      <c r="K383" s="9" t="inlineStr">
        <is>
          <t>Đã đối chiếu</t>
        </is>
      </c>
      <c r="L383" s="10" t="n"/>
      <c r="M383" s="12" t="inlineStr">
        <is>
          <t>Bản đồ</t>
        </is>
      </c>
      <c r="N383" s="13" t="n"/>
      <c r="O383" s="14" t="n"/>
      <c r="P383" s="14" t="n"/>
      <c r="Q383" s="13" t="n"/>
      <c r="R383" s="15" t="n"/>
      <c r="S383" s="13" t="n"/>
      <c r="T383" s="13" t="n"/>
      <c r="U383" s="16">
        <f>IF(AND(ISNUMBER(O383),ISNUMBER(P383)),ROUND(SQRT(((P383-J383)*111320*COS(RADIANS(I383)))^2+((O383-I383)*110540)^2),0),"")</f>
        <v/>
      </c>
      <c r="V383" s="17">
        <f>IF(N383="","",IF(N383="Sửa vị trí",IF(OR(O383="",P383=""),"Thiếu vĩ độ / kinh độ mới",IF(OR(O383&lt;12.5,O383&gt;15,P383&lt;107,P383&gt;109.6),"Toạ độ ngoài Gia Lai (đảo vĩ/kinh độ?)",IF(Q383="","Chọn cách xác định",IF(U383&gt;20000,"Dời hơn 20 km – kiểm tra lại","OK")))),IF(AND(N383&lt;&gt;"Sửa vị trí",OR(O383&lt;&gt;"",P383&lt;&gt;"")),"Có toạ độ mới nhưng kết quả không phải Sửa vị trí","OK")))</f>
        <v/>
      </c>
    </row>
    <row r="384">
      <c r="A384" s="9" t="n">
        <v>380</v>
      </c>
      <c r="B384" s="9" t="inlineStr">
        <is>
          <t>8ea8c104-6b47-6942-26ca-a1fa1567c883</t>
        </is>
      </c>
      <c r="C384" s="9" t="inlineStr">
        <is>
          <t>Thấp</t>
        </is>
      </c>
      <c r="D384" s="10" t="inlineStr">
        <is>
          <t>ATM Vietcombank – BƯU ĐIỆN TRUNG TÂM</t>
        </is>
      </c>
      <c r="E384" s="9" t="inlineStr">
        <is>
          <t>ATM</t>
        </is>
      </c>
      <c r="F384" s="9" t="inlineStr">
        <is>
          <t>Website Vietcombank</t>
        </is>
      </c>
      <c r="G384" s="10" t="inlineStr">
        <is>
          <t>197 Phan Bội Châu, phường Quy Nhơn, Gia Lai, Phường Quy Nhơn, Gia Lai</t>
        </is>
      </c>
      <c r="H384" s="9" t="inlineStr">
        <is>
          <t>Phường Quy Nhơn</t>
        </is>
      </c>
      <c r="I384" s="11" t="n">
        <v>13.776245</v>
      </c>
      <c r="J384" s="11" t="n">
        <v>109.228166</v>
      </c>
      <c r="K384" s="9" t="inlineStr">
        <is>
          <t>Đã đối chiếu</t>
        </is>
      </c>
      <c r="L384" s="10" t="n"/>
      <c r="M384" s="12" t="inlineStr">
        <is>
          <t>Bản đồ</t>
        </is>
      </c>
      <c r="N384" s="13" t="n"/>
      <c r="O384" s="14" t="n"/>
      <c r="P384" s="14" t="n"/>
      <c r="Q384" s="13" t="n"/>
      <c r="R384" s="15" t="n"/>
      <c r="S384" s="13" t="n"/>
      <c r="T384" s="13" t="n"/>
      <c r="U384" s="16">
        <f>IF(AND(ISNUMBER(O384),ISNUMBER(P384)),ROUND(SQRT(((P384-J384)*111320*COS(RADIANS(I384)))^2+((O384-I384)*110540)^2),0),"")</f>
        <v/>
      </c>
      <c r="V384" s="17">
        <f>IF(N384="","",IF(N384="Sửa vị trí",IF(OR(O384="",P384=""),"Thiếu vĩ độ / kinh độ mới",IF(OR(O384&lt;12.5,O384&gt;15,P384&lt;107,P384&gt;109.6),"Toạ độ ngoài Gia Lai (đảo vĩ/kinh độ?)",IF(Q384="","Chọn cách xác định",IF(U384&gt;20000,"Dời hơn 20 km – kiểm tra lại","OK")))),IF(AND(N384&lt;&gt;"Sửa vị trí",OR(O384&lt;&gt;"",P384&lt;&gt;"")),"Có toạ độ mới nhưng kết quả không phải Sửa vị trí","OK")))</f>
        <v/>
      </c>
    </row>
    <row r="385">
      <c r="A385" s="9" t="n">
        <v>381</v>
      </c>
      <c r="B385" s="9" t="inlineStr">
        <is>
          <t>d8a71a7c-a397-e0d9-a682-15f20f3a3dae</t>
        </is>
      </c>
      <c r="C385" s="9" t="inlineStr">
        <is>
          <t>Thấp</t>
        </is>
      </c>
      <c r="D385" s="10" t="inlineStr">
        <is>
          <t>ATM Vietcombank – KHÁCH SẠN THẮNG LỢI</t>
        </is>
      </c>
      <c r="E385" s="9" t="inlineStr">
        <is>
          <t>ATM</t>
        </is>
      </c>
      <c r="F385" s="9" t="inlineStr">
        <is>
          <t>Website Vietcombank</t>
        </is>
      </c>
      <c r="G385" s="10" t="inlineStr">
        <is>
          <t>03 Trần Phú, phường Quy Nhơn, Gia Lai, Phường Quy Nhơn, Gia Lai</t>
        </is>
      </c>
      <c r="H385" s="9" t="inlineStr">
        <is>
          <t>Phường Quy Nhơn</t>
        </is>
      </c>
      <c r="I385" s="11" t="n">
        <v>13.770092</v>
      </c>
      <c r="J385" s="11" t="n">
        <v>109.227191</v>
      </c>
      <c r="K385" s="9" t="inlineStr">
        <is>
          <t>Đã đối chiếu</t>
        </is>
      </c>
      <c r="L385" s="10" t="n"/>
      <c r="M385" s="12" t="inlineStr">
        <is>
          <t>Bản đồ</t>
        </is>
      </c>
      <c r="N385" s="13" t="n"/>
      <c r="O385" s="14" t="n"/>
      <c r="P385" s="14" t="n"/>
      <c r="Q385" s="13" t="n"/>
      <c r="R385" s="15" t="n"/>
      <c r="S385" s="13" t="n"/>
      <c r="T385" s="13" t="n"/>
      <c r="U385" s="16">
        <f>IF(AND(ISNUMBER(O385),ISNUMBER(P385)),ROUND(SQRT(((P385-J385)*111320*COS(RADIANS(I385)))^2+((O385-I385)*110540)^2),0),"")</f>
        <v/>
      </c>
      <c r="V385" s="17">
        <f>IF(N385="","",IF(N385="Sửa vị trí",IF(OR(O385="",P385=""),"Thiếu vĩ độ / kinh độ mới",IF(OR(O385&lt;12.5,O385&gt;15,P385&lt;107,P385&gt;109.6),"Toạ độ ngoài Gia Lai (đảo vĩ/kinh độ?)",IF(Q385="","Chọn cách xác định",IF(U385&gt;20000,"Dời hơn 20 km – kiểm tra lại","OK")))),IF(AND(N385&lt;&gt;"Sửa vị trí",OR(O385&lt;&gt;"",P385&lt;&gt;"")),"Có toạ độ mới nhưng kết quả không phải Sửa vị trí","OK")))</f>
        <v/>
      </c>
    </row>
    <row r="386">
      <c r="A386" s="9" t="n">
        <v>382</v>
      </c>
      <c r="B386" s="9" t="inlineStr">
        <is>
          <t>79e7c7d0-d5bb-52ec-bdda-397a9520968a</t>
        </is>
      </c>
      <c r="C386" s="9" t="inlineStr">
        <is>
          <t>Thấp</t>
        </is>
      </c>
      <c r="D386" s="10" t="inlineStr">
        <is>
          <t>ATM Vietcombank – KS SÀI GÒN QUY NHƠN</t>
        </is>
      </c>
      <c r="E386" s="9" t="inlineStr">
        <is>
          <t>ATM</t>
        </is>
      </c>
      <c r="F386" s="9" t="inlineStr">
        <is>
          <t>Website Vietcombank</t>
        </is>
      </c>
      <c r="G386" s="10" t="inlineStr">
        <is>
          <t>24 Nguyễn Huệ, phường Quy Nhơn, Gia Lai, Phường Quy Nhơn, Gia Lai</t>
        </is>
      </c>
      <c r="H386" s="9" t="inlineStr">
        <is>
          <t>Phường Quy Nhơn</t>
        </is>
      </c>
      <c r="I386" s="11" t="n">
        <v>13.770762</v>
      </c>
      <c r="J386" s="11" t="n">
        <v>109.234438</v>
      </c>
      <c r="K386" s="9" t="inlineStr">
        <is>
          <t>Đã đối chiếu</t>
        </is>
      </c>
      <c r="L386" s="10" t="n"/>
      <c r="M386" s="12" t="inlineStr">
        <is>
          <t>Bản đồ</t>
        </is>
      </c>
      <c r="N386" s="13" t="n"/>
      <c r="O386" s="14" t="n"/>
      <c r="P386" s="14" t="n"/>
      <c r="Q386" s="13" t="n"/>
      <c r="R386" s="15" t="n"/>
      <c r="S386" s="13" t="n"/>
      <c r="T386" s="13" t="n"/>
      <c r="U386" s="16">
        <f>IF(AND(ISNUMBER(O386),ISNUMBER(P386)),ROUND(SQRT(((P386-J386)*111320*COS(RADIANS(I386)))^2+((O386-I386)*110540)^2),0),"")</f>
        <v/>
      </c>
      <c r="V386" s="17">
        <f>IF(N386="","",IF(N386="Sửa vị trí",IF(OR(O386="",P386=""),"Thiếu vĩ độ / kinh độ mới",IF(OR(O386&lt;12.5,O386&gt;15,P386&lt;107,P386&gt;109.6),"Toạ độ ngoài Gia Lai (đảo vĩ/kinh độ?)",IF(Q386="","Chọn cách xác định",IF(U386&gt;20000,"Dời hơn 20 km – kiểm tra lại","OK")))),IF(AND(N386&lt;&gt;"Sửa vị trí",OR(O386&lt;&gt;"",P386&lt;&gt;"")),"Có toạ độ mới nhưng kết quả không phải Sửa vị trí","OK")))</f>
        <v/>
      </c>
    </row>
    <row r="387">
      <c r="A387" s="9" t="n">
        <v>383</v>
      </c>
      <c r="B387" s="9" t="inlineStr">
        <is>
          <t>af565d69-51fd-2659-6475-0956cf189545</t>
        </is>
      </c>
      <c r="C387" s="9" t="inlineStr">
        <is>
          <t>Thấp</t>
        </is>
      </c>
      <c r="D387" s="10" t="inlineStr">
        <is>
          <t>ATM Vietcombank – PGD HÙNG VƯƠNG</t>
        </is>
      </c>
      <c r="E387" s="9" t="inlineStr">
        <is>
          <t>ATM</t>
        </is>
      </c>
      <c r="F387" s="9" t="inlineStr">
        <is>
          <t>Website Vietcombank</t>
        </is>
      </c>
      <c r="G387" s="10" t="inlineStr">
        <is>
          <t>223 TĂNG BẠT HỔ,PHƯỜNG QUY NHƠN,TỈNH GIA LAI, Phường Quy Nhơn, Gia Lai</t>
        </is>
      </c>
      <c r="H387" s="9" t="inlineStr">
        <is>
          <t>Phường Quy Nhơn</t>
        </is>
      </c>
      <c r="I387" s="11" t="n">
        <v>13.772824</v>
      </c>
      <c r="J387" s="11" t="n">
        <v>109.226808</v>
      </c>
      <c r="K387" s="9" t="inlineStr">
        <is>
          <t>Đã đối chiếu</t>
        </is>
      </c>
      <c r="L387" s="10" t="n"/>
      <c r="M387" s="12" t="inlineStr">
        <is>
          <t>Bản đồ</t>
        </is>
      </c>
      <c r="N387" s="13" t="n"/>
      <c r="O387" s="14" t="n"/>
      <c r="P387" s="14" t="n"/>
      <c r="Q387" s="13" t="n"/>
      <c r="R387" s="15" t="n"/>
      <c r="S387" s="13" t="n"/>
      <c r="T387" s="13" t="n"/>
      <c r="U387" s="16">
        <f>IF(AND(ISNUMBER(O387),ISNUMBER(P387)),ROUND(SQRT(((P387-J387)*111320*COS(RADIANS(I387)))^2+((O387-I387)*110540)^2),0),"")</f>
        <v/>
      </c>
      <c r="V387" s="17">
        <f>IF(N387="","",IF(N387="Sửa vị trí",IF(OR(O387="",P387=""),"Thiếu vĩ độ / kinh độ mới",IF(OR(O387&lt;12.5,O387&gt;15,P387&lt;107,P387&gt;109.6),"Toạ độ ngoài Gia Lai (đảo vĩ/kinh độ?)",IF(Q387="","Chọn cách xác định",IF(U387&gt;20000,"Dời hơn 20 km – kiểm tra lại","OK")))),IF(AND(N387&lt;&gt;"Sửa vị trí",OR(O387&lt;&gt;"",P387&lt;&gt;"")),"Có toạ độ mới nhưng kết quả không phải Sửa vị trí","OK")))</f>
        <v/>
      </c>
    </row>
    <row r="388">
      <c r="A388" s="9" t="n">
        <v>384</v>
      </c>
      <c r="B388" s="9" t="inlineStr">
        <is>
          <t>9e00a2d6-21dd-2c9c-d25a-84d0462a3776</t>
        </is>
      </c>
      <c r="C388" s="9" t="inlineStr">
        <is>
          <t>Thấp</t>
        </is>
      </c>
      <c r="D388" s="10" t="inlineStr">
        <is>
          <t>ATM Vietcombank – PGD LÊ LỢI</t>
        </is>
      </c>
      <c r="E388" s="9" t="inlineStr">
        <is>
          <t>ATM</t>
        </is>
      </c>
      <c r="F388" s="9" t="inlineStr">
        <is>
          <t>Website Vietcombank</t>
        </is>
      </c>
      <c r="G388" s="10" t="inlineStr">
        <is>
          <t>152 Lê Lợi, phường Quy Nhơn, Gia Lai, Phường Quy Nhơn, Gia Lai</t>
        </is>
      </c>
      <c r="H388" s="9" t="inlineStr">
        <is>
          <t>Phường Quy Nhơn</t>
        </is>
      </c>
      <c r="I388" s="11" t="n">
        <v>13.775997</v>
      </c>
      <c r="J388" s="11" t="n">
        <v>109.232437</v>
      </c>
      <c r="K388" s="9" t="inlineStr">
        <is>
          <t>Đã đối chiếu</t>
        </is>
      </c>
      <c r="L388" s="10" t="n"/>
      <c r="M388" s="12" t="inlineStr">
        <is>
          <t>Bản đồ</t>
        </is>
      </c>
      <c r="N388" s="13" t="n"/>
      <c r="O388" s="14" t="n"/>
      <c r="P388" s="14" t="n"/>
      <c r="Q388" s="13" t="n"/>
      <c r="R388" s="15" t="n"/>
      <c r="S388" s="13" t="n"/>
      <c r="T388" s="13" t="n"/>
      <c r="U388" s="16">
        <f>IF(AND(ISNUMBER(O388),ISNUMBER(P388)),ROUND(SQRT(((P388-J388)*111320*COS(RADIANS(I388)))^2+((O388-I388)*110540)^2),0),"")</f>
        <v/>
      </c>
      <c r="V388" s="17">
        <f>IF(N388="","",IF(N388="Sửa vị trí",IF(OR(O388="",P388=""),"Thiếu vĩ độ / kinh độ mới",IF(OR(O388&lt;12.5,O388&gt;15,P388&lt;107,P388&gt;109.6),"Toạ độ ngoài Gia Lai (đảo vĩ/kinh độ?)",IF(Q388="","Chọn cách xác định",IF(U388&gt;20000,"Dời hơn 20 km – kiểm tra lại","OK")))),IF(AND(N388&lt;&gt;"Sửa vị trí",OR(O388&lt;&gt;"",P388&lt;&gt;"")),"Có toạ độ mới nhưng kết quả không phải Sửa vị trí","OK")))</f>
        <v/>
      </c>
    </row>
    <row r="389">
      <c r="A389" s="9" t="n">
        <v>385</v>
      </c>
      <c r="B389" s="9" t="inlineStr">
        <is>
          <t>43b808e0-4185-acc3-a2f8-fd10d912351c</t>
        </is>
      </c>
      <c r="C389" s="9" t="inlineStr">
        <is>
          <t>Thấp</t>
        </is>
      </c>
      <c r="D389" s="10" t="inlineStr">
        <is>
          <t>ATM Vietcombank – PGD TRẦN HƯNG ĐẠO</t>
        </is>
      </c>
      <c r="E389" s="9" t="inlineStr">
        <is>
          <t>ATM</t>
        </is>
      </c>
      <c r="F389" s="9" t="inlineStr">
        <is>
          <t>Website Vietcombank</t>
        </is>
      </c>
      <c r="G389" s="10" t="inlineStr">
        <is>
          <t>550-552 Trần Hưng Đạo, phường Quy Nhơn, Gia Lai, Phường Quy Nhơn, Gia Lai</t>
        </is>
      </c>
      <c r="H389" s="9" t="inlineStr">
        <is>
          <t>Phường Quy Nhơn</t>
        </is>
      </c>
      <c r="I389" s="11" t="n">
        <v>13.781344</v>
      </c>
      <c r="J389" s="11" t="n">
        <v>109.221953</v>
      </c>
      <c r="K389" s="9" t="inlineStr">
        <is>
          <t>Đã đối chiếu</t>
        </is>
      </c>
      <c r="L389" s="10" t="n"/>
      <c r="M389" s="12" t="inlineStr">
        <is>
          <t>Bản đồ</t>
        </is>
      </c>
      <c r="N389" s="13" t="n"/>
      <c r="O389" s="14" t="n"/>
      <c r="P389" s="14" t="n"/>
      <c r="Q389" s="13" t="n"/>
      <c r="R389" s="15" t="n"/>
      <c r="S389" s="13" t="n"/>
      <c r="T389" s="13" t="n"/>
      <c r="U389" s="16">
        <f>IF(AND(ISNUMBER(O389),ISNUMBER(P389)),ROUND(SQRT(((P389-J389)*111320*COS(RADIANS(I389)))^2+((O389-I389)*110540)^2),0),"")</f>
        <v/>
      </c>
      <c r="V389" s="17">
        <f>IF(N389="","",IF(N389="Sửa vị trí",IF(OR(O389="",P389=""),"Thiếu vĩ độ / kinh độ mới",IF(OR(O389&lt;12.5,O389&gt;15,P389&lt;107,P389&gt;109.6),"Toạ độ ngoài Gia Lai (đảo vĩ/kinh độ?)",IF(Q389="","Chọn cách xác định",IF(U389&gt;20000,"Dời hơn 20 km – kiểm tra lại","OK")))),IF(AND(N389&lt;&gt;"Sửa vị trí",OR(O389&lt;&gt;"",P389&lt;&gt;"")),"Có toạ độ mới nhưng kết quả không phải Sửa vị trí","OK")))</f>
        <v/>
      </c>
    </row>
    <row r="390">
      <c r="A390" s="9" t="n">
        <v>386</v>
      </c>
      <c r="B390" s="9" t="inlineStr">
        <is>
          <t>64168f68-826a-4b3e-b268-e7d12243a791</t>
        </is>
      </c>
      <c r="C390" s="9" t="inlineStr">
        <is>
          <t>Thấp</t>
        </is>
      </c>
      <c r="D390" s="10" t="inlineStr">
        <is>
          <t>ATM Vietcombank – TRỤ SỞ CN BÌNH ĐỊNH</t>
        </is>
      </c>
      <c r="E390" s="9" t="inlineStr">
        <is>
          <t>ATM</t>
        </is>
      </c>
      <c r="F390" s="9" t="inlineStr">
        <is>
          <t>Website Vietcombank</t>
        </is>
      </c>
      <c r="G390" s="10" t="inlineStr">
        <is>
          <t>66C Lê Duẩn, phường Quy Nhơn, Gia Lai, Phường Quy Nhơn, Gia Lai</t>
        </is>
      </c>
      <c r="H390" s="9" t="inlineStr">
        <is>
          <t>Phường Quy Nhơn</t>
        </is>
      </c>
      <c r="I390" s="11" t="n">
        <v>13.76996</v>
      </c>
      <c r="J390" s="11" t="n">
        <v>109.221118</v>
      </c>
      <c r="K390" s="9" t="inlineStr">
        <is>
          <t>Đã đối chiếu</t>
        </is>
      </c>
      <c r="L390" s="10" t="n"/>
      <c r="M390" s="12" t="inlineStr">
        <is>
          <t>Bản đồ</t>
        </is>
      </c>
      <c r="N390" s="13" t="n"/>
      <c r="O390" s="14" t="n"/>
      <c r="P390" s="14" t="n"/>
      <c r="Q390" s="13" t="n"/>
      <c r="R390" s="15" t="n"/>
      <c r="S390" s="13" t="n"/>
      <c r="T390" s="13" t="n"/>
      <c r="U390" s="16">
        <f>IF(AND(ISNUMBER(O390),ISNUMBER(P390)),ROUND(SQRT(((P390-J390)*111320*COS(RADIANS(I390)))^2+((O390-I390)*110540)^2),0),"")</f>
        <v/>
      </c>
      <c r="V390" s="17">
        <f>IF(N390="","",IF(N390="Sửa vị trí",IF(OR(O390="",P390=""),"Thiếu vĩ độ / kinh độ mới",IF(OR(O390&lt;12.5,O390&gt;15,P390&lt;107,P390&gt;109.6),"Toạ độ ngoài Gia Lai (đảo vĩ/kinh độ?)",IF(Q390="","Chọn cách xác định",IF(U390&gt;20000,"Dời hơn 20 km – kiểm tra lại","OK")))),IF(AND(N390&lt;&gt;"Sửa vị trí",OR(O390&lt;&gt;"",P390&lt;&gt;"")),"Có toạ độ mới nhưng kết quả không phải Sửa vị trí","OK")))</f>
        <v/>
      </c>
    </row>
    <row r="391">
      <c r="A391" s="9" t="n">
        <v>387</v>
      </c>
      <c r="B391" s="9" t="inlineStr">
        <is>
          <t>80da5c73-1b4e-0f8b-c05d-31ed538e32d2</t>
        </is>
      </c>
      <c r="C391" s="9" t="inlineStr">
        <is>
          <t>Thấp</t>
        </is>
      </c>
      <c r="D391" s="10" t="inlineStr">
        <is>
          <t>CRM UBND phường Trần Hưng Đạo (MB)</t>
        </is>
      </c>
      <c r="E391" s="9" t="inlineStr">
        <is>
          <t>ATM</t>
        </is>
      </c>
      <c r="F391" s="9" t="inlineStr">
        <is>
          <t>Trang bản đồ MB</t>
        </is>
      </c>
      <c r="G391" s="10" t="inlineStr">
        <is>
          <t>283 Trần Hưng Đạo, thành phố Quy Nhơn, tỉnh Bình Định, Phường Quy Nhơn, Gia Lai</t>
        </is>
      </c>
      <c r="H391" s="9" t="inlineStr">
        <is>
          <t>Phường Quy Nhơn</t>
        </is>
      </c>
      <c r="I391" s="11" t="n">
        <v>13.775769</v>
      </c>
      <c r="J391" s="11" t="n">
        <v>109.230896</v>
      </c>
      <c r="K391" s="9" t="inlineStr">
        <is>
          <t>Đã đối chiếu</t>
        </is>
      </c>
      <c r="L391" s="10" t="n"/>
      <c r="M391" s="12" t="inlineStr">
        <is>
          <t>Bản đồ</t>
        </is>
      </c>
      <c r="N391" s="13" t="n"/>
      <c r="O391" s="14" t="n"/>
      <c r="P391" s="14" t="n"/>
      <c r="Q391" s="13" t="n"/>
      <c r="R391" s="15" t="n"/>
      <c r="S391" s="13" t="n"/>
      <c r="T391" s="13" t="n"/>
      <c r="U391" s="16">
        <f>IF(AND(ISNUMBER(O391),ISNUMBER(P391)),ROUND(SQRT(((P391-J391)*111320*COS(RADIANS(I391)))^2+((O391-I391)*110540)^2),0),"")</f>
        <v/>
      </c>
      <c r="V391" s="17">
        <f>IF(N391="","",IF(N391="Sửa vị trí",IF(OR(O391="",P391=""),"Thiếu vĩ độ / kinh độ mới",IF(OR(O391&lt;12.5,O391&gt;15,P391&lt;107,P391&gt;109.6),"Toạ độ ngoài Gia Lai (đảo vĩ/kinh độ?)",IF(Q391="","Chọn cách xác định",IF(U391&gt;20000,"Dời hơn 20 km – kiểm tra lại","OK")))),IF(AND(N391&lt;&gt;"Sửa vị trí",OR(O391&lt;&gt;"",P391&lt;&gt;"")),"Có toạ độ mới nhưng kết quả không phải Sửa vị trí","OK")))</f>
        <v/>
      </c>
    </row>
    <row r="392">
      <c r="A392" s="9" t="n">
        <v>388</v>
      </c>
      <c r="B392" s="9" t="inlineStr">
        <is>
          <t>9db17017-c11e-7996-696f-2b3b1aaaf603</t>
        </is>
      </c>
      <c r="C392" s="9" t="inlineStr">
        <is>
          <t>Thấp</t>
        </is>
      </c>
      <c r="D392" s="10" t="inlineStr">
        <is>
          <t>R-ATM Vietcombank – PGD LÊ LỢI</t>
        </is>
      </c>
      <c r="E392" s="9" t="inlineStr">
        <is>
          <t>ATM</t>
        </is>
      </c>
      <c r="F392" s="9" t="inlineStr">
        <is>
          <t>Website Vietcombank</t>
        </is>
      </c>
      <c r="G392" s="10" t="inlineStr">
        <is>
          <t>152 Lê Lợi,phường Quy Nhơn,Gia Lai, Phường Quy Nhơn, Gia Lai</t>
        </is>
      </c>
      <c r="H392" s="9" t="inlineStr">
        <is>
          <t>Phường Quy Nhơn</t>
        </is>
      </c>
      <c r="I392" s="11" t="n">
        <v>13.775997</v>
      </c>
      <c r="J392" s="11" t="n">
        <v>109.232437</v>
      </c>
      <c r="K392" s="9" t="inlineStr">
        <is>
          <t>Đã đối chiếu</t>
        </is>
      </c>
      <c r="L392" s="10" t="n"/>
      <c r="M392" s="12" t="inlineStr">
        <is>
          <t>Bản đồ</t>
        </is>
      </c>
      <c r="N392" s="13" t="n"/>
      <c r="O392" s="14" t="n"/>
      <c r="P392" s="14" t="n"/>
      <c r="Q392" s="13" t="n"/>
      <c r="R392" s="15" t="n"/>
      <c r="S392" s="13" t="n"/>
      <c r="T392" s="13" t="n"/>
      <c r="U392" s="16">
        <f>IF(AND(ISNUMBER(O392),ISNUMBER(P392)),ROUND(SQRT(((P392-J392)*111320*COS(RADIANS(I392)))^2+((O392-I392)*110540)^2),0),"")</f>
        <v/>
      </c>
      <c r="V392" s="17">
        <f>IF(N392="","",IF(N392="Sửa vị trí",IF(OR(O392="",P392=""),"Thiếu vĩ độ / kinh độ mới",IF(OR(O392&lt;12.5,O392&gt;15,P392&lt;107,P392&gt;109.6),"Toạ độ ngoài Gia Lai (đảo vĩ/kinh độ?)",IF(Q392="","Chọn cách xác định",IF(U392&gt;20000,"Dời hơn 20 km – kiểm tra lại","OK")))),IF(AND(N392&lt;&gt;"Sửa vị trí",OR(O392&lt;&gt;"",P392&lt;&gt;"")),"Có toạ độ mới nhưng kết quả không phải Sửa vị trí","OK")))</f>
        <v/>
      </c>
    </row>
    <row r="393">
      <c r="A393" s="9" t="n">
        <v>389</v>
      </c>
      <c r="B393" s="9" t="inlineStr">
        <is>
          <t>a1020840-8da3-d9c3-f338-b170f94fe4be</t>
        </is>
      </c>
      <c r="C393" s="9" t="inlineStr">
        <is>
          <t>Thấp</t>
        </is>
      </c>
      <c r="D393" s="10" t="inlineStr">
        <is>
          <t>R-ATM Vietcombank – TRỤ SỞ CN BÌNH ĐỊNH</t>
        </is>
      </c>
      <c r="E393" s="9" t="inlineStr">
        <is>
          <t>ATM</t>
        </is>
      </c>
      <c r="F393" s="9" t="inlineStr">
        <is>
          <t>Website Vietcombank</t>
        </is>
      </c>
      <c r="G393" s="10" t="inlineStr">
        <is>
          <t>66C Lê Duẩn,phường Quy Nhơn,Gia Lai, Phường Quy Nhơn, Gia Lai</t>
        </is>
      </c>
      <c r="H393" s="9" t="inlineStr">
        <is>
          <t>Phường Quy Nhơn</t>
        </is>
      </c>
      <c r="I393" s="11" t="n">
        <v>13.76996</v>
      </c>
      <c r="J393" s="11" t="n">
        <v>109.221118</v>
      </c>
      <c r="K393" s="9" t="inlineStr">
        <is>
          <t>Đã đối chiếu</t>
        </is>
      </c>
      <c r="L393" s="10" t="n"/>
      <c r="M393" s="12" t="inlineStr">
        <is>
          <t>Bản đồ</t>
        </is>
      </c>
      <c r="N393" s="13" t="n"/>
      <c r="O393" s="14" t="n"/>
      <c r="P393" s="14" t="n"/>
      <c r="Q393" s="13" t="n"/>
      <c r="R393" s="15" t="n"/>
      <c r="S393" s="13" t="n"/>
      <c r="T393" s="13" t="n"/>
      <c r="U393" s="16">
        <f>IF(AND(ISNUMBER(O393),ISNUMBER(P393)),ROUND(SQRT(((P393-J393)*111320*COS(RADIANS(I393)))^2+((O393-I393)*110540)^2),0),"")</f>
        <v/>
      </c>
      <c r="V393" s="17">
        <f>IF(N393="","",IF(N393="Sửa vị trí",IF(OR(O393="",P393=""),"Thiếu vĩ độ / kinh độ mới",IF(OR(O393&lt;12.5,O393&gt;15,P393&lt;107,P393&gt;109.6),"Toạ độ ngoài Gia Lai (đảo vĩ/kinh độ?)",IF(Q393="","Chọn cách xác định",IF(U393&gt;20000,"Dời hơn 20 km – kiểm tra lại","OK")))),IF(AND(N393&lt;&gt;"Sửa vị trí",OR(O393&lt;&gt;"",P393&lt;&gt;"")),"Có toạ độ mới nhưng kết quả không phải Sửa vị trí","OK")))</f>
        <v/>
      </c>
    </row>
    <row r="394">
      <c r="A394" s="9" t="n">
        <v>390</v>
      </c>
      <c r="B394" s="9" t="inlineStr">
        <is>
          <t>6e6e7aae-2e11-a9ae-2450-0e4d339597c4</t>
        </is>
      </c>
      <c r="C394" s="9" t="inlineStr">
        <is>
          <t>Thấp</t>
        </is>
      </c>
      <c r="D394" s="10" t="inlineStr">
        <is>
          <t>ATM Vietcombank – TRƯỜNG CAO ĐẲNG BÌNH ĐỊNH</t>
        </is>
      </c>
      <c r="E394" s="9" t="inlineStr">
        <is>
          <t>ATM</t>
        </is>
      </c>
      <c r="F394" s="9" t="inlineStr">
        <is>
          <t>Website Vietcombank</t>
        </is>
      </c>
      <c r="G394" s="10" t="inlineStr">
        <is>
          <t>684 Hùng Vương, phường Quy Nhơn Bắc, Gia Lai, Phường Quy Nhơn Bắc, Gia Lai</t>
        </is>
      </c>
      <c r="H394" s="9" t="inlineStr">
        <is>
          <t>Phường Quy Nhơn Bắc</t>
        </is>
      </c>
      <c r="I394" s="11" t="n">
        <v>13.795531</v>
      </c>
      <c r="J394" s="11" t="n">
        <v>109.180997</v>
      </c>
      <c r="K394" s="9" t="inlineStr">
        <is>
          <t>Đã đối chiếu</t>
        </is>
      </c>
      <c r="L394" s="10" t="n"/>
      <c r="M394" s="12" t="inlineStr">
        <is>
          <t>Bản đồ</t>
        </is>
      </c>
      <c r="N394" s="13" t="n"/>
      <c r="O394" s="14" t="n"/>
      <c r="P394" s="14" t="n"/>
      <c r="Q394" s="13" t="n"/>
      <c r="R394" s="15" t="n"/>
      <c r="S394" s="13" t="n"/>
      <c r="T394" s="13" t="n"/>
      <c r="U394" s="16">
        <f>IF(AND(ISNUMBER(O394),ISNUMBER(P394)),ROUND(SQRT(((P394-J394)*111320*COS(RADIANS(I394)))^2+((O394-I394)*110540)^2),0),"")</f>
        <v/>
      </c>
      <c r="V394" s="17">
        <f>IF(N394="","",IF(N394="Sửa vị trí",IF(OR(O394="",P394=""),"Thiếu vĩ độ / kinh độ mới",IF(OR(O394&lt;12.5,O394&gt;15,P394&lt;107,P394&gt;109.6),"Toạ độ ngoài Gia Lai (đảo vĩ/kinh độ?)",IF(Q394="","Chọn cách xác định",IF(U394&gt;20000,"Dời hơn 20 km – kiểm tra lại","OK")))),IF(AND(N394&lt;&gt;"Sửa vị trí",OR(O394&lt;&gt;"",P394&lt;&gt;"")),"Có toạ độ mới nhưng kết quả không phải Sửa vị trí","OK")))</f>
        <v/>
      </c>
    </row>
    <row r="395">
      <c r="A395" s="9" t="n">
        <v>391</v>
      </c>
      <c r="B395" s="9" t="inlineStr">
        <is>
          <t>a35d20f7-bc81-4f94-c4b4-80c6e6ccb41a</t>
        </is>
      </c>
      <c r="C395" s="9" t="inlineStr">
        <is>
          <t>Thấp</t>
        </is>
      </c>
      <c r="D395" s="10" t="inlineStr">
        <is>
          <t>ATM Vietcombank – TRỤ SỞ VCB QUY NHƠN</t>
        </is>
      </c>
      <c r="E395" s="9" t="inlineStr">
        <is>
          <t>ATM</t>
        </is>
      </c>
      <c r="F395" s="9" t="inlineStr">
        <is>
          <t>Website Vietcombank</t>
        </is>
      </c>
      <c r="G395" s="10" t="inlineStr">
        <is>
          <t>433 LẠC LONG QUÂN,PHƯỜNG QUY NHƠN BẮC,TỈNH GIA LAI, Phường Quy Nhơn Bắc, Gia Lai</t>
        </is>
      </c>
      <c r="H395" s="9" t="inlineStr">
        <is>
          <t>Phường Quy Nhơn Bắc</t>
        </is>
      </c>
      <c r="I395" s="11" t="n">
        <v>13.78159</v>
      </c>
      <c r="J395" s="11" t="n">
        <v>109.148745</v>
      </c>
      <c r="K395" s="9" t="inlineStr">
        <is>
          <t>Đã đối chiếu</t>
        </is>
      </c>
      <c r="L395" s="10" t="n"/>
      <c r="M395" s="12" t="inlineStr">
        <is>
          <t>Bản đồ</t>
        </is>
      </c>
      <c r="N395" s="13" t="n"/>
      <c r="O395" s="14" t="n"/>
      <c r="P395" s="14" t="n"/>
      <c r="Q395" s="13" t="n"/>
      <c r="R395" s="15" t="n"/>
      <c r="S395" s="13" t="n"/>
      <c r="T395" s="13" t="n"/>
      <c r="U395" s="16">
        <f>IF(AND(ISNUMBER(O395),ISNUMBER(P395)),ROUND(SQRT(((P395-J395)*111320*COS(RADIANS(I395)))^2+((O395-I395)*110540)^2),0),"")</f>
        <v/>
      </c>
      <c r="V395" s="17">
        <f>IF(N395="","",IF(N395="Sửa vị trí",IF(OR(O395="",P395=""),"Thiếu vĩ độ / kinh độ mới",IF(OR(O395&lt;12.5,O395&gt;15,P395&lt;107,P395&gt;109.6),"Toạ độ ngoài Gia Lai (đảo vĩ/kinh độ?)",IF(Q395="","Chọn cách xác định",IF(U395&gt;20000,"Dời hơn 20 km – kiểm tra lại","OK")))),IF(AND(N395&lt;&gt;"Sửa vị trí",OR(O395&lt;&gt;"",P395&lt;&gt;"")),"Có toạ độ mới nhưng kết quả không phải Sửa vị trí","OK")))</f>
        <v/>
      </c>
    </row>
    <row r="396">
      <c r="A396" s="9" t="n">
        <v>392</v>
      </c>
      <c r="B396" s="9" t="inlineStr">
        <is>
          <t>914bfced-842f-82cc-da0b-5d262f82e18d</t>
        </is>
      </c>
      <c r="C396" s="9" t="inlineStr">
        <is>
          <t>Thấp</t>
        </is>
      </c>
      <c r="D396" s="10" t="inlineStr">
        <is>
          <t>CRM PGD Diêu Trì (MB)</t>
        </is>
      </c>
      <c r="E396" s="9" t="inlineStr">
        <is>
          <t>ATM</t>
        </is>
      </c>
      <c r="F396" s="9" t="inlineStr">
        <is>
          <t>Trang bản đồ MB</t>
        </is>
      </c>
      <c r="G396" s="10" t="inlineStr">
        <is>
          <t>Số 50, 52 đường Lạc Long Quân, phường Quy Nhơn Bắc, tỉnh Gia Lai., Phường Quy Nhơn Bắc, Gia Lai</t>
        </is>
      </c>
      <c r="H396" s="9" t="inlineStr">
        <is>
          <t>Phường Quy Nhơn Bắc</t>
        </is>
      </c>
      <c r="I396" s="11" t="n">
        <v>13.796238</v>
      </c>
      <c r="J396" s="11" t="n">
        <v>109.14749</v>
      </c>
      <c r="K396" s="9" t="inlineStr">
        <is>
          <t>Đã đối chiếu</t>
        </is>
      </c>
      <c r="L396" s="10" t="n"/>
      <c r="M396" s="12" t="inlineStr">
        <is>
          <t>Bản đồ</t>
        </is>
      </c>
      <c r="N396" s="13" t="n"/>
      <c r="O396" s="14" t="n"/>
      <c r="P396" s="14" t="n"/>
      <c r="Q396" s="13" t="n"/>
      <c r="R396" s="15" t="n"/>
      <c r="S396" s="13" t="n"/>
      <c r="T396" s="13" t="n"/>
      <c r="U396" s="16">
        <f>IF(AND(ISNUMBER(O396),ISNUMBER(P396)),ROUND(SQRT(((P396-J396)*111320*COS(RADIANS(I396)))^2+((O396-I396)*110540)^2),0),"")</f>
        <v/>
      </c>
      <c r="V396" s="17">
        <f>IF(N396="","",IF(N396="Sửa vị trí",IF(OR(O396="",P396=""),"Thiếu vĩ độ / kinh độ mới",IF(OR(O396&lt;12.5,O396&gt;15,P396&lt;107,P396&gt;109.6),"Toạ độ ngoài Gia Lai (đảo vĩ/kinh độ?)",IF(Q396="","Chọn cách xác định",IF(U396&gt;20000,"Dời hơn 20 km – kiểm tra lại","OK")))),IF(AND(N396&lt;&gt;"Sửa vị trí",OR(O396&lt;&gt;"",P396&lt;&gt;"")),"Có toạ độ mới nhưng kết quả không phải Sửa vị trí","OK")))</f>
        <v/>
      </c>
    </row>
    <row r="397">
      <c r="A397" s="9" t="n">
        <v>393</v>
      </c>
      <c r="B397" s="9" t="inlineStr">
        <is>
          <t>43372961-0791-ccb5-1473-c5eee6b67d80</t>
        </is>
      </c>
      <c r="C397" s="9" t="inlineStr">
        <is>
          <t>Thấp</t>
        </is>
      </c>
      <c r="D397" s="10" t="inlineStr">
        <is>
          <t>R-ATM Vietcombank – TRỤ SỞ VCB QUY NHƠN</t>
        </is>
      </c>
      <c r="E397" s="9" t="inlineStr">
        <is>
          <t>ATM</t>
        </is>
      </c>
      <c r="F397" s="9" t="inlineStr">
        <is>
          <t>Website Vietcombank</t>
        </is>
      </c>
      <c r="G397" s="10" t="inlineStr">
        <is>
          <t>433 LẠC LONG QUÂN,PHƯỜNG QUY NHƠN BẮC,TỈNH GIA LAI, Phường Quy Nhơn Bắc, Gia Lai</t>
        </is>
      </c>
      <c r="H397" s="9" t="inlineStr">
        <is>
          <t>Phường Quy Nhơn Bắc</t>
        </is>
      </c>
      <c r="I397" s="11" t="n">
        <v>13.78159</v>
      </c>
      <c r="J397" s="11" t="n">
        <v>109.148745</v>
      </c>
      <c r="K397" s="9" t="inlineStr">
        <is>
          <t>Đã đối chiếu</t>
        </is>
      </c>
      <c r="L397" s="10" t="n"/>
      <c r="M397" s="12" t="inlineStr">
        <is>
          <t>Bản đồ</t>
        </is>
      </c>
      <c r="N397" s="13" t="n"/>
      <c r="O397" s="14" t="n"/>
      <c r="P397" s="14" t="n"/>
      <c r="Q397" s="13" t="n"/>
      <c r="R397" s="15" t="n"/>
      <c r="S397" s="13" t="n"/>
      <c r="T397" s="13" t="n"/>
      <c r="U397" s="16">
        <f>IF(AND(ISNUMBER(O397),ISNUMBER(P397)),ROUND(SQRT(((P397-J397)*111320*COS(RADIANS(I397)))^2+((O397-I397)*110540)^2),0),"")</f>
        <v/>
      </c>
      <c r="V397" s="17">
        <f>IF(N397="","",IF(N397="Sửa vị trí",IF(OR(O397="",P397=""),"Thiếu vĩ độ / kinh độ mới",IF(OR(O397&lt;12.5,O397&gt;15,P397&lt;107,P397&gt;109.6),"Toạ độ ngoài Gia Lai (đảo vĩ/kinh độ?)",IF(Q397="","Chọn cách xác định",IF(U397&gt;20000,"Dời hơn 20 km – kiểm tra lại","OK")))),IF(AND(N397&lt;&gt;"Sửa vị trí",OR(O397&lt;&gt;"",P397&lt;&gt;"")),"Có toạ độ mới nhưng kết quả không phải Sửa vị trí","OK")))</f>
        <v/>
      </c>
    </row>
    <row r="398">
      <c r="A398" s="9" t="n">
        <v>394</v>
      </c>
      <c r="B398" s="9" t="inlineStr">
        <is>
          <t>778bc472-687a-7e1f-9fd6-250cd5268188</t>
        </is>
      </c>
      <c r="C398" s="9" t="inlineStr">
        <is>
          <t>Thấp</t>
        </is>
      </c>
      <c r="D398" s="10" t="inlineStr">
        <is>
          <t>ATM 278 Nguyễn Thị Định Bình Định (MB)</t>
        </is>
      </c>
      <c r="E398" s="9" t="inlineStr">
        <is>
          <t>ATM</t>
        </is>
      </c>
      <c r="F398" s="9" t="inlineStr">
        <is>
          <t>Trang bản đồ MB</t>
        </is>
      </c>
      <c r="G398" s="10" t="inlineStr">
        <is>
          <t>Số 278 đường Nguyễn Thị Định, phường Quy Nhơn, tỉnh Gia Lai, Phường Quy Nhơn Nam, Gia Lai</t>
        </is>
      </c>
      <c r="H398" s="9" t="inlineStr">
        <is>
          <t>Phường Quy Nhơn Nam</t>
        </is>
      </c>
      <c r="I398" s="11" t="n">
        <v>13.75223</v>
      </c>
      <c r="J398" s="11" t="n">
        <v>109.2106</v>
      </c>
      <c r="K398" s="9" t="inlineStr">
        <is>
          <t>Đã đối chiếu</t>
        </is>
      </c>
      <c r="L398" s="10" t="n"/>
      <c r="M398" s="12" t="inlineStr">
        <is>
          <t>Bản đồ</t>
        </is>
      </c>
      <c r="N398" s="13" t="n"/>
      <c r="O398" s="14" t="n"/>
      <c r="P398" s="14" t="n"/>
      <c r="Q398" s="13" t="n"/>
      <c r="R398" s="15" t="n"/>
      <c r="S398" s="13" t="n"/>
      <c r="T398" s="13" t="n"/>
      <c r="U398" s="16">
        <f>IF(AND(ISNUMBER(O398),ISNUMBER(P398)),ROUND(SQRT(((P398-J398)*111320*COS(RADIANS(I398)))^2+((O398-I398)*110540)^2),0),"")</f>
        <v/>
      </c>
      <c r="V398" s="17">
        <f>IF(N398="","",IF(N398="Sửa vị trí",IF(OR(O398="",P398=""),"Thiếu vĩ độ / kinh độ mới",IF(OR(O398&lt;12.5,O398&gt;15,P398&lt;107,P398&gt;109.6),"Toạ độ ngoài Gia Lai (đảo vĩ/kinh độ?)",IF(Q398="","Chọn cách xác định",IF(U398&gt;20000,"Dời hơn 20 km – kiểm tra lại","OK")))),IF(AND(N398&lt;&gt;"Sửa vị trí",OR(O398&lt;&gt;"",P398&lt;&gt;"")),"Có toạ độ mới nhưng kết quả không phải Sửa vị trí","OK")))</f>
        <v/>
      </c>
    </row>
    <row r="399">
      <c r="A399" s="9" t="n">
        <v>395</v>
      </c>
      <c r="B399" s="9" t="inlineStr">
        <is>
          <t>5dc9c391-d4bc-0c13-17ec-2bebc37e409d</t>
        </is>
      </c>
      <c r="C399" s="9" t="inlineStr">
        <is>
          <t>Thấp</t>
        </is>
      </c>
      <c r="D399" s="10" t="inlineStr">
        <is>
          <t>ATM Bộ Chỉ huy Quân sự Tỉnh Bình Định (MB)</t>
        </is>
      </c>
      <c r="E399" s="9" t="inlineStr">
        <is>
          <t>ATM</t>
        </is>
      </c>
      <c r="F399" s="9" t="inlineStr">
        <is>
          <t>Trang bản đồ MB</t>
        </is>
      </c>
      <c r="G399" s="10" t="inlineStr">
        <is>
          <t>Số 37 đường Ngô Mây, phường Quy Nhơn Nam, tỉnh Gia Lai., Phường Quy Nhơn Nam, Gia Lai</t>
        </is>
      </c>
      <c r="H399" s="9" t="inlineStr">
        <is>
          <t>Phường Quy Nhơn Nam</t>
        </is>
      </c>
      <c r="I399" s="11" t="n">
        <v>13.762101</v>
      </c>
      <c r="J399" s="11" t="n">
        <v>109.218813</v>
      </c>
      <c r="K399" s="9" t="inlineStr">
        <is>
          <t>Đã đối chiếu</t>
        </is>
      </c>
      <c r="L399" s="10" t="n"/>
      <c r="M399" s="12" t="inlineStr">
        <is>
          <t>Bản đồ</t>
        </is>
      </c>
      <c r="N399" s="13" t="n"/>
      <c r="O399" s="14" t="n"/>
      <c r="P399" s="14" t="n"/>
      <c r="Q399" s="13" t="n"/>
      <c r="R399" s="15" t="n"/>
      <c r="S399" s="13" t="n"/>
      <c r="T399" s="13" t="n"/>
      <c r="U399" s="16">
        <f>IF(AND(ISNUMBER(O399),ISNUMBER(P399)),ROUND(SQRT(((P399-J399)*111320*COS(RADIANS(I399)))^2+((O399-I399)*110540)^2),0),"")</f>
        <v/>
      </c>
      <c r="V399" s="17">
        <f>IF(N399="","",IF(N399="Sửa vị trí",IF(OR(O399="",P399=""),"Thiếu vĩ độ / kinh độ mới",IF(OR(O399&lt;12.5,O399&gt;15,P399&lt;107,P399&gt;109.6),"Toạ độ ngoài Gia Lai (đảo vĩ/kinh độ?)",IF(Q399="","Chọn cách xác định",IF(U399&gt;20000,"Dời hơn 20 km – kiểm tra lại","OK")))),IF(AND(N399&lt;&gt;"Sửa vị trí",OR(O399&lt;&gt;"",P399&lt;&gt;"")),"Có toạ độ mới nhưng kết quả không phải Sửa vị trí","OK")))</f>
        <v/>
      </c>
    </row>
    <row r="400">
      <c r="A400" s="9" t="n">
        <v>396</v>
      </c>
      <c r="B400" s="9" t="inlineStr">
        <is>
          <t>4dec86ef-2b89-8b90-0a2c-e638ffc81cdf</t>
        </is>
      </c>
      <c r="C400" s="9" t="inlineStr">
        <is>
          <t>Thấp</t>
        </is>
      </c>
      <c r="D400" s="10" t="inlineStr">
        <is>
          <t>ATM Phú Tài Building (MB)</t>
        </is>
      </c>
      <c r="E400" s="9" t="inlineStr">
        <is>
          <t>ATM</t>
        </is>
      </c>
      <c r="F400" s="9" t="inlineStr">
        <is>
          <t>Trang bản đồ MB</t>
        </is>
      </c>
      <c r="G400" s="10" t="inlineStr">
        <is>
          <t>278 Nguyễn Thị Định, TP Quy Nhơn, tỉnh Bình Định, Phường Quy Nhơn Nam, Gia Lai</t>
        </is>
      </c>
      <c r="H400" s="9" t="inlineStr">
        <is>
          <t>Phường Quy Nhơn Nam</t>
        </is>
      </c>
      <c r="I400" s="11" t="n">
        <v>13.757474</v>
      </c>
      <c r="J400" s="11" t="n">
        <v>109.214031</v>
      </c>
      <c r="K400" s="9" t="inlineStr">
        <is>
          <t>Đã đối chiếu</t>
        </is>
      </c>
      <c r="L400" s="10" t="n"/>
      <c r="M400" s="12" t="inlineStr">
        <is>
          <t>Bản đồ</t>
        </is>
      </c>
      <c r="N400" s="13" t="n"/>
      <c r="O400" s="14" t="n"/>
      <c r="P400" s="14" t="n"/>
      <c r="Q400" s="13" t="n"/>
      <c r="R400" s="15" t="n"/>
      <c r="S400" s="13" t="n"/>
      <c r="T400" s="13" t="n"/>
      <c r="U400" s="16">
        <f>IF(AND(ISNUMBER(O400),ISNUMBER(P400)),ROUND(SQRT(((P400-J400)*111320*COS(RADIANS(I400)))^2+((O400-I400)*110540)^2),0),"")</f>
        <v/>
      </c>
      <c r="V400" s="17">
        <f>IF(N400="","",IF(N400="Sửa vị trí",IF(OR(O400="",P400=""),"Thiếu vĩ độ / kinh độ mới",IF(OR(O400&lt;12.5,O400&gt;15,P400&lt;107,P400&gt;109.6),"Toạ độ ngoài Gia Lai (đảo vĩ/kinh độ?)",IF(Q400="","Chọn cách xác định",IF(U400&gt;20000,"Dời hơn 20 km – kiểm tra lại","OK")))),IF(AND(N400&lt;&gt;"Sửa vị trí",OR(O400&lt;&gt;"",P400&lt;&gt;"")),"Có toạ độ mới nhưng kết quả không phải Sửa vị trí","OK")))</f>
        <v/>
      </c>
    </row>
    <row r="401">
      <c r="A401" s="9" t="n">
        <v>397</v>
      </c>
      <c r="B401" s="9" t="inlineStr">
        <is>
          <t>61ac4fd0-5970-7354-8b7f-7e84cc6c15ea</t>
        </is>
      </c>
      <c r="C401" s="9" t="inlineStr">
        <is>
          <t>Thấp</t>
        </is>
      </c>
      <c r="D401" s="10" t="inlineStr">
        <is>
          <t>ATM Vietcombank – KHÁCH SẠN HẢI ÂU</t>
        </is>
      </c>
      <c r="E401" s="9" t="inlineStr">
        <is>
          <t>ATM</t>
        </is>
      </c>
      <c r="F401" s="9" t="inlineStr">
        <is>
          <t>Website Vietcombank</t>
        </is>
      </c>
      <c r="G401" s="10" t="inlineStr">
        <is>
          <t>489 An Dương Vương, phường Quy Nhơn Nam, Gia Lai, Phường Quy Nhơn Nam, Gia Lai</t>
        </is>
      </c>
      <c r="H401" s="9" t="inlineStr">
        <is>
          <t>Phường Quy Nhơn Nam</t>
        </is>
      </c>
      <c r="I401" s="11" t="n">
        <v>13.756456</v>
      </c>
      <c r="J401" s="11" t="n">
        <v>109.218592</v>
      </c>
      <c r="K401" s="9" t="inlineStr">
        <is>
          <t>Đã đối chiếu</t>
        </is>
      </c>
      <c r="L401" s="10" t="n"/>
      <c r="M401" s="12" t="inlineStr">
        <is>
          <t>Bản đồ</t>
        </is>
      </c>
      <c r="N401" s="13" t="n"/>
      <c r="O401" s="14" t="n"/>
      <c r="P401" s="14" t="n"/>
      <c r="Q401" s="13" t="n"/>
      <c r="R401" s="15" t="n"/>
      <c r="S401" s="13" t="n"/>
      <c r="T401" s="13" t="n"/>
      <c r="U401" s="16">
        <f>IF(AND(ISNUMBER(O401),ISNUMBER(P401)),ROUND(SQRT(((P401-J401)*111320*COS(RADIANS(I401)))^2+((O401-I401)*110540)^2),0),"")</f>
        <v/>
      </c>
      <c r="V401" s="17">
        <f>IF(N401="","",IF(N401="Sửa vị trí",IF(OR(O401="",P401=""),"Thiếu vĩ độ / kinh độ mới",IF(OR(O401&lt;12.5,O401&gt;15,P401&lt;107,P401&gt;109.6),"Toạ độ ngoài Gia Lai (đảo vĩ/kinh độ?)",IF(Q401="","Chọn cách xác định",IF(U401&gt;20000,"Dời hơn 20 km – kiểm tra lại","OK")))),IF(AND(N401&lt;&gt;"Sửa vị trí",OR(O401&lt;&gt;"",P401&lt;&gt;"")),"Có toạ độ mới nhưng kết quả không phải Sửa vị trí","OK")))</f>
        <v/>
      </c>
    </row>
    <row r="402">
      <c r="A402" s="9" t="n">
        <v>398</v>
      </c>
      <c r="B402" s="9" t="inlineStr">
        <is>
          <t>fcc455e3-8561-d4bb-d4ee-29847bd65662</t>
        </is>
      </c>
      <c r="C402" s="9" t="inlineStr">
        <is>
          <t>Thấp</t>
        </is>
      </c>
      <c r="D402" s="10" t="inlineStr">
        <is>
          <t>ATM Vietcombank – PGD NGUYỄN THÁI HỌC</t>
        </is>
      </c>
      <c r="E402" s="9" t="inlineStr">
        <is>
          <t>ATM</t>
        </is>
      </c>
      <c r="F402" s="9" t="inlineStr">
        <is>
          <t>Website Vietcombank</t>
        </is>
      </c>
      <c r="G402" s="10" t="inlineStr">
        <is>
          <t>422 Nguyễn Thái Học, phường Quy Nhơn Nam, Gia Lai, Phường Quy Nhơn Nam, Gia Lai</t>
        </is>
      </c>
      <c r="H402" s="9" t="inlineStr">
        <is>
          <t>Phường Quy Nhơn Nam</t>
        </is>
      </c>
      <c r="I402" s="11" t="n">
        <v>13.762705</v>
      </c>
      <c r="J402" s="11" t="n">
        <v>109.213068</v>
      </c>
      <c r="K402" s="9" t="inlineStr">
        <is>
          <t>Đã đối chiếu</t>
        </is>
      </c>
      <c r="L402" s="10" t="n"/>
      <c r="M402" s="12" t="inlineStr">
        <is>
          <t>Bản đồ</t>
        </is>
      </c>
      <c r="N402" s="13" t="n"/>
      <c r="O402" s="14" t="n"/>
      <c r="P402" s="14" t="n"/>
      <c r="Q402" s="13" t="n"/>
      <c r="R402" s="15" t="n"/>
      <c r="S402" s="13" t="n"/>
      <c r="T402" s="13" t="n"/>
      <c r="U402" s="16">
        <f>IF(AND(ISNUMBER(O402),ISNUMBER(P402)),ROUND(SQRT(((P402-J402)*111320*COS(RADIANS(I402)))^2+((O402-I402)*110540)^2),0),"")</f>
        <v/>
      </c>
      <c r="V402" s="17">
        <f>IF(N402="","",IF(N402="Sửa vị trí",IF(OR(O402="",P402=""),"Thiếu vĩ độ / kinh độ mới",IF(OR(O402&lt;12.5,O402&gt;15,P402&lt;107,P402&gt;109.6),"Toạ độ ngoài Gia Lai (đảo vĩ/kinh độ?)",IF(Q402="","Chọn cách xác định",IF(U402&gt;20000,"Dời hơn 20 km – kiểm tra lại","OK")))),IF(AND(N402&lt;&gt;"Sửa vị trí",OR(O402&lt;&gt;"",P402&lt;&gt;"")),"Có toạ độ mới nhưng kết quả không phải Sửa vị trí","OK")))</f>
        <v/>
      </c>
    </row>
    <row r="403">
      <c r="A403" s="9" t="n">
        <v>399</v>
      </c>
      <c r="B403" s="9" t="inlineStr">
        <is>
          <t>7b0d4a0e-3063-a7d6-bea3-7279c4d24c1b</t>
        </is>
      </c>
      <c r="C403" s="9" t="inlineStr">
        <is>
          <t>Thấp</t>
        </is>
      </c>
      <c r="D403" s="10" t="inlineStr">
        <is>
          <t>ATM Vietcombank – PGD TÂY SƠN</t>
        </is>
      </c>
      <c r="E403" s="9" t="inlineStr">
        <is>
          <t>ATM</t>
        </is>
      </c>
      <c r="F403" s="9" t="inlineStr">
        <is>
          <t>Website Vietcombank</t>
        </is>
      </c>
      <c r="G403" s="10" t="inlineStr">
        <is>
          <t>184-186 Tây Sơn, phường Quy Nhơn Nam, Gia Lai, Phường Quy Nhơn Nam, Gia Lai</t>
        </is>
      </c>
      <c r="H403" s="9" t="inlineStr">
        <is>
          <t>Phường Quy Nhơn Nam</t>
        </is>
      </c>
      <c r="I403" s="11" t="n">
        <v>13.751702</v>
      </c>
      <c r="J403" s="11" t="n">
        <v>109.210878</v>
      </c>
      <c r="K403" s="9" t="inlineStr">
        <is>
          <t>Đã đối chiếu</t>
        </is>
      </c>
      <c r="L403" s="10" t="n"/>
      <c r="M403" s="12" t="inlineStr">
        <is>
          <t>Bản đồ</t>
        </is>
      </c>
      <c r="N403" s="13" t="n"/>
      <c r="O403" s="14" t="n"/>
      <c r="P403" s="14" t="n"/>
      <c r="Q403" s="13" t="n"/>
      <c r="R403" s="15" t="n"/>
      <c r="S403" s="13" t="n"/>
      <c r="T403" s="13" t="n"/>
      <c r="U403" s="16">
        <f>IF(AND(ISNUMBER(O403),ISNUMBER(P403)),ROUND(SQRT(((P403-J403)*111320*COS(RADIANS(I403)))^2+((O403-I403)*110540)^2),0),"")</f>
        <v/>
      </c>
      <c r="V403" s="17">
        <f>IF(N403="","",IF(N403="Sửa vị trí",IF(OR(O403="",P403=""),"Thiếu vĩ độ / kinh độ mới",IF(OR(O403&lt;12.5,O403&gt;15,P403&lt;107,P403&gt;109.6),"Toạ độ ngoài Gia Lai (đảo vĩ/kinh độ?)",IF(Q403="","Chọn cách xác định",IF(U403&gt;20000,"Dời hơn 20 km – kiểm tra lại","OK")))),IF(AND(N403&lt;&gt;"Sửa vị trí",OR(O403&lt;&gt;"",P403&lt;&gt;"")),"Có toạ độ mới nhưng kết quả không phải Sửa vị trí","OK")))</f>
        <v/>
      </c>
    </row>
    <row r="404">
      <c r="A404" s="9" t="n">
        <v>400</v>
      </c>
      <c r="B404" s="9" t="inlineStr">
        <is>
          <t>a5726060-e355-87f1-052a-afdec34a2374</t>
        </is>
      </c>
      <c r="C404" s="9" t="inlineStr">
        <is>
          <t>Thấp</t>
        </is>
      </c>
      <c r="D404" s="10" t="inlineStr">
        <is>
          <t>ATM Vietcombank – SIÊU THỊ GO QUY NHƠN</t>
        </is>
      </c>
      <c r="E404" s="9" t="inlineStr">
        <is>
          <t>ATM</t>
        </is>
      </c>
      <c r="F404" s="9" t="inlineStr">
        <is>
          <t>Website Vietcombank</t>
        </is>
      </c>
      <c r="G404" s="10" t="inlineStr">
        <is>
          <t>Quốc lộ 1D, phường Quy Nhơn Nam, Gia Lai, Phường Quy Nhơn Nam, Gia Lai</t>
        </is>
      </c>
      <c r="H404" s="9" t="inlineStr">
        <is>
          <t>Phường Quy Nhơn Nam</t>
        </is>
      </c>
      <c r="I404" s="11" t="n">
        <v>13.753575</v>
      </c>
      <c r="J404" s="11" t="n">
        <v>109.207882</v>
      </c>
      <c r="K404" s="9" t="inlineStr">
        <is>
          <t>Đã đối chiếu</t>
        </is>
      </c>
      <c r="L404" s="10" t="n"/>
      <c r="M404" s="12" t="inlineStr">
        <is>
          <t>Bản đồ</t>
        </is>
      </c>
      <c r="N404" s="13" t="n"/>
      <c r="O404" s="14" t="n"/>
      <c r="P404" s="14" t="n"/>
      <c r="Q404" s="13" t="n"/>
      <c r="R404" s="15" t="n"/>
      <c r="S404" s="13" t="n"/>
      <c r="T404" s="13" t="n"/>
      <c r="U404" s="16">
        <f>IF(AND(ISNUMBER(O404),ISNUMBER(P404)),ROUND(SQRT(((P404-J404)*111320*COS(RADIANS(I404)))^2+((O404-I404)*110540)^2),0),"")</f>
        <v/>
      </c>
      <c r="V404" s="17">
        <f>IF(N404="","",IF(N404="Sửa vị trí",IF(OR(O404="",P404=""),"Thiếu vĩ độ / kinh độ mới",IF(OR(O404&lt;12.5,O404&gt;15,P404&lt;107,P404&gt;109.6),"Toạ độ ngoài Gia Lai (đảo vĩ/kinh độ?)",IF(Q404="","Chọn cách xác định",IF(U404&gt;20000,"Dời hơn 20 km – kiểm tra lại","OK")))),IF(AND(N404&lt;&gt;"Sửa vị trí",OR(O404&lt;&gt;"",P404&lt;&gt;"")),"Có toạ độ mới nhưng kết quả không phải Sửa vị trí","OK")))</f>
        <v/>
      </c>
    </row>
    <row r="405">
      <c r="A405" s="9" t="n">
        <v>401</v>
      </c>
      <c r="B405" s="9" t="inlineStr">
        <is>
          <t>9c7f14ec-e07a-9040-748a-72d2131e2ad6</t>
        </is>
      </c>
      <c r="C405" s="9" t="inlineStr">
        <is>
          <t>Thấp</t>
        </is>
      </c>
      <c r="D405" s="10" t="inlineStr">
        <is>
          <t>ATM bệnh viện Quân y 13 (MB)</t>
        </is>
      </c>
      <c r="E405" s="9" t="inlineStr">
        <is>
          <t>ATM</t>
        </is>
      </c>
      <c r="F405" s="9" t="inlineStr">
        <is>
          <t>Trang bản đồ MB</t>
        </is>
      </c>
      <c r="G405" s="10" t="inlineStr">
        <is>
          <t>Số 54 đường An Dương Vương, phường Quy Nhơn Nam, tỉnh Gia Lai., Phường Quy Nhơn Nam, Gia Lai</t>
        </is>
      </c>
      <c r="H405" s="9" t="inlineStr">
        <is>
          <t>Phường Quy Nhơn Nam</t>
        </is>
      </c>
      <c r="I405" s="11" t="n">
        <v>13.75073</v>
      </c>
      <c r="J405" s="11" t="n">
        <v>109.21423</v>
      </c>
      <c r="K405" s="9" t="inlineStr">
        <is>
          <t>Đã đối chiếu</t>
        </is>
      </c>
      <c r="L405" s="10" t="n"/>
      <c r="M405" s="12" t="inlineStr">
        <is>
          <t>Bản đồ</t>
        </is>
      </c>
      <c r="N405" s="13" t="n"/>
      <c r="O405" s="14" t="n"/>
      <c r="P405" s="14" t="n"/>
      <c r="Q405" s="13" t="n"/>
      <c r="R405" s="15" t="n"/>
      <c r="S405" s="13" t="n"/>
      <c r="T405" s="13" t="n"/>
      <c r="U405" s="16">
        <f>IF(AND(ISNUMBER(O405),ISNUMBER(P405)),ROUND(SQRT(((P405-J405)*111320*COS(RADIANS(I405)))^2+((O405-I405)*110540)^2),0),"")</f>
        <v/>
      </c>
      <c r="V405" s="17">
        <f>IF(N405="","",IF(N405="Sửa vị trí",IF(OR(O405="",P405=""),"Thiếu vĩ độ / kinh độ mới",IF(OR(O405&lt;12.5,O405&gt;15,P405&lt;107,P405&gt;109.6),"Toạ độ ngoài Gia Lai (đảo vĩ/kinh độ?)",IF(Q405="","Chọn cách xác định",IF(U405&gt;20000,"Dời hơn 20 km – kiểm tra lại","OK")))),IF(AND(N405&lt;&gt;"Sửa vị trí",OR(O405&lt;&gt;"",P405&lt;&gt;"")),"Có toạ độ mới nhưng kết quả không phải Sửa vị trí","OK")))</f>
        <v/>
      </c>
    </row>
    <row r="406">
      <c r="A406" s="9" t="n">
        <v>402</v>
      </c>
      <c r="B406" s="9" t="inlineStr">
        <is>
          <t>0822aea0-9ce9-56df-2e00-da5a881a10ae</t>
        </is>
      </c>
      <c r="C406" s="9" t="inlineStr">
        <is>
          <t>Thấp</t>
        </is>
      </c>
      <c r="D406" s="10" t="inlineStr">
        <is>
          <t>CRM CN Bình Định (MB)</t>
        </is>
      </c>
      <c r="E406" s="9" t="inlineStr">
        <is>
          <t>ATM</t>
        </is>
      </c>
      <c r="F406" s="9" t="inlineStr">
        <is>
          <t>Trang bản đồ MB</t>
        </is>
      </c>
      <c r="G406" s="10" t="inlineStr">
        <is>
          <t>Số 322 đường Nguyễn Thái Học, phường Quy Nhơn Nam, tỉnh Gia Lai., Phường Quy Nhơn Nam, Gia Lai</t>
        </is>
      </c>
      <c r="H406" s="9" t="inlineStr">
        <is>
          <t>Phường Quy Nhơn Nam</t>
        </is>
      </c>
      <c r="I406" s="11" t="n">
        <v>13.76715</v>
      </c>
      <c r="J406" s="11" t="n">
        <v>109.2159</v>
      </c>
      <c r="K406" s="9" t="inlineStr">
        <is>
          <t>Đã đối chiếu</t>
        </is>
      </c>
      <c r="L406" s="10" t="n"/>
      <c r="M406" s="12" t="inlineStr">
        <is>
          <t>Bản đồ</t>
        </is>
      </c>
      <c r="N406" s="13" t="n"/>
      <c r="O406" s="14" t="n"/>
      <c r="P406" s="14" t="n"/>
      <c r="Q406" s="13" t="n"/>
      <c r="R406" s="15" t="n"/>
      <c r="S406" s="13" t="n"/>
      <c r="T406" s="13" t="n"/>
      <c r="U406" s="16">
        <f>IF(AND(ISNUMBER(O406),ISNUMBER(P406)),ROUND(SQRT(((P406-J406)*111320*COS(RADIANS(I406)))^2+((O406-I406)*110540)^2),0),"")</f>
        <v/>
      </c>
      <c r="V406" s="17">
        <f>IF(N406="","",IF(N406="Sửa vị trí",IF(OR(O406="",P406=""),"Thiếu vĩ độ / kinh độ mới",IF(OR(O406&lt;12.5,O406&gt;15,P406&lt;107,P406&gt;109.6),"Toạ độ ngoài Gia Lai (đảo vĩ/kinh độ?)",IF(Q406="","Chọn cách xác định",IF(U406&gt;20000,"Dời hơn 20 km – kiểm tra lại","OK")))),IF(AND(N406&lt;&gt;"Sửa vị trí",OR(O406&lt;&gt;"",P406&lt;&gt;"")),"Có toạ độ mới nhưng kết quả không phải Sửa vị trí","OK")))</f>
        <v/>
      </c>
    </row>
    <row r="407">
      <c r="A407" s="9" t="n">
        <v>403</v>
      </c>
      <c r="B407" s="9" t="inlineStr">
        <is>
          <t>abf8da1f-2718-5009-1fa9-26cb70fd7757</t>
        </is>
      </c>
      <c r="C407" s="9" t="inlineStr">
        <is>
          <t>Thấp</t>
        </is>
      </c>
      <c r="D407" s="10" t="inlineStr">
        <is>
          <t>ATM Công ty TNHH Đức Toàn (MB)</t>
        </is>
      </c>
      <c r="E407" s="9" t="inlineStr">
        <is>
          <t>ATM</t>
        </is>
      </c>
      <c r="F407" s="9" t="inlineStr">
        <is>
          <t>Trang bản đồ MB</t>
        </is>
      </c>
      <c r="G407" s="10" t="inlineStr">
        <is>
          <t>KKT Nhơn Hội, phường Quy Nhơn Đông, tỉnh Gia Lai, Phường Quy Nhơn Đông, Gia Lai</t>
        </is>
      </c>
      <c r="H407" s="9" t="inlineStr">
        <is>
          <t>Phường Quy Nhơn Đông</t>
        </is>
      </c>
      <c r="I407" s="11" t="n">
        <v>13.83121</v>
      </c>
      <c r="J407" s="11" t="n">
        <v>109.269462</v>
      </c>
      <c r="K407" s="9" t="inlineStr">
        <is>
          <t>Đã đối chiếu</t>
        </is>
      </c>
      <c r="L407" s="10" t="n"/>
      <c r="M407" s="12" t="inlineStr">
        <is>
          <t>Bản đồ</t>
        </is>
      </c>
      <c r="N407" s="13" t="n"/>
      <c r="O407" s="14" t="n"/>
      <c r="P407" s="14" t="n"/>
      <c r="Q407" s="13" t="n"/>
      <c r="R407" s="15" t="n"/>
      <c r="S407" s="13" t="n"/>
      <c r="T407" s="13" t="n"/>
      <c r="U407" s="16">
        <f>IF(AND(ISNUMBER(O407),ISNUMBER(P407)),ROUND(SQRT(((P407-J407)*111320*COS(RADIANS(I407)))^2+((O407-I407)*110540)^2),0),"")</f>
        <v/>
      </c>
      <c r="V407" s="17">
        <f>IF(N407="","",IF(N407="Sửa vị trí",IF(OR(O407="",P407=""),"Thiếu vĩ độ / kinh độ mới",IF(OR(O407&lt;12.5,O407&gt;15,P407&lt;107,P407&gt;109.6),"Toạ độ ngoài Gia Lai (đảo vĩ/kinh độ?)",IF(Q407="","Chọn cách xác định",IF(U407&gt;20000,"Dời hơn 20 km – kiểm tra lại","OK")))),IF(AND(N407&lt;&gt;"Sửa vị trí",OR(O407&lt;&gt;"",P407&lt;&gt;"")),"Có toạ độ mới nhưng kết quả không phải Sửa vị trí","OK")))</f>
        <v/>
      </c>
    </row>
    <row r="408">
      <c r="A408" s="9" t="n">
        <v>404</v>
      </c>
      <c r="B408" s="9" t="inlineStr">
        <is>
          <t>b7d38c91-e48c-afdd-d793-c7a786821761</t>
        </is>
      </c>
      <c r="C408" s="9" t="inlineStr">
        <is>
          <t>Thấp</t>
        </is>
      </c>
      <c r="D408" s="10" t="inlineStr">
        <is>
          <t>ATM Vietcombank – CTY TNHH B&amp;D LINGERIE VN</t>
        </is>
      </c>
      <c r="E408" s="9" t="inlineStr">
        <is>
          <t>ATM</t>
        </is>
      </c>
      <c r="F408" s="9" t="inlineStr">
        <is>
          <t>Website Vietcombank</t>
        </is>
      </c>
      <c r="G408" s="10" t="inlineStr">
        <is>
          <t>LÔ A4.02 ĐƯỜNG N3, KCN NHƠN HỘI-KHU A,PHƯỜNG QUY NHƠN ĐÔNG,TỈNH GIA LAI, Phường Quy Nhơn Đông, Gia Lai</t>
        </is>
      </c>
      <c r="H408" s="9" t="inlineStr">
        <is>
          <t>Phường Quy Nhơn Đông</t>
        </is>
      </c>
      <c r="I408" s="11" t="n">
        <v>13.826157</v>
      </c>
      <c r="J408" s="11" t="n">
        <v>109.266448</v>
      </c>
      <c r="K408" s="9" t="inlineStr">
        <is>
          <t>Đã đối chiếu</t>
        </is>
      </c>
      <c r="L408" s="10" t="n"/>
      <c r="M408" s="12" t="inlineStr">
        <is>
          <t>Bản đồ</t>
        </is>
      </c>
      <c r="N408" s="13" t="n"/>
      <c r="O408" s="14" t="n"/>
      <c r="P408" s="14" t="n"/>
      <c r="Q408" s="13" t="n"/>
      <c r="R408" s="15" t="n"/>
      <c r="S408" s="13" t="n"/>
      <c r="T408" s="13" t="n"/>
      <c r="U408" s="16">
        <f>IF(AND(ISNUMBER(O408),ISNUMBER(P408)),ROUND(SQRT(((P408-J408)*111320*COS(RADIANS(I408)))^2+((O408-I408)*110540)^2),0),"")</f>
        <v/>
      </c>
      <c r="V408" s="17">
        <f>IF(N408="","",IF(N408="Sửa vị trí",IF(OR(O408="",P408=""),"Thiếu vĩ độ / kinh độ mới",IF(OR(O408&lt;12.5,O408&gt;15,P408&lt;107,P408&gt;109.6),"Toạ độ ngoài Gia Lai (đảo vĩ/kinh độ?)",IF(Q408="","Chọn cách xác định",IF(U408&gt;20000,"Dời hơn 20 km – kiểm tra lại","OK")))),IF(AND(N408&lt;&gt;"Sửa vị trí",OR(O408&lt;&gt;"",P408&lt;&gt;"")),"Có toạ độ mới nhưng kết quả không phải Sửa vị trí","OK")))</f>
        <v/>
      </c>
    </row>
    <row r="409">
      <c r="A409" s="9" t="n">
        <v>405</v>
      </c>
      <c r="B409" s="9" t="inlineStr">
        <is>
          <t>58cb1456-6f47-005d-c067-e3bc697c312f</t>
        </is>
      </c>
      <c r="C409" s="9" t="inlineStr">
        <is>
          <t>Thấp</t>
        </is>
      </c>
      <c r="D409" s="10" t="inlineStr">
        <is>
          <t>ATM Bộ chỉ huy Quân sự tỉnh Gia Lai (MB)</t>
        </is>
      </c>
      <c r="E409" s="9" t="inlineStr">
        <is>
          <t>ATM</t>
        </is>
      </c>
      <c r="F409" s="9" t="inlineStr">
        <is>
          <t>Trang bản đồ MB</t>
        </is>
      </c>
      <c r="G409" s="10" t="inlineStr">
        <is>
          <t>Đường Phạm Văn Đồng, phường Thống Nhất, tỉnh Gia Lai, Phường Thống Nhất, Gia Lai</t>
        </is>
      </c>
      <c r="H409" s="9" t="inlineStr">
        <is>
          <t>Phường Thống Nhất</t>
        </is>
      </c>
      <c r="I409" s="11" t="n">
        <v>14.015366</v>
      </c>
      <c r="J409" s="11" t="n">
        <v>107.992624</v>
      </c>
      <c r="K409" s="9" t="inlineStr">
        <is>
          <t>Đã đối chiếu</t>
        </is>
      </c>
      <c r="L409" s="10" t="n"/>
      <c r="M409" s="12" t="inlineStr">
        <is>
          <t>Bản đồ</t>
        </is>
      </c>
      <c r="N409" s="13" t="n"/>
      <c r="O409" s="14" t="n"/>
      <c r="P409" s="14" t="n"/>
      <c r="Q409" s="13" t="n"/>
      <c r="R409" s="15" t="n"/>
      <c r="S409" s="13" t="n"/>
      <c r="T409" s="13" t="n"/>
      <c r="U409" s="16">
        <f>IF(AND(ISNUMBER(O409),ISNUMBER(P409)),ROUND(SQRT(((P409-J409)*111320*COS(RADIANS(I409)))^2+((O409-I409)*110540)^2),0),"")</f>
        <v/>
      </c>
      <c r="V409" s="17">
        <f>IF(N409="","",IF(N409="Sửa vị trí",IF(OR(O409="",P409=""),"Thiếu vĩ độ / kinh độ mới",IF(OR(O409&lt;12.5,O409&gt;15,P409&lt;107,P409&gt;109.6),"Toạ độ ngoài Gia Lai (đảo vĩ/kinh độ?)",IF(Q409="","Chọn cách xác định",IF(U409&gt;20000,"Dời hơn 20 km – kiểm tra lại","OK")))),IF(AND(N409&lt;&gt;"Sửa vị trí",OR(O409&lt;&gt;"",P409&lt;&gt;"")),"Có toạ độ mới nhưng kết quả không phải Sửa vị trí","OK")))</f>
        <v/>
      </c>
    </row>
    <row r="410">
      <c r="A410" s="9" t="n">
        <v>406</v>
      </c>
      <c r="B410" s="9" t="inlineStr">
        <is>
          <t>d1ad10ad-3f93-10ee-706b-68d91bd4366b</t>
        </is>
      </c>
      <c r="C410" s="9" t="inlineStr">
        <is>
          <t>Thấp</t>
        </is>
      </c>
      <c r="D410" s="10" t="inlineStr">
        <is>
          <t>ATM Trường trung cấp nghề 15 - Binh đoàn 15 (MB)</t>
        </is>
      </c>
      <c r="E410" s="9" t="inlineStr">
        <is>
          <t>ATM</t>
        </is>
      </c>
      <c r="F410" s="9" t="inlineStr">
        <is>
          <t>Trang bản đồ MB</t>
        </is>
      </c>
      <c r="G410" s="10" t="inlineStr">
        <is>
          <t>Số 252 đường Trường Sơn, phường Thống Nhất, tỉnh Gia Lai, Phường Thống Nhất, Gia Lai</t>
        </is>
      </c>
      <c r="H410" s="9" t="inlineStr">
        <is>
          <t>Phường Thống Nhất</t>
        </is>
      </c>
      <c r="I410" s="11" t="n">
        <v>14.03017</v>
      </c>
      <c r="J410" s="11" t="n">
        <v>107.987061</v>
      </c>
      <c r="K410" s="9" t="inlineStr">
        <is>
          <t>Đã đối chiếu</t>
        </is>
      </c>
      <c r="L410" s="10" t="n"/>
      <c r="M410" s="12" t="inlineStr">
        <is>
          <t>Bản đồ</t>
        </is>
      </c>
      <c r="N410" s="13" t="n"/>
      <c r="O410" s="14" t="n"/>
      <c r="P410" s="14" t="n"/>
      <c r="Q410" s="13" t="n"/>
      <c r="R410" s="15" t="n"/>
      <c r="S410" s="13" t="n"/>
      <c r="T410" s="13" t="n"/>
      <c r="U410" s="16">
        <f>IF(AND(ISNUMBER(O410),ISNUMBER(P410)),ROUND(SQRT(((P410-J410)*111320*COS(RADIANS(I410)))^2+((O410-I410)*110540)^2),0),"")</f>
        <v/>
      </c>
      <c r="V410" s="17">
        <f>IF(N410="","",IF(N410="Sửa vị trí",IF(OR(O410="",P410=""),"Thiếu vĩ độ / kinh độ mới",IF(OR(O410&lt;12.5,O410&gt;15,P410&lt;107,P410&gt;109.6),"Toạ độ ngoài Gia Lai (đảo vĩ/kinh độ?)",IF(Q410="","Chọn cách xác định",IF(U410&gt;20000,"Dời hơn 20 km – kiểm tra lại","OK")))),IF(AND(N410&lt;&gt;"Sửa vị trí",OR(O410&lt;&gt;"",P410&lt;&gt;"")),"Có toạ độ mới nhưng kết quả không phải Sửa vị trí","OK")))</f>
        <v/>
      </c>
    </row>
    <row r="411">
      <c r="A411" s="9" t="n">
        <v>407</v>
      </c>
      <c r="B411" s="9" t="inlineStr">
        <is>
          <t>eb397dce-48b2-7173-e851-0467c15c0765</t>
        </is>
      </c>
      <c r="C411" s="9" t="inlineStr">
        <is>
          <t>Thấp</t>
        </is>
      </c>
      <c r="D411" s="10" t="inlineStr">
        <is>
          <t>ATM Vietcombank – Trụ sở Chi nhánh</t>
        </is>
      </c>
      <c r="E411" s="9" t="inlineStr">
        <is>
          <t>ATM</t>
        </is>
      </c>
      <c r="F411" s="9" t="inlineStr">
        <is>
          <t>Website Vietcombank</t>
        </is>
      </c>
      <c r="G411" s="10" t="inlineStr">
        <is>
          <t>737 Phạm Văn Đồng, Thống Nhất, Gia Lai, Phường Thống Nhất, Gia Lai</t>
        </is>
      </c>
      <c r="H411" s="9" t="inlineStr">
        <is>
          <t>Phường Thống Nhất</t>
        </is>
      </c>
      <c r="I411" s="11" t="n">
        <v>14.028108</v>
      </c>
      <c r="J411" s="11" t="n">
        <v>107.989695</v>
      </c>
      <c r="K411" s="9" t="inlineStr">
        <is>
          <t>Đã đối chiếu</t>
        </is>
      </c>
      <c r="L411" s="10" t="n"/>
      <c r="M411" s="12" t="inlineStr">
        <is>
          <t>Bản đồ</t>
        </is>
      </c>
      <c r="N411" s="13" t="n"/>
      <c r="O411" s="14" t="n"/>
      <c r="P411" s="14" t="n"/>
      <c r="Q411" s="13" t="n"/>
      <c r="R411" s="15" t="n"/>
      <c r="S411" s="13" t="n"/>
      <c r="T411" s="13" t="n"/>
      <c r="U411" s="16">
        <f>IF(AND(ISNUMBER(O411),ISNUMBER(P411)),ROUND(SQRT(((P411-J411)*111320*COS(RADIANS(I411)))^2+((O411-I411)*110540)^2),0),"")</f>
        <v/>
      </c>
      <c r="V411" s="17">
        <f>IF(N411="","",IF(N411="Sửa vị trí",IF(OR(O411="",P411=""),"Thiếu vĩ độ / kinh độ mới",IF(OR(O411&lt;12.5,O411&gt;15,P411&lt;107,P411&gt;109.6),"Toạ độ ngoài Gia Lai (đảo vĩ/kinh độ?)",IF(Q411="","Chọn cách xác định",IF(U411&gt;20000,"Dời hơn 20 km – kiểm tra lại","OK")))),IF(AND(N411&lt;&gt;"Sửa vị trí",OR(O411&lt;&gt;"",P411&lt;&gt;"")),"Có toạ độ mới nhưng kết quả không phải Sửa vị trí","OK")))</f>
        <v/>
      </c>
    </row>
    <row r="412">
      <c r="A412" s="9" t="n">
        <v>408</v>
      </c>
      <c r="B412" s="9" t="inlineStr">
        <is>
          <t>662d2fb4-8fc2-41d4-8b0e-9146134f573f</t>
        </is>
      </c>
      <c r="C412" s="9" t="inlineStr">
        <is>
          <t>Thấp</t>
        </is>
      </c>
      <c r="D412" s="10" t="inlineStr">
        <is>
          <t>R-ATM Vietcombank – Trụ Sở Chi Nhánh Bắc Gia Lai</t>
        </is>
      </c>
      <c r="E412" s="9" t="inlineStr">
        <is>
          <t>ATM</t>
        </is>
      </c>
      <c r="F412" s="9" t="inlineStr">
        <is>
          <t>Website Vietcombank</t>
        </is>
      </c>
      <c r="G412" s="10" t="inlineStr">
        <is>
          <t>737 Phạm Văn Đồng, Phường Thống Nhất, Tỉnh Gia Lai, Phường Thống Nhất, Gia Lai</t>
        </is>
      </c>
      <c r="H412" s="9" t="inlineStr">
        <is>
          <t>Phường Thống Nhất</t>
        </is>
      </c>
      <c r="I412" s="11" t="n">
        <v>14.028108</v>
      </c>
      <c r="J412" s="11" t="n">
        <v>107.989695</v>
      </c>
      <c r="K412" s="9" t="inlineStr">
        <is>
          <t>Đã đối chiếu</t>
        </is>
      </c>
      <c r="L412" s="10" t="n"/>
      <c r="M412" s="12" t="inlineStr">
        <is>
          <t>Bản đồ</t>
        </is>
      </c>
      <c r="N412" s="13" t="n"/>
      <c r="O412" s="14" t="n"/>
      <c r="P412" s="14" t="n"/>
      <c r="Q412" s="13" t="n"/>
      <c r="R412" s="15" t="n"/>
      <c r="S412" s="13" t="n"/>
      <c r="T412" s="13" t="n"/>
      <c r="U412" s="16">
        <f>IF(AND(ISNUMBER(O412),ISNUMBER(P412)),ROUND(SQRT(((P412-J412)*111320*COS(RADIANS(I412)))^2+((O412-I412)*110540)^2),0),"")</f>
        <v/>
      </c>
      <c r="V412" s="17">
        <f>IF(N412="","",IF(N412="Sửa vị trí",IF(OR(O412="",P412=""),"Thiếu vĩ độ / kinh độ mới",IF(OR(O412&lt;12.5,O412&gt;15,P412&lt;107,P412&gt;109.6),"Toạ độ ngoài Gia Lai (đảo vĩ/kinh độ?)",IF(Q412="","Chọn cách xác định",IF(U412&gt;20000,"Dời hơn 20 km – kiểm tra lại","OK")))),IF(AND(N412&lt;&gt;"Sửa vị trí",OR(O412&lt;&gt;"",P412&lt;&gt;"")),"Có toạ độ mới nhưng kết quả không phải Sửa vị trí","OK")))</f>
        <v/>
      </c>
    </row>
    <row r="413">
      <c r="A413" s="9" t="n">
        <v>409</v>
      </c>
      <c r="B413" s="9" t="inlineStr">
        <is>
          <t>7eae2a88-aba5-42b0-2b47-c156195dd392</t>
        </is>
      </c>
      <c r="C413" s="9" t="inlineStr">
        <is>
          <t>Thấp</t>
        </is>
      </c>
      <c r="D413" s="10" t="inlineStr">
        <is>
          <t>ATM Vietcombank – PGD AN LÃO</t>
        </is>
      </c>
      <c r="E413" s="9" t="inlineStr">
        <is>
          <t>ATM</t>
        </is>
      </c>
      <c r="F413" s="9" t="inlineStr">
        <is>
          <t>Website Vietcombank</t>
        </is>
      </c>
      <c r="G413" s="10" t="inlineStr">
        <is>
          <t>Thôn Xuân Phong Bắc, xã An Hòa, Gia Lai, Xã An Hòa, Gia Lai</t>
        </is>
      </c>
      <c r="H413" s="9" t="inlineStr">
        <is>
          <t>Xã An Hòa</t>
        </is>
      </c>
      <c r="I413" s="11" t="n">
        <v>14.557861</v>
      </c>
      <c r="J413" s="11" t="n">
        <v>108.901</v>
      </c>
      <c r="K413" s="9" t="inlineStr">
        <is>
          <t>Đã đối chiếu</t>
        </is>
      </c>
      <c r="L413" s="10" t="n"/>
      <c r="M413" s="12" t="inlineStr">
        <is>
          <t>Bản đồ</t>
        </is>
      </c>
      <c r="N413" s="13" t="n"/>
      <c r="O413" s="14" t="n"/>
      <c r="P413" s="14" t="n"/>
      <c r="Q413" s="13" t="n"/>
      <c r="R413" s="15" t="n"/>
      <c r="S413" s="13" t="n"/>
      <c r="T413" s="13" t="n"/>
      <c r="U413" s="16">
        <f>IF(AND(ISNUMBER(O413),ISNUMBER(P413)),ROUND(SQRT(((P413-J413)*111320*COS(RADIANS(I413)))^2+((O413-I413)*110540)^2),0),"")</f>
        <v/>
      </c>
      <c r="V413" s="17">
        <f>IF(N413="","",IF(N413="Sửa vị trí",IF(OR(O413="",P413=""),"Thiếu vĩ độ / kinh độ mới",IF(OR(O413&lt;12.5,O413&gt;15,P413&lt;107,P413&gt;109.6),"Toạ độ ngoài Gia Lai (đảo vĩ/kinh độ?)",IF(Q413="","Chọn cách xác định",IF(U413&gt;20000,"Dời hơn 20 km – kiểm tra lại","OK")))),IF(AND(N413&lt;&gt;"Sửa vị trí",OR(O413&lt;&gt;"",P413&lt;&gt;"")),"Có toạ độ mới nhưng kết quả không phải Sửa vị trí","OK")))</f>
        <v/>
      </c>
    </row>
    <row r="414">
      <c r="A414" s="9" t="n">
        <v>410</v>
      </c>
      <c r="B414" s="9" t="inlineStr">
        <is>
          <t>3c045b71-398c-6cb9-5589-7683e1e41be8</t>
        </is>
      </c>
      <c r="C414" s="9" t="inlineStr">
        <is>
          <t>Thấp</t>
        </is>
      </c>
      <c r="D414" s="10" t="inlineStr">
        <is>
          <t>ATM Sư đoàn 320 (MB)</t>
        </is>
      </c>
      <c r="E414" s="9" t="inlineStr">
        <is>
          <t>ATM</t>
        </is>
      </c>
      <c r="F414" s="9" t="inlineStr">
        <is>
          <t>Trang bản đồ MB</t>
        </is>
      </c>
      <c r="G414" s="10" t="inlineStr">
        <is>
          <t>Đường Ngô Quyền, phường Thống Nhất, tỉnh Gia Lai, Xã Biển Hồ, Gia Lai</t>
        </is>
      </c>
      <c r="H414" s="9" t="inlineStr">
        <is>
          <t>Xã Biển Hồ</t>
        </is>
      </c>
      <c r="I414" s="11" t="n">
        <v>14.03674</v>
      </c>
      <c r="J414" s="11" t="n">
        <v>108.014189</v>
      </c>
      <c r="K414" s="9" t="inlineStr">
        <is>
          <t>Đã đối chiếu</t>
        </is>
      </c>
      <c r="L414" s="10" t="n"/>
      <c r="M414" s="12" t="inlineStr">
        <is>
          <t>Bản đồ</t>
        </is>
      </c>
      <c r="N414" s="13" t="n"/>
      <c r="O414" s="14" t="n"/>
      <c r="P414" s="14" t="n"/>
      <c r="Q414" s="13" t="n"/>
      <c r="R414" s="15" t="n"/>
      <c r="S414" s="13" t="n"/>
      <c r="T414" s="13" t="n"/>
      <c r="U414" s="16">
        <f>IF(AND(ISNUMBER(O414),ISNUMBER(P414)),ROUND(SQRT(((P414-J414)*111320*COS(RADIANS(I414)))^2+((O414-I414)*110540)^2),0),"")</f>
        <v/>
      </c>
      <c r="V414" s="17">
        <f>IF(N414="","",IF(N414="Sửa vị trí",IF(OR(O414="",P414=""),"Thiếu vĩ độ / kinh độ mới",IF(OR(O414&lt;12.5,O414&gt;15,P414&lt;107,P414&gt;109.6),"Toạ độ ngoài Gia Lai (đảo vĩ/kinh độ?)",IF(Q414="","Chọn cách xác định",IF(U414&gt;20000,"Dời hơn 20 km – kiểm tra lại","OK")))),IF(AND(N414&lt;&gt;"Sửa vị trí",OR(O414&lt;&gt;"",P414&lt;&gt;"")),"Có toạ độ mới nhưng kết quả không phải Sửa vị trí","OK")))</f>
        <v/>
      </c>
    </row>
    <row r="415">
      <c r="A415" s="9" t="n">
        <v>411</v>
      </c>
      <c r="B415" s="9" t="inlineStr">
        <is>
          <t>2b4b2de7-d447-d2a2-2ae2-271518850951</t>
        </is>
      </c>
      <c r="C415" s="9" t="inlineStr">
        <is>
          <t>Thấp</t>
        </is>
      </c>
      <c r="D415" s="10" t="inlineStr">
        <is>
          <t>ATM Vietcombank – 02 Ngô Quyền</t>
        </is>
      </c>
      <c r="E415" s="9" t="inlineStr">
        <is>
          <t>ATM</t>
        </is>
      </c>
      <c r="F415" s="9" t="inlineStr">
        <is>
          <t>Website Vietcombank</t>
        </is>
      </c>
      <c r="G415" s="10" t="inlineStr">
        <is>
          <t>02 Ngô Quyền, Biển Hồ, Gia Lai, Xã Biển Hồ, Gia Lai</t>
        </is>
      </c>
      <c r="H415" s="9" t="inlineStr">
        <is>
          <t>Xã Biển Hồ</t>
        </is>
      </c>
      <c r="I415" s="11" t="n">
        <v>14.036728</v>
      </c>
      <c r="J415" s="11" t="n">
        <v>108.014311</v>
      </c>
      <c r="K415" s="9" t="inlineStr">
        <is>
          <t>Đã đối chiếu</t>
        </is>
      </c>
      <c r="L415" s="10" t="n"/>
      <c r="M415" s="12" t="inlineStr">
        <is>
          <t>Bản đồ</t>
        </is>
      </c>
      <c r="N415" s="13" t="n"/>
      <c r="O415" s="14" t="n"/>
      <c r="P415" s="14" t="n"/>
      <c r="Q415" s="13" t="n"/>
      <c r="R415" s="15" t="n"/>
      <c r="S415" s="13" t="n"/>
      <c r="T415" s="13" t="n"/>
      <c r="U415" s="16">
        <f>IF(AND(ISNUMBER(O415),ISNUMBER(P415)),ROUND(SQRT(((P415-J415)*111320*COS(RADIANS(I415)))^2+((O415-I415)*110540)^2),0),"")</f>
        <v/>
      </c>
      <c r="V415" s="17">
        <f>IF(N415="","",IF(N415="Sửa vị trí",IF(OR(O415="",P415=""),"Thiếu vĩ độ / kinh độ mới",IF(OR(O415&lt;12.5,O415&gt;15,P415&lt;107,P415&gt;109.6),"Toạ độ ngoài Gia Lai (đảo vĩ/kinh độ?)",IF(Q415="","Chọn cách xác định",IF(U415&gt;20000,"Dời hơn 20 km – kiểm tra lại","OK")))),IF(AND(N415&lt;&gt;"Sửa vị trí",OR(O415&lt;&gt;"",P415&lt;&gt;"")),"Có toạ độ mới nhưng kết quả không phải Sửa vị trí","OK")))</f>
        <v/>
      </c>
    </row>
    <row r="416">
      <c r="A416" s="9" t="n">
        <v>412</v>
      </c>
      <c r="B416" s="9" t="inlineStr">
        <is>
          <t>c42c86de-3e2e-f240-ff85-7d09291c7112</t>
        </is>
      </c>
      <c r="C416" s="9" t="inlineStr">
        <is>
          <t>Thấp</t>
        </is>
      </c>
      <c r="D416" s="10" t="inlineStr">
        <is>
          <t>ATM Quoc lo 19, thon Doan Ket, Xa Bau Can, Tinh Gia Lai (Agribank)</t>
        </is>
      </c>
      <c r="E416" s="9" t="inlineStr">
        <is>
          <t>ATM</t>
        </is>
      </c>
      <c r="F416" s="9" t="inlineStr">
        <is>
          <t>Website Agribank</t>
        </is>
      </c>
      <c r="G416" s="10" t="inlineStr">
        <is>
          <t>Quoc lo 19, thon Doan Ket, Xa Bau Can, Tinh Gia Lai, Xã Bàu Cạn, Gia Lai</t>
        </is>
      </c>
      <c r="H416" s="9" t="inlineStr">
        <is>
          <t>Xã Bàu Cạn</t>
        </is>
      </c>
      <c r="I416" s="11" t="n">
        <v>13.858531</v>
      </c>
      <c r="J416" s="11" t="n">
        <v>107.942108</v>
      </c>
      <c r="K416" s="9" t="inlineStr">
        <is>
          <t>Đã đối chiếu</t>
        </is>
      </c>
      <c r="L416" s="10" t="n"/>
      <c r="M416" s="12" t="inlineStr">
        <is>
          <t>Bản đồ</t>
        </is>
      </c>
      <c r="N416" s="13" t="n"/>
      <c r="O416" s="14" t="n"/>
      <c r="P416" s="14" t="n"/>
      <c r="Q416" s="13" t="n"/>
      <c r="R416" s="15" t="n"/>
      <c r="S416" s="13" t="n"/>
      <c r="T416" s="13" t="n"/>
      <c r="U416" s="16">
        <f>IF(AND(ISNUMBER(O416),ISNUMBER(P416)),ROUND(SQRT(((P416-J416)*111320*COS(RADIANS(I416)))^2+((O416-I416)*110540)^2),0),"")</f>
        <v/>
      </c>
      <c r="V416" s="17">
        <f>IF(N416="","",IF(N416="Sửa vị trí",IF(OR(O416="",P416=""),"Thiếu vĩ độ / kinh độ mới",IF(OR(O416&lt;12.5,O416&gt;15,P416&lt;107,P416&gt;109.6),"Toạ độ ngoài Gia Lai (đảo vĩ/kinh độ?)",IF(Q416="","Chọn cách xác định",IF(U416&gt;20000,"Dời hơn 20 km – kiểm tra lại","OK")))),IF(AND(N416&lt;&gt;"Sửa vị trí",OR(O416&lt;&gt;"",P416&lt;&gt;"")),"Có toạ độ mới nhưng kết quả không phải Sửa vị trí","OK")))</f>
        <v/>
      </c>
    </row>
    <row r="417">
      <c r="A417" s="9" t="n">
        <v>413</v>
      </c>
      <c r="B417" s="9" t="inlineStr">
        <is>
          <t>0dc1a5e2-f0d5-8cc9-4c9b-255ea404d00c</t>
        </is>
      </c>
      <c r="C417" s="9" t="inlineStr">
        <is>
          <t>Thấp</t>
        </is>
      </c>
      <c r="D417" s="10" t="inlineStr">
        <is>
          <t>ATM Duong Tran Hung Dao, Xa Chu Prong, Tinh Gia Lai (Agribank)</t>
        </is>
      </c>
      <c r="E417" s="9" t="inlineStr">
        <is>
          <t>ATM</t>
        </is>
      </c>
      <c r="F417" s="9" t="inlineStr">
        <is>
          <t>Website Agribank</t>
        </is>
      </c>
      <c r="G417" s="10" t="inlineStr">
        <is>
          <t>Duong Tran Hung Dao, Xa Chu Prong, Tinh Gia Lai, Xã Chư Prông, Gia Lai</t>
        </is>
      </c>
      <c r="H417" s="9" t="inlineStr">
        <is>
          <t>Xã Chư Prông</t>
        </is>
      </c>
      <c r="I417" s="11" t="n">
        <v>13.755952</v>
      </c>
      <c r="J417" s="11" t="n">
        <v>107.890508</v>
      </c>
      <c r="K417" s="9" t="inlineStr">
        <is>
          <t>Đã đối chiếu</t>
        </is>
      </c>
      <c r="L417" s="10" t="n"/>
      <c r="M417" s="12" t="inlineStr">
        <is>
          <t>Bản đồ</t>
        </is>
      </c>
      <c r="N417" s="13" t="n"/>
      <c r="O417" s="14" t="n"/>
      <c r="P417" s="14" t="n"/>
      <c r="Q417" s="13" t="n"/>
      <c r="R417" s="15" t="n"/>
      <c r="S417" s="13" t="n"/>
      <c r="T417" s="13" t="n"/>
      <c r="U417" s="16">
        <f>IF(AND(ISNUMBER(O417),ISNUMBER(P417)),ROUND(SQRT(((P417-J417)*111320*COS(RADIANS(I417)))^2+((O417-I417)*110540)^2),0),"")</f>
        <v/>
      </c>
      <c r="V417" s="17">
        <f>IF(N417="","",IF(N417="Sửa vị trí",IF(OR(O417="",P417=""),"Thiếu vĩ độ / kinh độ mới",IF(OR(O417&lt;12.5,O417&gt;15,P417&lt;107,P417&gt;109.6),"Toạ độ ngoài Gia Lai (đảo vĩ/kinh độ?)",IF(Q417="","Chọn cách xác định",IF(U417&gt;20000,"Dời hơn 20 km – kiểm tra lại","OK")))),IF(AND(N417&lt;&gt;"Sửa vị trí",OR(O417&lt;&gt;"",P417&lt;&gt;"")),"Có toạ độ mới nhưng kết quả không phải Sửa vị trí","OK")))</f>
        <v/>
      </c>
    </row>
    <row r="418">
      <c r="A418" s="9" t="n">
        <v>414</v>
      </c>
      <c r="B418" s="9" t="inlineStr">
        <is>
          <t>ac7add90-2861-ab4b-3ddf-886c35cb6ac2</t>
        </is>
      </c>
      <c r="C418" s="9" t="inlineStr">
        <is>
          <t>Thấp</t>
        </is>
      </c>
      <c r="D418" s="10" t="inlineStr">
        <is>
          <t>ATM Duong Tran Hung Dao, Xa Chu Prong, Tinh Gia Lai (Agribank)</t>
        </is>
      </c>
      <c r="E418" s="9" t="inlineStr">
        <is>
          <t>ATM</t>
        </is>
      </c>
      <c r="F418" s="9" t="inlineStr">
        <is>
          <t>Website Agribank</t>
        </is>
      </c>
      <c r="G418" s="10" t="inlineStr">
        <is>
          <t>Duong Tran Hung Dao, Xa Chu Prong, Tinh Gia Lai, Xã Chư Prông, Gia Lai</t>
        </is>
      </c>
      <c r="H418" s="9" t="inlineStr">
        <is>
          <t>Xã Chư Prông</t>
        </is>
      </c>
      <c r="I418" s="11" t="n">
        <v>13.755952</v>
      </c>
      <c r="J418" s="11" t="n">
        <v>107.890508</v>
      </c>
      <c r="K418" s="9" t="inlineStr">
        <is>
          <t>Đã đối chiếu</t>
        </is>
      </c>
      <c r="L418" s="10" t="n"/>
      <c r="M418" s="12" t="inlineStr">
        <is>
          <t>Bản đồ</t>
        </is>
      </c>
      <c r="N418" s="13" t="n"/>
      <c r="O418" s="14" t="n"/>
      <c r="P418" s="14" t="n"/>
      <c r="Q418" s="13" t="n"/>
      <c r="R418" s="15" t="n"/>
      <c r="S418" s="13" t="n"/>
      <c r="T418" s="13" t="n"/>
      <c r="U418" s="16">
        <f>IF(AND(ISNUMBER(O418),ISNUMBER(P418)),ROUND(SQRT(((P418-J418)*111320*COS(RADIANS(I418)))^2+((O418-I418)*110540)^2),0),"")</f>
        <v/>
      </c>
      <c r="V418" s="17">
        <f>IF(N418="","",IF(N418="Sửa vị trí",IF(OR(O418="",P418=""),"Thiếu vĩ độ / kinh độ mới",IF(OR(O418&lt;12.5,O418&gt;15,P418&lt;107,P418&gt;109.6),"Toạ độ ngoài Gia Lai (đảo vĩ/kinh độ?)",IF(Q418="","Chọn cách xác định",IF(U418&gt;20000,"Dời hơn 20 km – kiểm tra lại","OK")))),IF(AND(N418&lt;&gt;"Sửa vị trí",OR(O418&lt;&gt;"",P418&lt;&gt;"")),"Có toạ độ mới nhưng kết quả không phải Sửa vị trí","OK")))</f>
        <v/>
      </c>
    </row>
    <row r="419">
      <c r="A419" s="9" t="n">
        <v>415</v>
      </c>
      <c r="B419" s="9" t="inlineStr">
        <is>
          <t>7a435044-02d3-f306-606d-3478266cdbb4</t>
        </is>
      </c>
      <c r="C419" s="9" t="inlineStr">
        <is>
          <t>Thấp</t>
        </is>
      </c>
      <c r="D419" s="10" t="inlineStr">
        <is>
          <t>ATM Vietcombank – CTY CAO SU CHƯ PRÔNG</t>
        </is>
      </c>
      <c r="E419" s="9" t="inlineStr">
        <is>
          <t>ATM</t>
        </is>
      </c>
      <c r="F419" s="9" t="inlineStr">
        <is>
          <t>Website Vietcombank</t>
        </is>
      </c>
      <c r="G419" s="10" t="inlineStr">
        <is>
          <t>Hợp Hòa, xã Chư Prông, Gia Lai, Xã Chư Prông, Gia Lai</t>
        </is>
      </c>
      <c r="H419" s="9" t="inlineStr">
        <is>
          <t>Xã Chư Prông</t>
        </is>
      </c>
      <c r="I419" s="11" t="n">
        <v>13.74678</v>
      </c>
      <c r="J419" s="11" t="n">
        <v>107.857498</v>
      </c>
      <c r="K419" s="9" t="inlineStr">
        <is>
          <t>Đã đối chiếu</t>
        </is>
      </c>
      <c r="L419" s="10" t="n"/>
      <c r="M419" s="12" t="inlineStr">
        <is>
          <t>Bản đồ</t>
        </is>
      </c>
      <c r="N419" s="13" t="n"/>
      <c r="O419" s="14" t="n"/>
      <c r="P419" s="14" t="n"/>
      <c r="Q419" s="13" t="n"/>
      <c r="R419" s="15" t="n"/>
      <c r="S419" s="13" t="n"/>
      <c r="T419" s="13" t="n"/>
      <c r="U419" s="16">
        <f>IF(AND(ISNUMBER(O419),ISNUMBER(P419)),ROUND(SQRT(((P419-J419)*111320*COS(RADIANS(I419)))^2+((O419-I419)*110540)^2),0),"")</f>
        <v/>
      </c>
      <c r="V419" s="17">
        <f>IF(N419="","",IF(N419="Sửa vị trí",IF(OR(O419="",P419=""),"Thiếu vĩ độ / kinh độ mới",IF(OR(O419&lt;12.5,O419&gt;15,P419&lt;107,P419&gt;109.6),"Toạ độ ngoài Gia Lai (đảo vĩ/kinh độ?)",IF(Q419="","Chọn cách xác định",IF(U419&gt;20000,"Dời hơn 20 km – kiểm tra lại","OK")))),IF(AND(N419&lt;&gt;"Sửa vị trí",OR(O419&lt;&gt;"",P419&lt;&gt;"")),"Có toạ độ mới nhưng kết quả không phải Sửa vị trí","OK")))</f>
        <v/>
      </c>
    </row>
    <row r="420">
      <c r="A420" s="9" t="n">
        <v>416</v>
      </c>
      <c r="B420" s="9" t="inlineStr">
        <is>
          <t>a3e63c1f-03e4-804e-34ff-0285202746da</t>
        </is>
      </c>
      <c r="C420" s="9" t="inlineStr">
        <is>
          <t>Thấp</t>
        </is>
      </c>
      <c r="D420" s="10" t="inlineStr">
        <is>
          <t>ATM Vietcombank – PGD CHƯ PRÔNG</t>
        </is>
      </c>
      <c r="E420" s="9" t="inlineStr">
        <is>
          <t>ATM</t>
        </is>
      </c>
      <c r="F420" s="9" t="inlineStr">
        <is>
          <t>Website Vietcombank</t>
        </is>
      </c>
      <c r="G420" s="10" t="inlineStr">
        <is>
          <t>327 Hùng Vương, xã Chư Prông, Gia Lai, Xã Chư Prông, Gia Lai</t>
        </is>
      </c>
      <c r="H420" s="9" t="inlineStr">
        <is>
          <t>Xã Chư Prông</t>
        </is>
      </c>
      <c r="I420" s="11" t="n">
        <v>13.754051</v>
      </c>
      <c r="J420" s="11" t="n">
        <v>107.877483</v>
      </c>
      <c r="K420" s="9" t="inlineStr">
        <is>
          <t>Đã đối chiếu</t>
        </is>
      </c>
      <c r="L420" s="10" t="n"/>
      <c r="M420" s="12" t="inlineStr">
        <is>
          <t>Bản đồ</t>
        </is>
      </c>
      <c r="N420" s="13" t="n"/>
      <c r="O420" s="14" t="n"/>
      <c r="P420" s="14" t="n"/>
      <c r="Q420" s="13" t="n"/>
      <c r="R420" s="15" t="n"/>
      <c r="S420" s="13" t="n"/>
      <c r="T420" s="13" t="n"/>
      <c r="U420" s="16">
        <f>IF(AND(ISNUMBER(O420),ISNUMBER(P420)),ROUND(SQRT(((P420-J420)*111320*COS(RADIANS(I420)))^2+((O420-I420)*110540)^2),0),"")</f>
        <v/>
      </c>
      <c r="V420" s="17">
        <f>IF(N420="","",IF(N420="Sửa vị trí",IF(OR(O420="",P420=""),"Thiếu vĩ độ / kinh độ mới",IF(OR(O420&lt;12.5,O420&gt;15,P420&lt;107,P420&gt;109.6),"Toạ độ ngoài Gia Lai (đảo vĩ/kinh độ?)",IF(Q420="","Chọn cách xác định",IF(U420&gt;20000,"Dời hơn 20 km – kiểm tra lại","OK")))),IF(AND(N420&lt;&gt;"Sửa vị trí",OR(O420&lt;&gt;"",P420&lt;&gt;"")),"Có toạ độ mới nhưng kết quả không phải Sửa vị trí","OK")))</f>
        <v/>
      </c>
    </row>
    <row r="421">
      <c r="A421" s="9" t="n">
        <v>417</v>
      </c>
      <c r="B421" s="9" t="inlineStr">
        <is>
          <t>0df292c2-6414-334a-cd30-531b9286f55c</t>
        </is>
      </c>
      <c r="C421" s="9" t="inlineStr">
        <is>
          <t>Thấp</t>
        </is>
      </c>
      <c r="D421" s="10" t="inlineStr">
        <is>
          <t>R-ATM Vietcombank – Gia Lai- PGD Chư Prông</t>
        </is>
      </c>
      <c r="E421" s="9" t="inlineStr">
        <is>
          <t>ATM</t>
        </is>
      </c>
      <c r="F421" s="9" t="inlineStr">
        <is>
          <t>Website Vietcombank</t>
        </is>
      </c>
      <c r="G421" s="10" t="inlineStr">
        <is>
          <t>327 HÙNG VƯƠNG X.CHƯ PRÔNG GIA LAI, Xã Chư Prông, Gia Lai</t>
        </is>
      </c>
      <c r="H421" s="9" t="inlineStr">
        <is>
          <t>Xã Chư Prông</t>
        </is>
      </c>
      <c r="I421" s="11" t="n">
        <v>13.754051</v>
      </c>
      <c r="J421" s="11" t="n">
        <v>107.877483</v>
      </c>
      <c r="K421" s="9" t="inlineStr">
        <is>
          <t>Đã đối chiếu</t>
        </is>
      </c>
      <c r="L421" s="10" t="n"/>
      <c r="M421" s="12" t="inlineStr">
        <is>
          <t>Bản đồ</t>
        </is>
      </c>
      <c r="N421" s="13" t="n"/>
      <c r="O421" s="14" t="n"/>
      <c r="P421" s="14" t="n"/>
      <c r="Q421" s="13" t="n"/>
      <c r="R421" s="15" t="n"/>
      <c r="S421" s="13" t="n"/>
      <c r="T421" s="13" t="n"/>
      <c r="U421" s="16">
        <f>IF(AND(ISNUMBER(O421),ISNUMBER(P421)),ROUND(SQRT(((P421-J421)*111320*COS(RADIANS(I421)))^2+((O421-I421)*110540)^2),0),"")</f>
        <v/>
      </c>
      <c r="V421" s="17">
        <f>IF(N421="","",IF(N421="Sửa vị trí",IF(OR(O421="",P421=""),"Thiếu vĩ độ / kinh độ mới",IF(OR(O421&lt;12.5,O421&gt;15,P421&lt;107,P421&gt;109.6),"Toạ độ ngoài Gia Lai (đảo vĩ/kinh độ?)",IF(Q421="","Chọn cách xác định",IF(U421&gt;20000,"Dời hơn 20 km – kiểm tra lại","OK")))),IF(AND(N421&lt;&gt;"Sửa vị trí",OR(O421&lt;&gt;"",P421&lt;&gt;"")),"Có toạ độ mới nhưng kết quả không phải Sửa vị trí","OK")))</f>
        <v/>
      </c>
    </row>
    <row r="422">
      <c r="A422" s="9" t="n">
        <v>418</v>
      </c>
      <c r="B422" s="9" t="inlineStr">
        <is>
          <t>9bf32f4d-b776-b520-fe65-9dd081a14690</t>
        </is>
      </c>
      <c r="C422" s="9" t="inlineStr">
        <is>
          <t>Thấp</t>
        </is>
      </c>
      <c r="D422" s="10" t="inlineStr">
        <is>
          <t>ATM So 83 duong Hung Vuong, Xa Chu Pah, Tinh Gia Lai (Agribank)</t>
        </is>
      </c>
      <c r="E422" s="9" t="inlineStr">
        <is>
          <t>ATM</t>
        </is>
      </c>
      <c r="F422" s="9" t="inlineStr">
        <is>
          <t>Website Agribank</t>
        </is>
      </c>
      <c r="G422" s="10" t="inlineStr">
        <is>
          <t>So 83 duong Hung Vuong, Xa Chu Pah, Tinh Gia Lai, Xã Chư Păh, Gia Lai</t>
        </is>
      </c>
      <c r="H422" s="9" t="inlineStr">
        <is>
          <t>Xã Chư Păh</t>
        </is>
      </c>
      <c r="I422" s="11" t="n">
        <v>14.101558</v>
      </c>
      <c r="J422" s="11" t="n">
        <v>107.969608</v>
      </c>
      <c r="K422" s="9" t="inlineStr">
        <is>
          <t>Đã đối chiếu</t>
        </is>
      </c>
      <c r="L422" s="10" t="n"/>
      <c r="M422" s="12" t="inlineStr">
        <is>
          <t>Bản đồ</t>
        </is>
      </c>
      <c r="N422" s="13" t="n"/>
      <c r="O422" s="14" t="n"/>
      <c r="P422" s="14" t="n"/>
      <c r="Q422" s="13" t="n"/>
      <c r="R422" s="15" t="n"/>
      <c r="S422" s="13" t="n"/>
      <c r="T422" s="13" t="n"/>
      <c r="U422" s="16">
        <f>IF(AND(ISNUMBER(O422),ISNUMBER(P422)),ROUND(SQRT(((P422-J422)*111320*COS(RADIANS(I422)))^2+((O422-I422)*110540)^2),0),"")</f>
        <v/>
      </c>
      <c r="V422" s="17">
        <f>IF(N422="","",IF(N422="Sửa vị trí",IF(OR(O422="",P422=""),"Thiếu vĩ độ / kinh độ mới",IF(OR(O422&lt;12.5,O422&gt;15,P422&lt;107,P422&gt;109.6),"Toạ độ ngoài Gia Lai (đảo vĩ/kinh độ?)",IF(Q422="","Chọn cách xác định",IF(U422&gt;20000,"Dời hơn 20 km – kiểm tra lại","OK")))),IF(AND(N422&lt;&gt;"Sửa vị trí",OR(O422&lt;&gt;"",P422&lt;&gt;"")),"Có toạ độ mới nhưng kết quả không phải Sửa vị trí","OK")))</f>
        <v/>
      </c>
    </row>
    <row r="423">
      <c r="A423" s="9" t="n">
        <v>419</v>
      </c>
      <c r="B423" s="9" t="inlineStr">
        <is>
          <t>1598913e-ee50-62d1-aa19-5ea69c88761e</t>
        </is>
      </c>
      <c r="C423" s="9" t="inlineStr">
        <is>
          <t>Thấp</t>
        </is>
      </c>
      <c r="D423" s="10" t="inlineStr">
        <is>
          <t>ATM So 83 duong Hung Vuong, Xa Chu Pah, Tinh Gia Lai (Agribank)</t>
        </is>
      </c>
      <c r="E423" s="9" t="inlineStr">
        <is>
          <t>ATM</t>
        </is>
      </c>
      <c r="F423" s="9" t="inlineStr">
        <is>
          <t>Website Agribank</t>
        </is>
      </c>
      <c r="G423" s="10" t="inlineStr">
        <is>
          <t>So 83 duong Hung Vuong, Xa Chu Pah, Tinh Gia Lai, Xã Chư Păh, Gia Lai</t>
        </is>
      </c>
      <c r="H423" s="9" t="inlineStr">
        <is>
          <t>Xã Chư Păh</t>
        </is>
      </c>
      <c r="I423" s="11" t="n">
        <v>14.101558</v>
      </c>
      <c r="J423" s="11" t="n">
        <v>107.969608</v>
      </c>
      <c r="K423" s="9" t="inlineStr">
        <is>
          <t>Đã đối chiếu</t>
        </is>
      </c>
      <c r="L423" s="10" t="n"/>
      <c r="M423" s="12" t="inlineStr">
        <is>
          <t>Bản đồ</t>
        </is>
      </c>
      <c r="N423" s="13" t="n"/>
      <c r="O423" s="14" t="n"/>
      <c r="P423" s="14" t="n"/>
      <c r="Q423" s="13" t="n"/>
      <c r="R423" s="15" t="n"/>
      <c r="S423" s="13" t="n"/>
      <c r="T423" s="13" t="n"/>
      <c r="U423" s="16">
        <f>IF(AND(ISNUMBER(O423),ISNUMBER(P423)),ROUND(SQRT(((P423-J423)*111320*COS(RADIANS(I423)))^2+((O423-I423)*110540)^2),0),"")</f>
        <v/>
      </c>
      <c r="V423" s="17">
        <f>IF(N423="","",IF(N423="Sửa vị trí",IF(OR(O423="",P423=""),"Thiếu vĩ độ / kinh độ mới",IF(OR(O423&lt;12.5,O423&gt;15,P423&lt;107,P423&gt;109.6),"Toạ độ ngoài Gia Lai (đảo vĩ/kinh độ?)",IF(Q423="","Chọn cách xác định",IF(U423&gt;20000,"Dời hơn 20 km – kiểm tra lại","OK")))),IF(AND(N423&lt;&gt;"Sửa vị trí",OR(O423&lt;&gt;"",P423&lt;&gt;"")),"Có toạ độ mới nhưng kết quả không phải Sửa vị trí","OK")))</f>
        <v/>
      </c>
    </row>
    <row r="424">
      <c r="A424" s="9" t="n">
        <v>420</v>
      </c>
      <c r="B424" s="9" t="inlineStr">
        <is>
          <t>bb57e565-90b3-3689-1661-4aa3bbf765fa</t>
        </is>
      </c>
      <c r="C424" s="9" t="inlineStr">
        <is>
          <t>Thấp</t>
        </is>
      </c>
      <c r="D424" s="10" t="inlineStr">
        <is>
          <t>ATM 237 Hung Vuong, Xa Chu Puh, Tinh Gia Lai (Agribank)</t>
        </is>
      </c>
      <c r="E424" s="9" t="inlineStr">
        <is>
          <t>ATM</t>
        </is>
      </c>
      <c r="F424" s="9" t="inlineStr">
        <is>
          <t>Website Agribank</t>
        </is>
      </c>
      <c r="G424" s="10" t="inlineStr">
        <is>
          <t>237 Hung Vuong, Xa Chu Puh, Tinh Gia Lai, Xã Chư Pưh, Gia Lai</t>
        </is>
      </c>
      <c r="H424" s="9" t="inlineStr">
        <is>
          <t>Xã Chư Pưh</t>
        </is>
      </c>
      <c r="I424" s="11" t="n">
        <v>13.54733</v>
      </c>
      <c r="J424" s="11" t="n">
        <v>108.099672</v>
      </c>
      <c r="K424" s="9" t="inlineStr">
        <is>
          <t>Đã đối chiếu</t>
        </is>
      </c>
      <c r="L424" s="10" t="n"/>
      <c r="M424" s="12" t="inlineStr">
        <is>
          <t>Bản đồ</t>
        </is>
      </c>
      <c r="N424" s="13" t="n"/>
      <c r="O424" s="14" t="n"/>
      <c r="P424" s="14" t="n"/>
      <c r="Q424" s="13" t="n"/>
      <c r="R424" s="15" t="n"/>
      <c r="S424" s="13" t="n"/>
      <c r="T424" s="13" t="n"/>
      <c r="U424" s="16">
        <f>IF(AND(ISNUMBER(O424),ISNUMBER(P424)),ROUND(SQRT(((P424-J424)*111320*COS(RADIANS(I424)))^2+((O424-I424)*110540)^2),0),"")</f>
        <v/>
      </c>
      <c r="V424" s="17">
        <f>IF(N424="","",IF(N424="Sửa vị trí",IF(OR(O424="",P424=""),"Thiếu vĩ độ / kinh độ mới",IF(OR(O424&lt;12.5,O424&gt;15,P424&lt;107,P424&gt;109.6),"Toạ độ ngoài Gia Lai (đảo vĩ/kinh độ?)",IF(Q424="","Chọn cách xác định",IF(U424&gt;20000,"Dời hơn 20 km – kiểm tra lại","OK")))),IF(AND(N424&lt;&gt;"Sửa vị trí",OR(O424&lt;&gt;"",P424&lt;&gt;"")),"Có toạ độ mới nhưng kết quả không phải Sửa vị trí","OK")))</f>
        <v/>
      </c>
    </row>
    <row r="425">
      <c r="A425" s="9" t="n">
        <v>421</v>
      </c>
      <c r="B425" s="9" t="inlineStr">
        <is>
          <t>c5ff566f-df1d-f455-16a6-34c5df82ecb9</t>
        </is>
      </c>
      <c r="C425" s="9" t="inlineStr">
        <is>
          <t>Thấp</t>
        </is>
      </c>
      <c r="D425" s="10" t="inlineStr">
        <is>
          <t>ATM 237 Hung Vuong, Xa Chu Puh, Tinh Gia Lai (Agribank)</t>
        </is>
      </c>
      <c r="E425" s="9" t="inlineStr">
        <is>
          <t>ATM</t>
        </is>
      </c>
      <c r="F425" s="9" t="inlineStr">
        <is>
          <t>Website Agribank</t>
        </is>
      </c>
      <c r="G425" s="10" t="inlineStr">
        <is>
          <t>237 Hung Vuong, Xa Chu Puh, Tinh Gia Lai, Xã Chư Pưh, Gia Lai</t>
        </is>
      </c>
      <c r="H425" s="9" t="inlineStr">
        <is>
          <t>Xã Chư Pưh</t>
        </is>
      </c>
      <c r="I425" s="11" t="n">
        <v>13.54733</v>
      </c>
      <c r="J425" s="11" t="n">
        <v>108.099672</v>
      </c>
      <c r="K425" s="9" t="inlineStr">
        <is>
          <t>Đã đối chiếu</t>
        </is>
      </c>
      <c r="L425" s="10" t="n"/>
      <c r="M425" s="12" t="inlineStr">
        <is>
          <t>Bản đồ</t>
        </is>
      </c>
      <c r="N425" s="13" t="n"/>
      <c r="O425" s="14" t="n"/>
      <c r="P425" s="14" t="n"/>
      <c r="Q425" s="13" t="n"/>
      <c r="R425" s="15" t="n"/>
      <c r="S425" s="13" t="n"/>
      <c r="T425" s="13" t="n"/>
      <c r="U425" s="16">
        <f>IF(AND(ISNUMBER(O425),ISNUMBER(P425)),ROUND(SQRT(((P425-J425)*111320*COS(RADIANS(I425)))^2+((O425-I425)*110540)^2),0),"")</f>
        <v/>
      </c>
      <c r="V425" s="17">
        <f>IF(N425="","",IF(N425="Sửa vị trí",IF(OR(O425="",P425=""),"Thiếu vĩ độ / kinh độ mới",IF(OR(O425&lt;12.5,O425&gt;15,P425&lt;107,P425&gt;109.6),"Toạ độ ngoài Gia Lai (đảo vĩ/kinh độ?)",IF(Q425="","Chọn cách xác định",IF(U425&gt;20000,"Dời hơn 20 km – kiểm tra lại","OK")))),IF(AND(N425&lt;&gt;"Sửa vị trí",OR(O425&lt;&gt;"",P425&lt;&gt;"")),"Có toạ độ mới nhưng kết quả không phải Sửa vị trí","OK")))</f>
        <v/>
      </c>
    </row>
    <row r="426">
      <c r="A426" s="9" t="n">
        <v>422</v>
      </c>
      <c r="B426" s="9" t="inlineStr">
        <is>
          <t>796be0dd-d740-a7c1-013e-5ebdc10e989a</t>
        </is>
      </c>
      <c r="C426" s="9" t="inlineStr">
        <is>
          <t>Thấp</t>
        </is>
      </c>
      <c r="D426" s="10" t="inlineStr">
        <is>
          <t>ATM 792 Hung Vuong, Xa Chu Se, Tinh Gia Lai (Agribank)</t>
        </is>
      </c>
      <c r="E426" s="9" t="inlineStr">
        <is>
          <t>ATM</t>
        </is>
      </c>
      <c r="F426" s="9" t="inlineStr">
        <is>
          <t>Website Agribank</t>
        </is>
      </c>
      <c r="G426" s="10" t="inlineStr">
        <is>
          <t>792 Hung Vuong, Xa Chu Se, Tinh Gia Lai, Xã Chư Sê, Gia Lai</t>
        </is>
      </c>
      <c r="H426" s="9" t="inlineStr">
        <is>
          <t>Xã Chư Sê</t>
        </is>
      </c>
      <c r="I426" s="11" t="n">
        <v>13.696548</v>
      </c>
      <c r="J426" s="11" t="n">
        <v>108.075525</v>
      </c>
      <c r="K426" s="9" t="inlineStr">
        <is>
          <t>Đã đối chiếu</t>
        </is>
      </c>
      <c r="L426" s="10" t="n"/>
      <c r="M426" s="12" t="inlineStr">
        <is>
          <t>Bản đồ</t>
        </is>
      </c>
      <c r="N426" s="13" t="n"/>
      <c r="O426" s="14" t="n"/>
      <c r="P426" s="14" t="n"/>
      <c r="Q426" s="13" t="n"/>
      <c r="R426" s="15" t="n"/>
      <c r="S426" s="13" t="n"/>
      <c r="T426" s="13" t="n"/>
      <c r="U426" s="16">
        <f>IF(AND(ISNUMBER(O426),ISNUMBER(P426)),ROUND(SQRT(((P426-J426)*111320*COS(RADIANS(I426)))^2+((O426-I426)*110540)^2),0),"")</f>
        <v/>
      </c>
      <c r="V426" s="17">
        <f>IF(N426="","",IF(N426="Sửa vị trí",IF(OR(O426="",P426=""),"Thiếu vĩ độ / kinh độ mới",IF(OR(O426&lt;12.5,O426&gt;15,P426&lt;107,P426&gt;109.6),"Toạ độ ngoài Gia Lai (đảo vĩ/kinh độ?)",IF(Q426="","Chọn cách xác định",IF(U426&gt;20000,"Dời hơn 20 km – kiểm tra lại","OK")))),IF(AND(N426&lt;&gt;"Sửa vị trí",OR(O426&lt;&gt;"",P426&lt;&gt;"")),"Có toạ độ mới nhưng kết quả không phải Sửa vị trí","OK")))</f>
        <v/>
      </c>
    </row>
    <row r="427">
      <c r="A427" s="9" t="n">
        <v>423</v>
      </c>
      <c r="B427" s="9" t="inlineStr">
        <is>
          <t>0a94c5a0-4a0c-2072-0514-e3db08395443</t>
        </is>
      </c>
      <c r="C427" s="9" t="inlineStr">
        <is>
          <t>Thấp</t>
        </is>
      </c>
      <c r="D427" s="10" t="inlineStr">
        <is>
          <t>ATM 792 Hung Vuong, Xa Chu Se, Tinh Gia Lai (Agribank)</t>
        </is>
      </c>
      <c r="E427" s="9" t="inlineStr">
        <is>
          <t>ATM</t>
        </is>
      </c>
      <c r="F427" s="9" t="inlineStr">
        <is>
          <t>Website Agribank</t>
        </is>
      </c>
      <c r="G427" s="10" t="inlineStr">
        <is>
          <t>792 Hung Vuong, Xa Chu Se, Tinh Gia Lai, Xã Chư Sê, Gia Lai</t>
        </is>
      </c>
      <c r="H427" s="9" t="inlineStr">
        <is>
          <t>Xã Chư Sê</t>
        </is>
      </c>
      <c r="I427" s="11" t="n">
        <v>13.696548</v>
      </c>
      <c r="J427" s="11" t="n">
        <v>108.075525</v>
      </c>
      <c r="K427" s="9" t="inlineStr">
        <is>
          <t>Đã đối chiếu</t>
        </is>
      </c>
      <c r="L427" s="10" t="n"/>
      <c r="M427" s="12" t="inlineStr">
        <is>
          <t>Bản đồ</t>
        </is>
      </c>
      <c r="N427" s="13" t="n"/>
      <c r="O427" s="14" t="n"/>
      <c r="P427" s="14" t="n"/>
      <c r="Q427" s="13" t="n"/>
      <c r="R427" s="15" t="n"/>
      <c r="S427" s="13" t="n"/>
      <c r="T427" s="13" t="n"/>
      <c r="U427" s="16">
        <f>IF(AND(ISNUMBER(O427),ISNUMBER(P427)),ROUND(SQRT(((P427-J427)*111320*COS(RADIANS(I427)))^2+((O427-I427)*110540)^2),0),"")</f>
        <v/>
      </c>
      <c r="V427" s="17">
        <f>IF(N427="","",IF(N427="Sửa vị trí",IF(OR(O427="",P427=""),"Thiếu vĩ độ / kinh độ mới",IF(OR(O427&lt;12.5,O427&gt;15,P427&lt;107,P427&gt;109.6),"Toạ độ ngoài Gia Lai (đảo vĩ/kinh độ?)",IF(Q427="","Chọn cách xác định",IF(U427&gt;20000,"Dời hơn 20 km – kiểm tra lại","OK")))),IF(AND(N427&lt;&gt;"Sửa vị trí",OR(O427&lt;&gt;"",P427&lt;&gt;"")),"Có toạ độ mới nhưng kết quả không phải Sửa vị trí","OK")))</f>
        <v/>
      </c>
    </row>
    <row r="428">
      <c r="A428" s="9" t="n">
        <v>424</v>
      </c>
      <c r="B428" s="9" t="inlineStr">
        <is>
          <t>bd832d1a-3cc0-81bc-775d-a7ec78a418cc</t>
        </is>
      </c>
      <c r="C428" s="9" t="inlineStr">
        <is>
          <t>Thấp</t>
        </is>
      </c>
      <c r="D428" s="10" t="inlineStr">
        <is>
          <t>ATM Vietcombank – COOPMART CHƯ SÊ</t>
        </is>
      </c>
      <c r="E428" s="9" t="inlineStr">
        <is>
          <t>ATM</t>
        </is>
      </c>
      <c r="F428" s="9" t="inlineStr">
        <is>
          <t>Website Vietcombank</t>
        </is>
      </c>
      <c r="G428" s="10" t="inlineStr">
        <is>
          <t>912 Hùng Vương, xã Chư Sê, Gia Lai, Xã Chư Sê, Gia Lai</t>
        </is>
      </c>
      <c r="H428" s="9" t="inlineStr">
        <is>
          <t>Xã Chư Sê</t>
        </is>
      </c>
      <c r="I428" s="11" t="n">
        <v>13.690877</v>
      </c>
      <c r="J428" s="11" t="n">
        <v>108.078466</v>
      </c>
      <c r="K428" s="9" t="inlineStr">
        <is>
          <t>Đã đối chiếu</t>
        </is>
      </c>
      <c r="L428" s="10" t="n"/>
      <c r="M428" s="12" t="inlineStr">
        <is>
          <t>Bản đồ</t>
        </is>
      </c>
      <c r="N428" s="13" t="n"/>
      <c r="O428" s="14" t="n"/>
      <c r="P428" s="14" t="n"/>
      <c r="Q428" s="13" t="n"/>
      <c r="R428" s="15" t="n"/>
      <c r="S428" s="13" t="n"/>
      <c r="T428" s="13" t="n"/>
      <c r="U428" s="16">
        <f>IF(AND(ISNUMBER(O428),ISNUMBER(P428)),ROUND(SQRT(((P428-J428)*111320*COS(RADIANS(I428)))^2+((O428-I428)*110540)^2),0),"")</f>
        <v/>
      </c>
      <c r="V428" s="17">
        <f>IF(N428="","",IF(N428="Sửa vị trí",IF(OR(O428="",P428=""),"Thiếu vĩ độ / kinh độ mới",IF(OR(O428&lt;12.5,O428&gt;15,P428&lt;107,P428&gt;109.6),"Toạ độ ngoài Gia Lai (đảo vĩ/kinh độ?)",IF(Q428="","Chọn cách xác định",IF(U428&gt;20000,"Dời hơn 20 km – kiểm tra lại","OK")))),IF(AND(N428&lt;&gt;"Sửa vị trí",OR(O428&lt;&gt;"",P428&lt;&gt;"")),"Có toạ độ mới nhưng kết quả không phải Sửa vị trí","OK")))</f>
        <v/>
      </c>
    </row>
    <row r="429">
      <c r="A429" s="9" t="n">
        <v>425</v>
      </c>
      <c r="B429" s="9" t="inlineStr">
        <is>
          <t>6f374007-7638-0ed7-6e05-450e766fcb95</t>
        </is>
      </c>
      <c r="C429" s="9" t="inlineStr">
        <is>
          <t>Thấp</t>
        </is>
      </c>
      <c r="D429" s="10" t="inlineStr">
        <is>
          <t>ATM Vietcombank – PGD CHƯ SÊ</t>
        </is>
      </c>
      <c r="E429" s="9" t="inlineStr">
        <is>
          <t>ATM</t>
        </is>
      </c>
      <c r="F429" s="9" t="inlineStr">
        <is>
          <t>Website Vietcombank</t>
        </is>
      </c>
      <c r="G429" s="10" t="inlineStr">
        <is>
          <t>804 Hùng Vương, xã Chư Sê, Gia Lai, Xã Chư Sê, Gia Lai</t>
        </is>
      </c>
      <c r="H429" s="9" t="inlineStr">
        <is>
          <t>Xã Chư Sê</t>
        </is>
      </c>
      <c r="I429" s="11" t="n">
        <v>13.695861</v>
      </c>
      <c r="J429" s="11" t="n">
        <v>108.076064</v>
      </c>
      <c r="K429" s="9" t="inlineStr">
        <is>
          <t>Đã đối chiếu</t>
        </is>
      </c>
      <c r="L429" s="10" t="n"/>
      <c r="M429" s="12" t="inlineStr">
        <is>
          <t>Bản đồ</t>
        </is>
      </c>
      <c r="N429" s="13" t="n"/>
      <c r="O429" s="14" t="n"/>
      <c r="P429" s="14" t="n"/>
      <c r="Q429" s="13" t="n"/>
      <c r="R429" s="15" t="n"/>
      <c r="S429" s="13" t="n"/>
      <c r="T429" s="13" t="n"/>
      <c r="U429" s="16">
        <f>IF(AND(ISNUMBER(O429),ISNUMBER(P429)),ROUND(SQRT(((P429-J429)*111320*COS(RADIANS(I429)))^2+((O429-I429)*110540)^2),0),"")</f>
        <v/>
      </c>
      <c r="V429" s="17">
        <f>IF(N429="","",IF(N429="Sửa vị trí",IF(OR(O429="",P429=""),"Thiếu vĩ độ / kinh độ mới",IF(OR(O429&lt;12.5,O429&gt;15,P429&lt;107,P429&gt;109.6),"Toạ độ ngoài Gia Lai (đảo vĩ/kinh độ?)",IF(Q429="","Chọn cách xác định",IF(U429&gt;20000,"Dời hơn 20 km – kiểm tra lại","OK")))),IF(AND(N429&lt;&gt;"Sửa vị trí",OR(O429&lt;&gt;"",P429&lt;&gt;"")),"Có toạ độ mới nhưng kết quả không phải Sửa vị trí","OK")))</f>
        <v/>
      </c>
    </row>
    <row r="430">
      <c r="A430" s="9" t="n">
        <v>426</v>
      </c>
      <c r="B430" s="9" t="inlineStr">
        <is>
          <t>8f526bbe-7029-aea0-1178-553257f29226</t>
        </is>
      </c>
      <c r="C430" s="9" t="inlineStr">
        <is>
          <t>Thấp</t>
        </is>
      </c>
      <c r="D430" s="10" t="inlineStr">
        <is>
          <t>CRM PGD Chư Sê (MB)</t>
        </is>
      </c>
      <c r="E430" s="9" t="inlineStr">
        <is>
          <t>ATM</t>
        </is>
      </c>
      <c r="F430" s="9" t="inlineStr">
        <is>
          <t>Trang bản đồ MB</t>
        </is>
      </c>
      <c r="G430" s="10" t="inlineStr">
        <is>
          <t>Số 868 đường Hùng Vương, xã Chư Sê, tỉnh Gia Lai, Xã Chư Sê, Gia Lai</t>
        </is>
      </c>
      <c r="H430" s="9" t="inlineStr">
        <is>
          <t>Xã Chư Sê</t>
        </is>
      </c>
      <c r="I430" s="11" t="n">
        <v>13.693591</v>
      </c>
      <c r="J430" s="11" t="n">
        <v>108.07725</v>
      </c>
      <c r="K430" s="9" t="inlineStr">
        <is>
          <t>Đã đối chiếu</t>
        </is>
      </c>
      <c r="L430" s="10" t="n"/>
      <c r="M430" s="12" t="inlineStr">
        <is>
          <t>Bản đồ</t>
        </is>
      </c>
      <c r="N430" s="13" t="n"/>
      <c r="O430" s="14" t="n"/>
      <c r="P430" s="14" t="n"/>
      <c r="Q430" s="13" t="n"/>
      <c r="R430" s="15" t="n"/>
      <c r="S430" s="13" t="n"/>
      <c r="T430" s="13" t="n"/>
      <c r="U430" s="16">
        <f>IF(AND(ISNUMBER(O430),ISNUMBER(P430)),ROUND(SQRT(((P430-J430)*111320*COS(RADIANS(I430)))^2+((O430-I430)*110540)^2),0),"")</f>
        <v/>
      </c>
      <c r="V430" s="17">
        <f>IF(N430="","",IF(N430="Sửa vị trí",IF(OR(O430="",P430=""),"Thiếu vĩ độ / kinh độ mới",IF(OR(O430&lt;12.5,O430&gt;15,P430&lt;107,P430&gt;109.6),"Toạ độ ngoài Gia Lai (đảo vĩ/kinh độ?)",IF(Q430="","Chọn cách xác định",IF(U430&gt;20000,"Dời hơn 20 km – kiểm tra lại","OK")))),IF(AND(N430&lt;&gt;"Sửa vị trí",OR(O430&lt;&gt;"",P430&lt;&gt;"")),"Có toạ độ mới nhưng kết quả không phải Sửa vị trí","OK")))</f>
        <v/>
      </c>
    </row>
    <row r="431">
      <c r="A431" s="9" t="n">
        <v>427</v>
      </c>
      <c r="B431" s="9" t="inlineStr">
        <is>
          <t>c45edcc0-c560-b3d6-3179-01b86c8d7c70</t>
        </is>
      </c>
      <c r="C431" s="9" t="inlineStr">
        <is>
          <t>Thấp</t>
        </is>
      </c>
      <c r="D431" s="10" t="inlineStr">
        <is>
          <t>R-ATM Vietcombank – PGD CHƯ SÊ</t>
        </is>
      </c>
      <c r="E431" s="9" t="inlineStr">
        <is>
          <t>ATM</t>
        </is>
      </c>
      <c r="F431" s="9" t="inlineStr">
        <is>
          <t>Website Vietcombank</t>
        </is>
      </c>
      <c r="G431" s="10" t="inlineStr">
        <is>
          <t>804 HÙNG VƯƠNG X.CHƯ SÊ GIA LAI, Xã Chư Sê, Gia Lai</t>
        </is>
      </c>
      <c r="H431" s="9" t="inlineStr">
        <is>
          <t>Xã Chư Sê</t>
        </is>
      </c>
      <c r="I431" s="11" t="n">
        <v>13.695861</v>
      </c>
      <c r="J431" s="11" t="n">
        <v>108.076064</v>
      </c>
      <c r="K431" s="9" t="inlineStr">
        <is>
          <t>Đã đối chiếu</t>
        </is>
      </c>
      <c r="L431" s="10" t="n"/>
      <c r="M431" s="12" t="inlineStr">
        <is>
          <t>Bản đồ</t>
        </is>
      </c>
      <c r="N431" s="13" t="n"/>
      <c r="O431" s="14" t="n"/>
      <c r="P431" s="14" t="n"/>
      <c r="Q431" s="13" t="n"/>
      <c r="R431" s="15" t="n"/>
      <c r="S431" s="13" t="n"/>
      <c r="T431" s="13" t="n"/>
      <c r="U431" s="16">
        <f>IF(AND(ISNUMBER(O431),ISNUMBER(P431)),ROUND(SQRT(((P431-J431)*111320*COS(RADIANS(I431)))^2+((O431-I431)*110540)^2),0),"")</f>
        <v/>
      </c>
      <c r="V431" s="17">
        <f>IF(N431="","",IF(N431="Sửa vị trí",IF(OR(O431="",P431=""),"Thiếu vĩ độ / kinh độ mới",IF(OR(O431&lt;12.5,O431&gt;15,P431&lt;107,P431&gt;109.6),"Toạ độ ngoài Gia Lai (đảo vĩ/kinh độ?)",IF(Q431="","Chọn cách xác định",IF(U431&gt;20000,"Dời hơn 20 km – kiểm tra lại","OK")))),IF(AND(N431&lt;&gt;"Sửa vị trí",OR(O431&lt;&gt;"",P431&lt;&gt;"")),"Có toạ độ mới nhưng kết quả không phải Sửa vị trí","OK")))</f>
        <v/>
      </c>
    </row>
    <row r="432">
      <c r="A432" s="9" t="n">
        <v>428</v>
      </c>
      <c r="B432" s="9" t="inlineStr">
        <is>
          <t>901d608f-ca77-f527-f117-6826b007ccf4</t>
        </is>
      </c>
      <c r="C432" s="9" t="inlineStr">
        <is>
          <t>Thấp</t>
        </is>
      </c>
      <c r="D432" s="10" t="inlineStr">
        <is>
          <t>ATM thôn Phương Phi, Cát Tiến, Phù Cát, Bình Định (Agribank)</t>
        </is>
      </c>
      <c r="E432" s="9" t="inlineStr">
        <is>
          <t>ATM</t>
        </is>
      </c>
      <c r="F432" s="9" t="inlineStr">
        <is>
          <t>Website Agribank</t>
        </is>
      </c>
      <c r="G432" s="10" t="inlineStr">
        <is>
          <t>Thôn Phương Phi, Cát Tiến, Phù Cát, Bình Định, Xã Cát Tiến, Gia Lai</t>
        </is>
      </c>
      <c r="H432" s="9" t="inlineStr">
        <is>
          <t>Xã Cát Tiến</t>
        </is>
      </c>
      <c r="I432" s="11" t="n">
        <v>13.94467</v>
      </c>
      <c r="J432" s="11" t="n">
        <v>109.234864</v>
      </c>
      <c r="K432" s="9" t="inlineStr">
        <is>
          <t>Đã đối chiếu</t>
        </is>
      </c>
      <c r="L432" s="10" t="n"/>
      <c r="M432" s="12" t="inlineStr">
        <is>
          <t>Bản đồ</t>
        </is>
      </c>
      <c r="N432" s="13" t="n"/>
      <c r="O432" s="14" t="n"/>
      <c r="P432" s="14" t="n"/>
      <c r="Q432" s="13" t="n"/>
      <c r="R432" s="15" t="n"/>
      <c r="S432" s="13" t="n"/>
      <c r="T432" s="13" t="n"/>
      <c r="U432" s="16">
        <f>IF(AND(ISNUMBER(O432),ISNUMBER(P432)),ROUND(SQRT(((P432-J432)*111320*COS(RADIANS(I432)))^2+((O432-I432)*110540)^2),0),"")</f>
        <v/>
      </c>
      <c r="V432" s="17">
        <f>IF(N432="","",IF(N432="Sửa vị trí",IF(OR(O432="",P432=""),"Thiếu vĩ độ / kinh độ mới",IF(OR(O432&lt;12.5,O432&gt;15,P432&lt;107,P432&gt;109.6),"Toạ độ ngoài Gia Lai (đảo vĩ/kinh độ?)",IF(Q432="","Chọn cách xác định",IF(U432&gt;20000,"Dời hơn 20 km – kiểm tra lại","OK")))),IF(AND(N432&lt;&gt;"Sửa vị trí",OR(O432&lt;&gt;"",P432&lt;&gt;"")),"Có toạ độ mới nhưng kết quả không phải Sửa vị trí","OK")))</f>
        <v/>
      </c>
    </row>
    <row r="433">
      <c r="A433" s="9" t="n">
        <v>429</v>
      </c>
      <c r="B433" s="9" t="inlineStr">
        <is>
          <t>5c2f1711-4aed-2238-e66a-a5e5be5bc39d</t>
        </is>
      </c>
      <c r="C433" s="9" t="inlineStr">
        <is>
          <t>Thấp</t>
        </is>
      </c>
      <c r="D433" s="10" t="inlineStr">
        <is>
          <t>ATM Trường Quân Sự Quân Đoàn 3 (MB)</t>
        </is>
      </c>
      <c r="E433" s="9" t="inlineStr">
        <is>
          <t>ATM</t>
        </is>
      </c>
      <c r="F433" s="9" t="inlineStr">
        <is>
          <t>Trang bản đồ MB</t>
        </is>
      </c>
      <c r="G433" s="10" t="inlineStr">
        <is>
          <t>Thôn Hòa Hội, xã Hòa Hội, tỉnh Gia Lai., Xã Hòa Hội, Gia Lai</t>
        </is>
      </c>
      <c r="H433" s="9" t="inlineStr">
        <is>
          <t>Xã Hòa Hội</t>
        </is>
      </c>
      <c r="I433" s="11" t="n">
        <v>14.029875</v>
      </c>
      <c r="J433" s="11" t="n">
        <v>109.053099</v>
      </c>
      <c r="K433" s="9" t="inlineStr">
        <is>
          <t>Đã đối chiếu</t>
        </is>
      </c>
      <c r="L433" s="10" t="n"/>
      <c r="M433" s="12" t="inlineStr">
        <is>
          <t>Bản đồ</t>
        </is>
      </c>
      <c r="N433" s="13" t="n"/>
      <c r="O433" s="14" t="n"/>
      <c r="P433" s="14" t="n"/>
      <c r="Q433" s="13" t="n"/>
      <c r="R433" s="15" t="n"/>
      <c r="S433" s="13" t="n"/>
      <c r="T433" s="13" t="n"/>
      <c r="U433" s="16">
        <f>IF(AND(ISNUMBER(O433),ISNUMBER(P433)),ROUND(SQRT(((P433-J433)*111320*COS(RADIANS(I433)))^2+((O433-I433)*110540)^2),0),"")</f>
        <v/>
      </c>
      <c r="V433" s="17">
        <f>IF(N433="","",IF(N433="Sửa vị trí",IF(OR(O433="",P433=""),"Thiếu vĩ độ / kinh độ mới",IF(OR(O433&lt;12.5,O433&gt;15,P433&lt;107,P433&gt;109.6),"Toạ độ ngoài Gia Lai (đảo vĩ/kinh độ?)",IF(Q433="","Chọn cách xác định",IF(U433&gt;20000,"Dời hơn 20 km – kiểm tra lại","OK")))),IF(AND(N433&lt;&gt;"Sửa vị trí",OR(O433&lt;&gt;"",P433&lt;&gt;"")),"Có toạ độ mới nhưng kết quả không phải Sửa vị trí","OK")))</f>
        <v/>
      </c>
    </row>
    <row r="434">
      <c r="A434" s="9" t="n">
        <v>430</v>
      </c>
      <c r="B434" s="9" t="inlineStr">
        <is>
          <t>a7234b3e-d351-5859-8601-024218b04da8</t>
        </is>
      </c>
      <c r="C434" s="9" t="inlineStr">
        <is>
          <t>Thấp</t>
        </is>
      </c>
      <c r="D434" s="10" t="inlineStr">
        <is>
          <t>ATM Lữ đoàn 234 (MB)</t>
        </is>
      </c>
      <c r="E434" s="9" t="inlineStr">
        <is>
          <t>ATM</t>
        </is>
      </c>
      <c r="F434" s="9" t="inlineStr">
        <is>
          <t>Trang bản đồ MB</t>
        </is>
      </c>
      <c r="G434" s="10" t="inlineStr">
        <is>
          <t>Thôn 6, phường Thống Nhất, tỉnh Gia Lai, Xã Ia Băng, Gia Lai</t>
        </is>
      </c>
      <c r="H434" s="9" t="inlineStr">
        <is>
          <t>Xã Ia Băng</t>
        </is>
      </c>
      <c r="I434" s="11" t="n">
        <v>13.877123</v>
      </c>
      <c r="J434" s="11" t="n">
        <v>108.031783</v>
      </c>
      <c r="K434" s="9" t="inlineStr">
        <is>
          <t>Đã đối chiếu</t>
        </is>
      </c>
      <c r="L434" s="10" t="n"/>
      <c r="M434" s="12" t="inlineStr">
        <is>
          <t>Bản đồ</t>
        </is>
      </c>
      <c r="N434" s="13" t="n"/>
      <c r="O434" s="14" t="n"/>
      <c r="P434" s="14" t="n"/>
      <c r="Q434" s="13" t="n"/>
      <c r="R434" s="15" t="n"/>
      <c r="S434" s="13" t="n"/>
      <c r="T434" s="13" t="n"/>
      <c r="U434" s="16">
        <f>IF(AND(ISNUMBER(O434),ISNUMBER(P434)),ROUND(SQRT(((P434-J434)*111320*COS(RADIANS(I434)))^2+((O434-I434)*110540)^2),0),"")</f>
        <v/>
      </c>
      <c r="V434" s="17">
        <f>IF(N434="","",IF(N434="Sửa vị trí",IF(OR(O434="",P434=""),"Thiếu vĩ độ / kinh độ mới",IF(OR(O434&lt;12.5,O434&gt;15,P434&lt;107,P434&gt;109.6),"Toạ độ ngoài Gia Lai (đảo vĩ/kinh độ?)",IF(Q434="","Chọn cách xác định",IF(U434&gt;20000,"Dời hơn 20 km – kiểm tra lại","OK")))),IF(AND(N434&lt;&gt;"Sửa vị trí",OR(O434&lt;&gt;"",P434&lt;&gt;"")),"Có toạ độ mới nhưng kết quả không phải Sửa vị trí","OK")))</f>
        <v/>
      </c>
    </row>
    <row r="435">
      <c r="A435" s="9" t="n">
        <v>431</v>
      </c>
      <c r="B435" s="9" t="inlineStr">
        <is>
          <t>3e626852-6415-d45d-0a9d-d60d65a933f5</t>
        </is>
      </c>
      <c r="C435" s="9" t="inlineStr">
        <is>
          <t>Thấp</t>
        </is>
      </c>
      <c r="D435" s="10" t="inlineStr">
        <is>
          <t>ATM 290 Hung Vuong, Xa Ia Grai, Tinh Gia Lai (Agribank)</t>
        </is>
      </c>
      <c r="E435" s="9" t="inlineStr">
        <is>
          <t>ATM</t>
        </is>
      </c>
      <c r="F435" s="9" t="inlineStr">
        <is>
          <t>Website Agribank</t>
        </is>
      </c>
      <c r="G435" s="10" t="inlineStr">
        <is>
          <t>290 Hung Vuong, Xa Ia Grai, Tinh Gia Lai, Xã Ia Grai, Gia Lai</t>
        </is>
      </c>
      <c r="H435" s="9" t="inlineStr">
        <is>
          <t>Xã Ia Grai</t>
        </is>
      </c>
      <c r="I435" s="11" t="n">
        <v>13.962131</v>
      </c>
      <c r="J435" s="11" t="n">
        <v>107.84585</v>
      </c>
      <c r="K435" s="9" t="inlineStr">
        <is>
          <t>Đã đối chiếu</t>
        </is>
      </c>
      <c r="L435" s="10" t="n"/>
      <c r="M435" s="12" t="inlineStr">
        <is>
          <t>Bản đồ</t>
        </is>
      </c>
      <c r="N435" s="13" t="n"/>
      <c r="O435" s="14" t="n"/>
      <c r="P435" s="14" t="n"/>
      <c r="Q435" s="13" t="n"/>
      <c r="R435" s="15" t="n"/>
      <c r="S435" s="13" t="n"/>
      <c r="T435" s="13" t="n"/>
      <c r="U435" s="16">
        <f>IF(AND(ISNUMBER(O435),ISNUMBER(P435)),ROUND(SQRT(((P435-J435)*111320*COS(RADIANS(I435)))^2+((O435-I435)*110540)^2),0),"")</f>
        <v/>
      </c>
      <c r="V435" s="17">
        <f>IF(N435="","",IF(N435="Sửa vị trí",IF(OR(O435="",P435=""),"Thiếu vĩ độ / kinh độ mới",IF(OR(O435&lt;12.5,O435&gt;15,P435&lt;107,P435&gt;109.6),"Toạ độ ngoài Gia Lai (đảo vĩ/kinh độ?)",IF(Q435="","Chọn cách xác định",IF(U435&gt;20000,"Dời hơn 20 km – kiểm tra lại","OK")))),IF(AND(N435&lt;&gt;"Sửa vị trí",OR(O435&lt;&gt;"",P435&lt;&gt;"")),"Có toạ độ mới nhưng kết quả không phải Sửa vị trí","OK")))</f>
        <v/>
      </c>
    </row>
    <row r="436">
      <c r="A436" s="9" t="n">
        <v>432</v>
      </c>
      <c r="B436" s="9" t="inlineStr">
        <is>
          <t>6a9e8bf0-25b4-719a-e982-4911512dc9f6</t>
        </is>
      </c>
      <c r="C436" s="9" t="inlineStr">
        <is>
          <t>Thấp</t>
        </is>
      </c>
      <c r="D436" s="10" t="inlineStr">
        <is>
          <t>ATM 290 Hung Vuong, Xa Ia Grai, Tinh Gia Lai (Agribank)</t>
        </is>
      </c>
      <c r="E436" s="9" t="inlineStr">
        <is>
          <t>ATM</t>
        </is>
      </c>
      <c r="F436" s="9" t="inlineStr">
        <is>
          <t>Website Agribank</t>
        </is>
      </c>
      <c r="G436" s="10" t="inlineStr">
        <is>
          <t>290 Hung Vuong, Xa Ia Grai, Tinh Gia Lai, Xã Ia Grai, Gia Lai</t>
        </is>
      </c>
      <c r="H436" s="9" t="inlineStr">
        <is>
          <t>Xã Ia Grai</t>
        </is>
      </c>
      <c r="I436" s="11" t="n">
        <v>13.962131</v>
      </c>
      <c r="J436" s="11" t="n">
        <v>107.84585</v>
      </c>
      <c r="K436" s="9" t="inlineStr">
        <is>
          <t>Đã đối chiếu</t>
        </is>
      </c>
      <c r="L436" s="10" t="n"/>
      <c r="M436" s="12" t="inlineStr">
        <is>
          <t>Bản đồ</t>
        </is>
      </c>
      <c r="N436" s="13" t="n"/>
      <c r="O436" s="14" t="n"/>
      <c r="P436" s="14" t="n"/>
      <c r="Q436" s="13" t="n"/>
      <c r="R436" s="15" t="n"/>
      <c r="S436" s="13" t="n"/>
      <c r="T436" s="13" t="n"/>
      <c r="U436" s="16">
        <f>IF(AND(ISNUMBER(O436),ISNUMBER(P436)),ROUND(SQRT(((P436-J436)*111320*COS(RADIANS(I436)))^2+((O436-I436)*110540)^2),0),"")</f>
        <v/>
      </c>
      <c r="V436" s="17">
        <f>IF(N436="","",IF(N436="Sửa vị trí",IF(OR(O436="",P436=""),"Thiếu vĩ độ / kinh độ mới",IF(OR(O436&lt;12.5,O436&gt;15,P436&lt;107,P436&gt;109.6),"Toạ độ ngoài Gia Lai (đảo vĩ/kinh độ?)",IF(Q436="","Chọn cách xác định",IF(U436&gt;20000,"Dời hơn 20 km – kiểm tra lại","OK")))),IF(AND(N436&lt;&gt;"Sửa vị trí",OR(O436&lt;&gt;"",P436&lt;&gt;"")),"Có toạ độ mới nhưng kết quả không phải Sửa vị trí","OK")))</f>
        <v/>
      </c>
    </row>
    <row r="437">
      <c r="A437" s="9" t="n">
        <v>433</v>
      </c>
      <c r="B437" s="9" t="inlineStr">
        <is>
          <t>9b30c455-8a8d-86a0-6c9b-d5154a126b52</t>
        </is>
      </c>
      <c r="C437" s="9" t="inlineStr">
        <is>
          <t>Thấp</t>
        </is>
      </c>
      <c r="D437" s="10" t="inlineStr">
        <is>
          <t>ATM 290 Hung Vuong, Xa Ia Grai, Tinh Gia Lai (Agribank)</t>
        </is>
      </c>
      <c r="E437" s="9" t="inlineStr">
        <is>
          <t>ATM</t>
        </is>
      </c>
      <c r="F437" s="9" t="inlineStr">
        <is>
          <t>Website Agribank</t>
        </is>
      </c>
      <c r="G437" s="10" t="inlineStr">
        <is>
          <t>290 Hung Vuong, Xa Ia Grai, Tinh Gia Lai, Xã Ia Grai, Gia Lai</t>
        </is>
      </c>
      <c r="H437" s="9" t="inlineStr">
        <is>
          <t>Xã Ia Grai</t>
        </is>
      </c>
      <c r="I437" s="11" t="n">
        <v>13.962131</v>
      </c>
      <c r="J437" s="11" t="n">
        <v>107.84585</v>
      </c>
      <c r="K437" s="9" t="inlineStr">
        <is>
          <t>Đã đối chiếu</t>
        </is>
      </c>
      <c r="L437" s="10" t="n"/>
      <c r="M437" s="12" t="inlineStr">
        <is>
          <t>Bản đồ</t>
        </is>
      </c>
      <c r="N437" s="13" t="n"/>
      <c r="O437" s="14" t="n"/>
      <c r="P437" s="14" t="n"/>
      <c r="Q437" s="13" t="n"/>
      <c r="R437" s="15" t="n"/>
      <c r="S437" s="13" t="n"/>
      <c r="T437" s="13" t="n"/>
      <c r="U437" s="16">
        <f>IF(AND(ISNUMBER(O437),ISNUMBER(P437)),ROUND(SQRT(((P437-J437)*111320*COS(RADIANS(I437)))^2+((O437-I437)*110540)^2),0),"")</f>
        <v/>
      </c>
      <c r="V437" s="17">
        <f>IF(N437="","",IF(N437="Sửa vị trí",IF(OR(O437="",P437=""),"Thiếu vĩ độ / kinh độ mới",IF(OR(O437&lt;12.5,O437&gt;15,P437&lt;107,P437&gt;109.6),"Toạ độ ngoài Gia Lai (đảo vĩ/kinh độ?)",IF(Q437="","Chọn cách xác định",IF(U437&gt;20000,"Dời hơn 20 km – kiểm tra lại","OK")))),IF(AND(N437&lt;&gt;"Sửa vị trí",OR(O437&lt;&gt;"",P437&lt;&gt;"")),"Có toạ độ mới nhưng kết quả không phải Sửa vị trí","OK")))</f>
        <v/>
      </c>
    </row>
    <row r="438">
      <c r="A438" s="9" t="n">
        <v>434</v>
      </c>
      <c r="B438" s="9" t="inlineStr">
        <is>
          <t>29157d78-53b5-d461-3700-abcaf6885601</t>
        </is>
      </c>
      <c r="C438" s="9" t="inlineStr">
        <is>
          <t>Thấp</t>
        </is>
      </c>
      <c r="D438" s="10" t="inlineStr">
        <is>
          <t>ATM Thon Chu Hau 5, Xa Ia Hrung, Tinh Gia Lai (Agribank)</t>
        </is>
      </c>
      <c r="E438" s="9" t="inlineStr">
        <is>
          <t>ATM</t>
        </is>
      </c>
      <c r="F438" s="9" t="inlineStr">
        <is>
          <t>Website Agribank</t>
        </is>
      </c>
      <c r="G438" s="10" t="inlineStr">
        <is>
          <t>Thon Chu Hau 5, Xa Ia Hrung, Tinh Gia Lai, Xã Ia Grai, Gia Lai</t>
        </is>
      </c>
      <c r="H438" s="9" t="inlineStr">
        <is>
          <t>Xã Ia Grai</t>
        </is>
      </c>
      <c r="I438" s="11" t="n">
        <v>14.046989</v>
      </c>
      <c r="J438" s="11" t="n">
        <v>107.860608</v>
      </c>
      <c r="K438" s="9" t="inlineStr">
        <is>
          <t>Đã đối chiếu</t>
        </is>
      </c>
      <c r="L438" s="10" t="n"/>
      <c r="M438" s="12" t="inlineStr">
        <is>
          <t>Bản đồ</t>
        </is>
      </c>
      <c r="N438" s="13" t="n"/>
      <c r="O438" s="14" t="n"/>
      <c r="P438" s="14" t="n"/>
      <c r="Q438" s="13" t="n"/>
      <c r="R438" s="15" t="n"/>
      <c r="S438" s="13" t="n"/>
      <c r="T438" s="13" t="n"/>
      <c r="U438" s="16">
        <f>IF(AND(ISNUMBER(O438),ISNUMBER(P438)),ROUND(SQRT(((P438-J438)*111320*COS(RADIANS(I438)))^2+((O438-I438)*110540)^2),0),"")</f>
        <v/>
      </c>
      <c r="V438" s="17">
        <f>IF(N438="","",IF(N438="Sửa vị trí",IF(OR(O438="",P438=""),"Thiếu vĩ độ / kinh độ mới",IF(OR(O438&lt;12.5,O438&gt;15,P438&lt;107,P438&gt;109.6),"Toạ độ ngoài Gia Lai (đảo vĩ/kinh độ?)",IF(Q438="","Chọn cách xác định",IF(U438&gt;20000,"Dời hơn 20 km – kiểm tra lại","OK")))),IF(AND(N438&lt;&gt;"Sửa vị trí",OR(O438&lt;&gt;"",P438&lt;&gt;"")),"Có toạ độ mới nhưng kết quả không phải Sửa vị trí","OK")))</f>
        <v/>
      </c>
    </row>
    <row r="439">
      <c r="A439" s="9" t="n">
        <v>435</v>
      </c>
      <c r="B439" s="9" t="inlineStr">
        <is>
          <t>9fa86f32-9201-1cde-6be6-ef2477c6af97</t>
        </is>
      </c>
      <c r="C439" s="9" t="inlineStr">
        <is>
          <t>Thấp</t>
        </is>
      </c>
      <c r="D439" s="10" t="inlineStr">
        <is>
          <t>ATM Vietcombank – PGD Ia Grai</t>
        </is>
      </c>
      <c r="E439" s="9" t="inlineStr">
        <is>
          <t>ATM</t>
        </is>
      </c>
      <c r="F439" s="9" t="inlineStr">
        <is>
          <t>Website Vietcombank</t>
        </is>
      </c>
      <c r="G439" s="10" t="inlineStr">
        <is>
          <t>269 Hùng Vương, Ia Grai, Gia Lai, Xã Ia Grai, Gia Lai</t>
        </is>
      </c>
      <c r="H439" s="9" t="inlineStr">
        <is>
          <t>Xã Ia Grai</t>
        </is>
      </c>
      <c r="I439" s="11" t="n">
        <v>13.96133</v>
      </c>
      <c r="J439" s="11" t="n">
        <v>107.84868</v>
      </c>
      <c r="K439" s="9" t="inlineStr">
        <is>
          <t>Đã đối chiếu</t>
        </is>
      </c>
      <c r="L439" s="10" t="n"/>
      <c r="M439" s="12" t="inlineStr">
        <is>
          <t>Bản đồ</t>
        </is>
      </c>
      <c r="N439" s="13" t="n"/>
      <c r="O439" s="14" t="n"/>
      <c r="P439" s="14" t="n"/>
      <c r="Q439" s="13" t="n"/>
      <c r="R439" s="15" t="n"/>
      <c r="S439" s="13" t="n"/>
      <c r="T439" s="13" t="n"/>
      <c r="U439" s="16">
        <f>IF(AND(ISNUMBER(O439),ISNUMBER(P439)),ROUND(SQRT(((P439-J439)*111320*COS(RADIANS(I439)))^2+((O439-I439)*110540)^2),0),"")</f>
        <v/>
      </c>
      <c r="V439" s="17">
        <f>IF(N439="","",IF(N439="Sửa vị trí",IF(OR(O439="",P439=""),"Thiếu vĩ độ / kinh độ mới",IF(OR(O439&lt;12.5,O439&gt;15,P439&lt;107,P439&gt;109.6),"Toạ độ ngoài Gia Lai (đảo vĩ/kinh độ?)",IF(Q439="","Chọn cách xác định",IF(U439&gt;20000,"Dời hơn 20 km – kiểm tra lại","OK")))),IF(AND(N439&lt;&gt;"Sửa vị trí",OR(O439&lt;&gt;"",P439&lt;&gt;"")),"Có toạ độ mới nhưng kết quả không phải Sửa vị trí","OK")))</f>
        <v/>
      </c>
    </row>
    <row r="440">
      <c r="A440" s="9" t="n">
        <v>436</v>
      </c>
      <c r="B440" s="9" t="inlineStr">
        <is>
          <t>96a86a70-79ab-0189-844b-03de1f8e7802</t>
        </is>
      </c>
      <c r="C440" s="9" t="inlineStr">
        <is>
          <t>Thấp</t>
        </is>
      </c>
      <c r="D440" s="10" t="inlineStr">
        <is>
          <t>ATM So 318 duong Hung Vuong, Xa Ia Ly, Tinh Gia Lai (Agribank)</t>
        </is>
      </c>
      <c r="E440" s="9" t="inlineStr">
        <is>
          <t>ATM</t>
        </is>
      </c>
      <c r="F440" s="9" t="inlineStr">
        <is>
          <t>Website Agribank</t>
        </is>
      </c>
      <c r="G440" s="10" t="inlineStr">
        <is>
          <t>So 318 duong Hung Vuong, Xa Ia Ly, Tinh Gia Lai, Xã Ia Ly, Gia Lai</t>
        </is>
      </c>
      <c r="H440" s="9" t="inlineStr">
        <is>
          <t>Xã Ia Ly</t>
        </is>
      </c>
      <c r="I440" s="11" t="n">
        <v>14.216444</v>
      </c>
      <c r="J440" s="11" t="n">
        <v>107.846539</v>
      </c>
      <c r="K440" s="9" t="inlineStr">
        <is>
          <t>Đã đối chiếu</t>
        </is>
      </c>
      <c r="L440" s="10" t="n"/>
      <c r="M440" s="12" t="inlineStr">
        <is>
          <t>Bản đồ</t>
        </is>
      </c>
      <c r="N440" s="13" t="n"/>
      <c r="O440" s="14" t="n"/>
      <c r="P440" s="14" t="n"/>
      <c r="Q440" s="13" t="n"/>
      <c r="R440" s="15" t="n"/>
      <c r="S440" s="13" t="n"/>
      <c r="T440" s="13" t="n"/>
      <c r="U440" s="16">
        <f>IF(AND(ISNUMBER(O440),ISNUMBER(P440)),ROUND(SQRT(((P440-J440)*111320*COS(RADIANS(I440)))^2+((O440-I440)*110540)^2),0),"")</f>
        <v/>
      </c>
      <c r="V440" s="17">
        <f>IF(N440="","",IF(N440="Sửa vị trí",IF(OR(O440="",P440=""),"Thiếu vĩ độ / kinh độ mới",IF(OR(O440&lt;12.5,O440&gt;15,P440&lt;107,P440&gt;109.6),"Toạ độ ngoài Gia Lai (đảo vĩ/kinh độ?)",IF(Q440="","Chọn cách xác định",IF(U440&gt;20000,"Dời hơn 20 km – kiểm tra lại","OK")))),IF(AND(N440&lt;&gt;"Sửa vị trí",OR(O440&lt;&gt;"",P440&lt;&gt;"")),"Có toạ độ mới nhưng kết quả không phải Sửa vị trí","OK")))</f>
        <v/>
      </c>
    </row>
    <row r="441">
      <c r="A441" s="9" t="n">
        <v>437</v>
      </c>
      <c r="B441" s="9" t="inlineStr">
        <is>
          <t>cc1d065b-65ca-439b-2145-c54110d795aa</t>
        </is>
      </c>
      <c r="C441" s="9" t="inlineStr">
        <is>
          <t>Thấp</t>
        </is>
      </c>
      <c r="D441" s="10" t="inlineStr">
        <is>
          <t>ATM Lang Tu, Xa Ia Lau, Tinh Gia Lai (Agribank)</t>
        </is>
      </c>
      <c r="E441" s="9" t="inlineStr">
        <is>
          <t>ATM</t>
        </is>
      </c>
      <c r="F441" s="9" t="inlineStr">
        <is>
          <t>Website Agribank</t>
        </is>
      </c>
      <c r="G441" s="10" t="inlineStr">
        <is>
          <t>Lang Tu, Xa Ia Lau, Tinh Gia Lai, Xã Ia Lâu, Gia Lai</t>
        </is>
      </c>
      <c r="H441" s="9" t="inlineStr">
        <is>
          <t>Xã Ia Lâu</t>
        </is>
      </c>
      <c r="I441" s="11" t="n">
        <v>13.500747</v>
      </c>
      <c r="J441" s="11" t="n">
        <v>107.870235</v>
      </c>
      <c r="K441" s="9" t="inlineStr">
        <is>
          <t>Đã đối chiếu</t>
        </is>
      </c>
      <c r="L441" s="10" t="n"/>
      <c r="M441" s="12" t="inlineStr">
        <is>
          <t>Bản đồ</t>
        </is>
      </c>
      <c r="N441" s="13" t="n"/>
      <c r="O441" s="14" t="n"/>
      <c r="P441" s="14" t="n"/>
      <c r="Q441" s="13" t="n"/>
      <c r="R441" s="15" t="n"/>
      <c r="S441" s="13" t="n"/>
      <c r="T441" s="13" t="n"/>
      <c r="U441" s="16">
        <f>IF(AND(ISNUMBER(O441),ISNUMBER(P441)),ROUND(SQRT(((P441-J441)*111320*COS(RADIANS(I441)))^2+((O441-I441)*110540)^2),0),"")</f>
        <v/>
      </c>
      <c r="V441" s="17">
        <f>IF(N441="","",IF(N441="Sửa vị trí",IF(OR(O441="",P441=""),"Thiếu vĩ độ / kinh độ mới",IF(OR(O441&lt;12.5,O441&gt;15,P441&lt;107,P441&gt;109.6),"Toạ độ ngoài Gia Lai (đảo vĩ/kinh độ?)",IF(Q441="","Chọn cách xác định",IF(U441&gt;20000,"Dời hơn 20 km – kiểm tra lại","OK")))),IF(AND(N441&lt;&gt;"Sửa vị trí",OR(O441&lt;&gt;"",P441&lt;&gt;"")),"Có toạ độ mới nhưng kết quả không phải Sửa vị trí","OK")))</f>
        <v/>
      </c>
    </row>
    <row r="442">
      <c r="A442" s="9" t="n">
        <v>438</v>
      </c>
      <c r="B442" s="9" t="inlineStr">
        <is>
          <t>72d76fca-affa-adab-68c9-6dc4baf0f5f6</t>
        </is>
      </c>
      <c r="C442" s="9" t="inlineStr">
        <is>
          <t>Thấp</t>
        </is>
      </c>
      <c r="D442" s="10" t="inlineStr">
        <is>
          <t>ATM Thon Moi, Xa Ia Rsai, Tinh Gia Lai (Agribank)</t>
        </is>
      </c>
      <c r="E442" s="9" t="inlineStr">
        <is>
          <t>ATM</t>
        </is>
      </c>
      <c r="F442" s="9" t="inlineStr">
        <is>
          <t>Website Agribank</t>
        </is>
      </c>
      <c r="G442" s="10" t="inlineStr">
        <is>
          <t>Thon Moi, Xa Ia Rsai, Tinh Gia Lai, Xã Ia Rsai, Gia Lai</t>
        </is>
      </c>
      <c r="H442" s="9" t="inlineStr">
        <is>
          <t>Xã Ia Rsai</t>
        </is>
      </c>
      <c r="I442" s="11" t="n">
        <v>13.369193</v>
      </c>
      <c r="J442" s="11" t="n">
        <v>108.593812</v>
      </c>
      <c r="K442" s="9" t="inlineStr">
        <is>
          <t>Đã đối chiếu</t>
        </is>
      </c>
      <c r="L442" s="10" t="n"/>
      <c r="M442" s="12" t="inlineStr">
        <is>
          <t>Bản đồ</t>
        </is>
      </c>
      <c r="N442" s="13" t="n"/>
      <c r="O442" s="14" t="n"/>
      <c r="P442" s="14" t="n"/>
      <c r="Q442" s="13" t="n"/>
      <c r="R442" s="15" t="n"/>
      <c r="S442" s="13" t="n"/>
      <c r="T442" s="13" t="n"/>
      <c r="U442" s="16">
        <f>IF(AND(ISNUMBER(O442),ISNUMBER(P442)),ROUND(SQRT(((P442-J442)*111320*COS(RADIANS(I442)))^2+((O442-I442)*110540)^2),0),"")</f>
        <v/>
      </c>
      <c r="V442" s="17">
        <f>IF(N442="","",IF(N442="Sửa vị trí",IF(OR(O442="",P442=""),"Thiếu vĩ độ / kinh độ mới",IF(OR(O442&lt;12.5,O442&gt;15,P442&lt;107,P442&gt;109.6),"Toạ độ ngoài Gia Lai (đảo vĩ/kinh độ?)",IF(Q442="","Chọn cách xác định",IF(U442&gt;20000,"Dời hơn 20 km – kiểm tra lại","OK")))),IF(AND(N442&lt;&gt;"Sửa vị trí",OR(O442&lt;&gt;"",P442&lt;&gt;"")),"Có toạ độ mới nhưng kết quả không phải Sửa vị trí","OK")))</f>
        <v/>
      </c>
    </row>
    <row r="443">
      <c r="A443" s="9" t="n">
        <v>439</v>
      </c>
      <c r="B443" s="9" t="inlineStr">
        <is>
          <t>fca15b4c-9645-508b-7a2c-13b285bc7340</t>
        </is>
      </c>
      <c r="C443" s="9" t="inlineStr">
        <is>
          <t>Thấp</t>
        </is>
      </c>
      <c r="D443" s="10" t="inlineStr">
        <is>
          <t>ATM Duong Hung Vuong, Xa Ia Pa, Tinh Gia Lai (Agribank)</t>
        </is>
      </c>
      <c r="E443" s="9" t="inlineStr">
        <is>
          <t>ATM</t>
        </is>
      </c>
      <c r="F443" s="9" t="inlineStr">
        <is>
          <t>Website Agribank</t>
        </is>
      </c>
      <c r="G443" s="10" t="inlineStr">
        <is>
          <t>Duong Hung Vuong, Xa Ia Pa, Tinh Gia Lai, Xã Ia Tul, Gia Lai</t>
        </is>
      </c>
      <c r="H443" s="9" t="inlineStr">
        <is>
          <t>Xã Ia Tul</t>
        </is>
      </c>
      <c r="I443" s="11" t="n">
        <v>13.394771</v>
      </c>
      <c r="J443" s="11" t="n">
        <v>108.46228</v>
      </c>
      <c r="K443" s="9" t="inlineStr">
        <is>
          <t>Đã đối chiếu</t>
        </is>
      </c>
      <c r="L443" s="10" t="n"/>
      <c r="M443" s="12" t="inlineStr">
        <is>
          <t>Bản đồ</t>
        </is>
      </c>
      <c r="N443" s="13" t="n"/>
      <c r="O443" s="14" t="n"/>
      <c r="P443" s="14" t="n"/>
      <c r="Q443" s="13" t="n"/>
      <c r="R443" s="15" t="n"/>
      <c r="S443" s="13" t="n"/>
      <c r="T443" s="13" t="n"/>
      <c r="U443" s="16">
        <f>IF(AND(ISNUMBER(O443),ISNUMBER(P443)),ROUND(SQRT(((P443-J443)*111320*COS(RADIANS(I443)))^2+((O443-I443)*110540)^2),0),"")</f>
        <v/>
      </c>
      <c r="V443" s="17">
        <f>IF(N443="","",IF(N443="Sửa vị trí",IF(OR(O443="",P443=""),"Thiếu vĩ độ / kinh độ mới",IF(OR(O443&lt;12.5,O443&gt;15,P443&lt;107,P443&gt;109.6),"Toạ độ ngoài Gia Lai (đảo vĩ/kinh độ?)",IF(Q443="","Chọn cách xác định",IF(U443&gt;20000,"Dời hơn 20 km – kiểm tra lại","OK")))),IF(AND(N443&lt;&gt;"Sửa vị trí",OR(O443&lt;&gt;"",P443&lt;&gt;"")),"Có toạ độ mới nhưng kết quả không phải Sửa vị trí","OK")))</f>
        <v/>
      </c>
    </row>
    <row r="444">
      <c r="A444" s="9" t="n">
        <v>440</v>
      </c>
      <c r="B444" s="9" t="inlineStr">
        <is>
          <t>50dfdf35-3a2c-7257-aeec-b854ce4461b0</t>
        </is>
      </c>
      <c r="C444" s="9" t="inlineStr">
        <is>
          <t>Thấp</t>
        </is>
      </c>
      <c r="D444" s="10" t="inlineStr">
        <is>
          <t>ATM Duong Hung Vuong, Xa Ia Pa, Tinh Gia Lai (Agribank)</t>
        </is>
      </c>
      <c r="E444" s="9" t="inlineStr">
        <is>
          <t>ATM</t>
        </is>
      </c>
      <c r="F444" s="9" t="inlineStr">
        <is>
          <t>Website Agribank</t>
        </is>
      </c>
      <c r="G444" s="10" t="inlineStr">
        <is>
          <t>Duong Hung Vuong, Xa Ia Pa, Tinh Gia Lai, Xã Ia Tul, Gia Lai</t>
        </is>
      </c>
      <c r="H444" s="9" t="inlineStr">
        <is>
          <t>Xã Ia Tul</t>
        </is>
      </c>
      <c r="I444" s="11" t="n">
        <v>13.394771</v>
      </c>
      <c r="J444" s="11" t="n">
        <v>108.46228</v>
      </c>
      <c r="K444" s="9" t="inlineStr">
        <is>
          <t>Đã đối chiếu</t>
        </is>
      </c>
      <c r="L444" s="10" t="n"/>
      <c r="M444" s="12" t="inlineStr">
        <is>
          <t>Bản đồ</t>
        </is>
      </c>
      <c r="N444" s="13" t="n"/>
      <c r="O444" s="14" t="n"/>
      <c r="P444" s="14" t="n"/>
      <c r="Q444" s="13" t="n"/>
      <c r="R444" s="15" t="n"/>
      <c r="S444" s="13" t="n"/>
      <c r="T444" s="13" t="n"/>
      <c r="U444" s="16">
        <f>IF(AND(ISNUMBER(O444),ISNUMBER(P444)),ROUND(SQRT(((P444-J444)*111320*COS(RADIANS(I444)))^2+((O444-I444)*110540)^2),0),"")</f>
        <v/>
      </c>
      <c r="V444" s="17">
        <f>IF(N444="","",IF(N444="Sửa vị trí",IF(OR(O444="",P444=""),"Thiếu vĩ độ / kinh độ mới",IF(OR(O444&lt;12.5,O444&gt;15,P444&lt;107,P444&gt;109.6),"Toạ độ ngoài Gia Lai (đảo vĩ/kinh độ?)",IF(Q444="","Chọn cách xác định",IF(U444&gt;20000,"Dời hơn 20 km – kiểm tra lại","OK")))),IF(AND(N444&lt;&gt;"Sửa vị trí",OR(O444&lt;&gt;"",P444&lt;&gt;"")),"Có toạ độ mới nhưng kết quả không phải Sửa vị trí","OK")))</f>
        <v/>
      </c>
    </row>
    <row r="445">
      <c r="A445" s="9" t="n">
        <v>441</v>
      </c>
      <c r="B445" s="9" t="inlineStr">
        <is>
          <t>bbd7a275-8ac0-10d0-09c5-a1ef2643d404</t>
        </is>
      </c>
      <c r="C445" s="9" t="inlineStr">
        <is>
          <t>Thấp</t>
        </is>
      </c>
      <c r="D445" s="10" t="inlineStr">
        <is>
          <t>ATM LỮ ĐOÀN 273 (MB)</t>
        </is>
      </c>
      <c r="E445" s="9" t="inlineStr">
        <is>
          <t>ATM</t>
        </is>
      </c>
      <c r="F445" s="9" t="inlineStr">
        <is>
          <t>Trang bản đồ MB</t>
        </is>
      </c>
      <c r="G445" s="10" t="inlineStr">
        <is>
          <t>Thôn Hà Lòng, phường Thống Nhất, tỉnh Gia Lai, Xã KDang, Gia Lai</t>
        </is>
      </c>
      <c r="H445" s="9" t="inlineStr">
        <is>
          <t>Xã KDang</t>
        </is>
      </c>
      <c r="I445" s="11" t="n">
        <v>14.019429</v>
      </c>
      <c r="J445" s="11" t="n">
        <v>108.209907</v>
      </c>
      <c r="K445" s="9" t="inlineStr">
        <is>
          <t>Đã đối chiếu</t>
        </is>
      </c>
      <c r="L445" s="10" t="n"/>
      <c r="M445" s="12" t="inlineStr">
        <is>
          <t>Bản đồ</t>
        </is>
      </c>
      <c r="N445" s="13" t="n"/>
      <c r="O445" s="14" t="n"/>
      <c r="P445" s="14" t="n"/>
      <c r="Q445" s="13" t="n"/>
      <c r="R445" s="15" t="n"/>
      <c r="S445" s="13" t="n"/>
      <c r="T445" s="13" t="n"/>
      <c r="U445" s="16">
        <f>IF(AND(ISNUMBER(O445),ISNUMBER(P445)),ROUND(SQRT(((P445-J445)*111320*COS(RADIANS(I445)))^2+((O445-I445)*110540)^2),0),"")</f>
        <v/>
      </c>
      <c r="V445" s="17">
        <f>IF(N445="","",IF(N445="Sửa vị trí",IF(OR(O445="",P445=""),"Thiếu vĩ độ / kinh độ mới",IF(OR(O445&lt;12.5,O445&gt;15,P445&lt;107,P445&gt;109.6),"Toạ độ ngoài Gia Lai (đảo vĩ/kinh độ?)",IF(Q445="","Chọn cách xác định",IF(U445&gt;20000,"Dời hơn 20 km – kiểm tra lại","OK")))),IF(AND(N445&lt;&gt;"Sửa vị trí",OR(O445&lt;&gt;"",P445&lt;&gt;"")),"Có toạ độ mới nhưng kết quả không phải Sửa vị trí","OK")))</f>
        <v/>
      </c>
    </row>
    <row r="446">
      <c r="A446" s="9" t="n">
        <v>442</v>
      </c>
      <c r="B446" s="9" t="inlineStr">
        <is>
          <t>7b936970-89ba-386b-cdf8-a4bc977484da</t>
        </is>
      </c>
      <c r="C446" s="9" t="inlineStr">
        <is>
          <t>Thấp</t>
        </is>
      </c>
      <c r="D446" s="10" t="inlineStr">
        <is>
          <t>ATM 35 Vo Thi Sau,xa Kbang,tinh Gia Lai (Agribank)</t>
        </is>
      </c>
      <c r="E446" s="9" t="inlineStr">
        <is>
          <t>ATM</t>
        </is>
      </c>
      <c r="F446" s="9" t="inlineStr">
        <is>
          <t>Website Agribank</t>
        </is>
      </c>
      <c r="G446" s="10" t="inlineStr">
        <is>
          <t>35 Vo Thi Sau,xa Kbang,tinh Gia Lai, Xã Kbang, Gia Lai</t>
        </is>
      </c>
      <c r="H446" s="9" t="inlineStr">
        <is>
          <t>Xã Kbang</t>
        </is>
      </c>
      <c r="I446" s="11" t="n">
        <v>14.14447</v>
      </c>
      <c r="J446" s="11" t="n">
        <v>108.603773</v>
      </c>
      <c r="K446" s="9" t="inlineStr">
        <is>
          <t>Đã đối chiếu</t>
        </is>
      </c>
      <c r="L446" s="10" t="n"/>
      <c r="M446" s="12" t="inlineStr">
        <is>
          <t>Bản đồ</t>
        </is>
      </c>
      <c r="N446" s="13" t="n"/>
      <c r="O446" s="14" t="n"/>
      <c r="P446" s="14" t="n"/>
      <c r="Q446" s="13" t="n"/>
      <c r="R446" s="15" t="n"/>
      <c r="S446" s="13" t="n"/>
      <c r="T446" s="13" t="n"/>
      <c r="U446" s="16">
        <f>IF(AND(ISNUMBER(O446),ISNUMBER(P446)),ROUND(SQRT(((P446-J446)*111320*COS(RADIANS(I446)))^2+((O446-I446)*110540)^2),0),"")</f>
        <v/>
      </c>
      <c r="V446" s="17">
        <f>IF(N446="","",IF(N446="Sửa vị trí",IF(OR(O446="",P446=""),"Thiếu vĩ độ / kinh độ mới",IF(OR(O446&lt;12.5,O446&gt;15,P446&lt;107,P446&gt;109.6),"Toạ độ ngoài Gia Lai (đảo vĩ/kinh độ?)",IF(Q446="","Chọn cách xác định",IF(U446&gt;20000,"Dời hơn 20 km – kiểm tra lại","OK")))),IF(AND(N446&lt;&gt;"Sửa vị trí",OR(O446&lt;&gt;"",P446&lt;&gt;"")),"Có toạ độ mới nhưng kết quả không phải Sửa vị trí","OK")))</f>
        <v/>
      </c>
    </row>
    <row r="447">
      <c r="A447" s="9" t="n">
        <v>443</v>
      </c>
      <c r="B447" s="9" t="inlineStr">
        <is>
          <t>79215ca4-c05c-fcee-bfd2-c3700cfc1fea</t>
        </is>
      </c>
      <c r="C447" s="9" t="inlineStr">
        <is>
          <t>Thấp</t>
        </is>
      </c>
      <c r="D447" s="10" t="inlineStr">
        <is>
          <t>ATM 35 Vo Thi Sau,xa Kbang,tinh Gia Lai (Agribank)</t>
        </is>
      </c>
      <c r="E447" s="9" t="inlineStr">
        <is>
          <t>ATM</t>
        </is>
      </c>
      <c r="F447" s="9" t="inlineStr">
        <is>
          <t>Website Agribank</t>
        </is>
      </c>
      <c r="G447" s="10" t="inlineStr">
        <is>
          <t>35 Vo Thi Sau,xa Kbang,tinh Gia Lai, Xã Kbang, Gia Lai</t>
        </is>
      </c>
      <c r="H447" s="9" t="inlineStr">
        <is>
          <t>Xã Kbang</t>
        </is>
      </c>
      <c r="I447" s="11" t="n">
        <v>14.14447</v>
      </c>
      <c r="J447" s="11" t="n">
        <v>108.603773</v>
      </c>
      <c r="K447" s="9" t="inlineStr">
        <is>
          <t>Đã đối chiếu</t>
        </is>
      </c>
      <c r="L447" s="10" t="n"/>
      <c r="M447" s="12" t="inlineStr">
        <is>
          <t>Bản đồ</t>
        </is>
      </c>
      <c r="N447" s="13" t="n"/>
      <c r="O447" s="14" t="n"/>
      <c r="P447" s="14" t="n"/>
      <c r="Q447" s="13" t="n"/>
      <c r="R447" s="15" t="n"/>
      <c r="S447" s="13" t="n"/>
      <c r="T447" s="13" t="n"/>
      <c r="U447" s="16">
        <f>IF(AND(ISNUMBER(O447),ISNUMBER(P447)),ROUND(SQRT(((P447-J447)*111320*COS(RADIANS(I447)))^2+((O447-I447)*110540)^2),0),"")</f>
        <v/>
      </c>
      <c r="V447" s="17">
        <f>IF(N447="","",IF(N447="Sửa vị trí",IF(OR(O447="",P447=""),"Thiếu vĩ độ / kinh độ mới",IF(OR(O447&lt;12.5,O447&gt;15,P447&lt;107,P447&gt;109.6),"Toạ độ ngoài Gia Lai (đảo vĩ/kinh độ?)",IF(Q447="","Chọn cách xác định",IF(U447&gt;20000,"Dời hơn 20 km – kiểm tra lại","OK")))),IF(AND(N447&lt;&gt;"Sửa vị trí",OR(O447&lt;&gt;"",P447&lt;&gt;"")),"Có toạ độ mới nhưng kết quả không phải Sửa vị trí","OK")))</f>
        <v/>
      </c>
    </row>
    <row r="448">
      <c r="A448" s="9" t="n">
        <v>444</v>
      </c>
      <c r="B448" s="9" t="inlineStr">
        <is>
          <t>5ae489bc-7c7a-be75-e9da-f7543314f8f0</t>
        </is>
      </c>
      <c r="C448" s="9" t="inlineStr">
        <is>
          <t>Thấp</t>
        </is>
      </c>
      <c r="D448" s="10" t="inlineStr">
        <is>
          <t>ATM 35 Vo Thi Sau,xa Kbang,tinh Gia Lai (Agribank)</t>
        </is>
      </c>
      <c r="E448" s="9" t="inlineStr">
        <is>
          <t>ATM</t>
        </is>
      </c>
      <c r="F448" s="9" t="inlineStr">
        <is>
          <t>Website Agribank</t>
        </is>
      </c>
      <c r="G448" s="10" t="inlineStr">
        <is>
          <t>35 Vo Thi Sau,xa Kbang,tinh Gia Lai, Xã Kbang, Gia Lai</t>
        </is>
      </c>
      <c r="H448" s="9" t="inlineStr">
        <is>
          <t>Xã Kbang</t>
        </is>
      </c>
      <c r="I448" s="11" t="n">
        <v>14.14447</v>
      </c>
      <c r="J448" s="11" t="n">
        <v>108.603773</v>
      </c>
      <c r="K448" s="9" t="inlineStr">
        <is>
          <t>Đã đối chiếu</t>
        </is>
      </c>
      <c r="L448" s="10" t="n"/>
      <c r="M448" s="12" t="inlineStr">
        <is>
          <t>Bản đồ</t>
        </is>
      </c>
      <c r="N448" s="13" t="n"/>
      <c r="O448" s="14" t="n"/>
      <c r="P448" s="14" t="n"/>
      <c r="Q448" s="13" t="n"/>
      <c r="R448" s="15" t="n"/>
      <c r="S448" s="13" t="n"/>
      <c r="T448" s="13" t="n"/>
      <c r="U448" s="16">
        <f>IF(AND(ISNUMBER(O448),ISNUMBER(P448)),ROUND(SQRT(((P448-J448)*111320*COS(RADIANS(I448)))^2+((O448-I448)*110540)^2),0),"")</f>
        <v/>
      </c>
      <c r="V448" s="17">
        <f>IF(N448="","",IF(N448="Sửa vị trí",IF(OR(O448="",P448=""),"Thiếu vĩ độ / kinh độ mới",IF(OR(O448&lt;12.5,O448&gt;15,P448&lt;107,P448&gt;109.6),"Toạ độ ngoài Gia Lai (đảo vĩ/kinh độ?)",IF(Q448="","Chọn cách xác định",IF(U448&gt;20000,"Dời hơn 20 km – kiểm tra lại","OK")))),IF(AND(N448&lt;&gt;"Sửa vị trí",OR(O448&lt;&gt;"",P448&lt;&gt;"")),"Có toạ độ mới nhưng kết quả không phải Sửa vị trí","OK")))</f>
        <v/>
      </c>
    </row>
    <row r="449">
      <c r="A449" s="9" t="n">
        <v>445</v>
      </c>
      <c r="B449" s="9" t="inlineStr">
        <is>
          <t>0b76cdff-a1a1-975f-4778-f3d45b2ba5d7</t>
        </is>
      </c>
      <c r="C449" s="9" t="inlineStr">
        <is>
          <t>Thấp</t>
        </is>
      </c>
      <c r="D449" s="10" t="inlineStr">
        <is>
          <t>ATM 239 Nguyen Hue, Xa Kong Chro, Tinh Gia Lai (Agribank)</t>
        </is>
      </c>
      <c r="E449" s="9" t="inlineStr">
        <is>
          <t>ATM</t>
        </is>
      </c>
      <c r="F449" s="9" t="inlineStr">
        <is>
          <t>Website Agribank</t>
        </is>
      </c>
      <c r="G449" s="10" t="inlineStr">
        <is>
          <t>239 Nguyen Hue, Xa Kong Chro, Tinh Gia Lai, Xã Kông Chro, Gia Lai</t>
        </is>
      </c>
      <c r="H449" s="9" t="inlineStr">
        <is>
          <t>Xã Kông Chro</t>
        </is>
      </c>
      <c r="I449" s="11" t="n">
        <v>13.777129</v>
      </c>
      <c r="J449" s="11" t="n">
        <v>108.527252</v>
      </c>
      <c r="K449" s="9" t="inlineStr">
        <is>
          <t>Đã đối chiếu</t>
        </is>
      </c>
      <c r="L449" s="10" t="n"/>
      <c r="M449" s="12" t="inlineStr">
        <is>
          <t>Bản đồ</t>
        </is>
      </c>
      <c r="N449" s="13" t="n"/>
      <c r="O449" s="14" t="n"/>
      <c r="P449" s="14" t="n"/>
      <c r="Q449" s="13" t="n"/>
      <c r="R449" s="15" t="n"/>
      <c r="S449" s="13" t="n"/>
      <c r="T449" s="13" t="n"/>
      <c r="U449" s="16">
        <f>IF(AND(ISNUMBER(O449),ISNUMBER(P449)),ROUND(SQRT(((P449-J449)*111320*COS(RADIANS(I449)))^2+((O449-I449)*110540)^2),0),"")</f>
        <v/>
      </c>
      <c r="V449" s="17">
        <f>IF(N449="","",IF(N449="Sửa vị trí",IF(OR(O449="",P449=""),"Thiếu vĩ độ / kinh độ mới",IF(OR(O449&lt;12.5,O449&gt;15,P449&lt;107,P449&gt;109.6),"Toạ độ ngoài Gia Lai (đảo vĩ/kinh độ?)",IF(Q449="","Chọn cách xác định",IF(U449&gt;20000,"Dời hơn 20 km – kiểm tra lại","OK")))),IF(AND(N449&lt;&gt;"Sửa vị trí",OR(O449&lt;&gt;"",P449&lt;&gt;"")),"Có toạ độ mới nhưng kết quả không phải Sửa vị trí","OK")))</f>
        <v/>
      </c>
    </row>
    <row r="450">
      <c r="A450" s="9" t="n">
        <v>446</v>
      </c>
      <c r="B450" s="9" t="inlineStr">
        <is>
          <t>ec766414-337b-6cb8-c967-6acf51f5b8b5</t>
        </is>
      </c>
      <c r="C450" s="9" t="inlineStr">
        <is>
          <t>Thấp</t>
        </is>
      </c>
      <c r="D450" s="10" t="inlineStr">
        <is>
          <t>ATM 239 Nguyen Hue, Xa Kong Chro, Tinh Gia Lai (Agribank)</t>
        </is>
      </c>
      <c r="E450" s="9" t="inlineStr">
        <is>
          <t>ATM</t>
        </is>
      </c>
      <c r="F450" s="9" t="inlineStr">
        <is>
          <t>Website Agribank</t>
        </is>
      </c>
      <c r="G450" s="10" t="inlineStr">
        <is>
          <t>239 Nguyen Hue, Xa Kong Chro, Tinh Gia Lai, Xã Kông Chro, Gia Lai</t>
        </is>
      </c>
      <c r="H450" s="9" t="inlineStr">
        <is>
          <t>Xã Kông Chro</t>
        </is>
      </c>
      <c r="I450" s="11" t="n">
        <v>13.777129</v>
      </c>
      <c r="J450" s="11" t="n">
        <v>108.527252</v>
      </c>
      <c r="K450" s="9" t="inlineStr">
        <is>
          <t>Đã đối chiếu</t>
        </is>
      </c>
      <c r="L450" s="10" t="n"/>
      <c r="M450" s="12" t="inlineStr">
        <is>
          <t>Bản đồ</t>
        </is>
      </c>
      <c r="N450" s="13" t="n"/>
      <c r="O450" s="14" t="n"/>
      <c r="P450" s="14" t="n"/>
      <c r="Q450" s="13" t="n"/>
      <c r="R450" s="15" t="n"/>
      <c r="S450" s="13" t="n"/>
      <c r="T450" s="13" t="n"/>
      <c r="U450" s="16">
        <f>IF(AND(ISNUMBER(O450),ISNUMBER(P450)),ROUND(SQRT(((P450-J450)*111320*COS(RADIANS(I450)))^2+((O450-I450)*110540)^2),0),"")</f>
        <v/>
      </c>
      <c r="V450" s="17">
        <f>IF(N450="","",IF(N450="Sửa vị trí",IF(OR(O450="",P450=""),"Thiếu vĩ độ / kinh độ mới",IF(OR(O450&lt;12.5,O450&gt;15,P450&lt;107,P450&gt;109.6),"Toạ độ ngoài Gia Lai (đảo vĩ/kinh độ?)",IF(Q450="","Chọn cách xác định",IF(U450&gt;20000,"Dời hơn 20 km – kiểm tra lại","OK")))),IF(AND(N450&lt;&gt;"Sửa vị trí",OR(O450&lt;&gt;"",P450&lt;&gt;"")),"Có toạ độ mới nhưng kết quả không phải Sửa vị trí","OK")))</f>
        <v/>
      </c>
    </row>
    <row r="451">
      <c r="A451" s="9" t="n">
        <v>447</v>
      </c>
      <c r="B451" s="9" t="inlineStr">
        <is>
          <t>a3972327-05f1-6dec-df1f-1fe33dee84bc</t>
        </is>
      </c>
      <c r="C451" s="9" t="inlineStr">
        <is>
          <t>Thấp</t>
        </is>
      </c>
      <c r="D451" s="10" t="inlineStr">
        <is>
          <t>ATM 239 Nguyen Hue, Xa Kong Chro, Tinh Gia Lai (Agribank)</t>
        </is>
      </c>
      <c r="E451" s="9" t="inlineStr">
        <is>
          <t>ATM</t>
        </is>
      </c>
      <c r="F451" s="9" t="inlineStr">
        <is>
          <t>Website Agribank</t>
        </is>
      </c>
      <c r="G451" s="10" t="inlineStr">
        <is>
          <t>239 Nguyen Hue, Xa Kong Chro, Tinh Gia Lai, Xã Kông Chro, Gia Lai</t>
        </is>
      </c>
      <c r="H451" s="9" t="inlineStr">
        <is>
          <t>Xã Kông Chro</t>
        </is>
      </c>
      <c r="I451" s="11" t="n">
        <v>13.777129</v>
      </c>
      <c r="J451" s="11" t="n">
        <v>108.527252</v>
      </c>
      <c r="K451" s="9" t="inlineStr">
        <is>
          <t>Đã đối chiếu</t>
        </is>
      </c>
      <c r="L451" s="10" t="n"/>
      <c r="M451" s="12" t="inlineStr">
        <is>
          <t>Bản đồ</t>
        </is>
      </c>
      <c r="N451" s="13" t="n"/>
      <c r="O451" s="14" t="n"/>
      <c r="P451" s="14" t="n"/>
      <c r="Q451" s="13" t="n"/>
      <c r="R451" s="15" t="n"/>
      <c r="S451" s="13" t="n"/>
      <c r="T451" s="13" t="n"/>
      <c r="U451" s="16">
        <f>IF(AND(ISNUMBER(O451),ISNUMBER(P451)),ROUND(SQRT(((P451-J451)*111320*COS(RADIANS(I451)))^2+((O451-I451)*110540)^2),0),"")</f>
        <v/>
      </c>
      <c r="V451" s="17">
        <f>IF(N451="","",IF(N451="Sửa vị trí",IF(OR(O451="",P451=""),"Thiếu vĩ độ / kinh độ mới",IF(OR(O451&lt;12.5,O451&gt;15,P451&lt;107,P451&gt;109.6),"Toạ độ ngoài Gia Lai (đảo vĩ/kinh độ?)",IF(Q451="","Chọn cách xác định",IF(U451&gt;20000,"Dời hơn 20 km – kiểm tra lại","OK")))),IF(AND(N451&lt;&gt;"Sửa vị trí",OR(O451&lt;&gt;"",P451&lt;&gt;"")),"Có toạ độ mới nhưng kết quả không phải Sửa vị trí","OK")))</f>
        <v/>
      </c>
    </row>
    <row r="452">
      <c r="A452" s="9" t="n">
        <v>448</v>
      </c>
      <c r="B452" s="9" t="inlineStr">
        <is>
          <t>1bf42f14-52d6-ad3b-133d-e8a03da64046</t>
        </is>
      </c>
      <c r="C452" s="9" t="inlineStr">
        <is>
          <t>Thấp</t>
        </is>
      </c>
      <c r="D452" s="10" t="inlineStr">
        <is>
          <t>ATM 279 Tran Hung Dao, Xa Mang Yang, Tinh Gia Lai (Agribank)</t>
        </is>
      </c>
      <c r="E452" s="9" t="inlineStr">
        <is>
          <t>ATM</t>
        </is>
      </c>
      <c r="F452" s="9" t="inlineStr">
        <is>
          <t>Website Agribank</t>
        </is>
      </c>
      <c r="G452" s="10" t="inlineStr">
        <is>
          <t>279 Tran Hung Dao, Xa Mang Yang, Tinh Gia Lai, Xã Mang Yang, Gia Lai</t>
        </is>
      </c>
      <c r="H452" s="9" t="inlineStr">
        <is>
          <t>Xã Mang Yang</t>
        </is>
      </c>
      <c r="I452" s="11" t="n">
        <v>14.040767</v>
      </c>
      <c r="J452" s="11" t="n">
        <v>108.252687</v>
      </c>
      <c r="K452" s="9" t="inlineStr">
        <is>
          <t>Đã đối chiếu</t>
        </is>
      </c>
      <c r="L452" s="10" t="n"/>
      <c r="M452" s="12" t="inlineStr">
        <is>
          <t>Bản đồ</t>
        </is>
      </c>
      <c r="N452" s="13" t="n"/>
      <c r="O452" s="14" t="n"/>
      <c r="P452" s="14" t="n"/>
      <c r="Q452" s="13" t="n"/>
      <c r="R452" s="15" t="n"/>
      <c r="S452" s="13" t="n"/>
      <c r="T452" s="13" t="n"/>
      <c r="U452" s="16">
        <f>IF(AND(ISNUMBER(O452),ISNUMBER(P452)),ROUND(SQRT(((P452-J452)*111320*COS(RADIANS(I452)))^2+((O452-I452)*110540)^2),0),"")</f>
        <v/>
      </c>
      <c r="V452" s="17">
        <f>IF(N452="","",IF(N452="Sửa vị trí",IF(OR(O452="",P452=""),"Thiếu vĩ độ / kinh độ mới",IF(OR(O452&lt;12.5,O452&gt;15,P452&lt;107,P452&gt;109.6),"Toạ độ ngoài Gia Lai (đảo vĩ/kinh độ?)",IF(Q452="","Chọn cách xác định",IF(U452&gt;20000,"Dời hơn 20 km – kiểm tra lại","OK")))),IF(AND(N452&lt;&gt;"Sửa vị trí",OR(O452&lt;&gt;"",P452&lt;&gt;"")),"Có toạ độ mới nhưng kết quả không phải Sửa vị trí","OK")))</f>
        <v/>
      </c>
    </row>
    <row r="453">
      <c r="A453" s="9" t="n">
        <v>449</v>
      </c>
      <c r="B453" s="9" t="inlineStr">
        <is>
          <t>3099f37f-c0f1-11b3-3be5-99acc3f2a69d</t>
        </is>
      </c>
      <c r="C453" s="9" t="inlineStr">
        <is>
          <t>Thấp</t>
        </is>
      </c>
      <c r="D453" s="10" t="inlineStr">
        <is>
          <t>ATM 279 Tran Hung Dao, Xa Mang Yang, Tinh Gia Lai (Agribank)</t>
        </is>
      </c>
      <c r="E453" s="9" t="inlineStr">
        <is>
          <t>ATM</t>
        </is>
      </c>
      <c r="F453" s="9" t="inlineStr">
        <is>
          <t>Website Agribank</t>
        </is>
      </c>
      <c r="G453" s="10" t="inlineStr">
        <is>
          <t>279 Tran Hung Dao, Xa Mang Yang, Tinh Gia Lai, Xã Mang Yang, Gia Lai</t>
        </is>
      </c>
      <c r="H453" s="9" t="inlineStr">
        <is>
          <t>Xã Mang Yang</t>
        </is>
      </c>
      <c r="I453" s="11" t="n">
        <v>14.040767</v>
      </c>
      <c r="J453" s="11" t="n">
        <v>108.252687</v>
      </c>
      <c r="K453" s="9" t="inlineStr">
        <is>
          <t>Đã đối chiếu</t>
        </is>
      </c>
      <c r="L453" s="10" t="n"/>
      <c r="M453" s="12" t="inlineStr">
        <is>
          <t>Bản đồ</t>
        </is>
      </c>
      <c r="N453" s="13" t="n"/>
      <c r="O453" s="14" t="n"/>
      <c r="P453" s="14" t="n"/>
      <c r="Q453" s="13" t="n"/>
      <c r="R453" s="15" t="n"/>
      <c r="S453" s="13" t="n"/>
      <c r="T453" s="13" t="n"/>
      <c r="U453" s="16">
        <f>IF(AND(ISNUMBER(O453),ISNUMBER(P453)),ROUND(SQRT(((P453-J453)*111320*COS(RADIANS(I453)))^2+((O453-I453)*110540)^2),0),"")</f>
        <v/>
      </c>
      <c r="V453" s="17">
        <f>IF(N453="","",IF(N453="Sửa vị trí",IF(OR(O453="",P453=""),"Thiếu vĩ độ / kinh độ mới",IF(OR(O453&lt;12.5,O453&gt;15,P453&lt;107,P453&gt;109.6),"Toạ độ ngoài Gia Lai (đảo vĩ/kinh độ?)",IF(Q453="","Chọn cách xác định",IF(U453&gt;20000,"Dời hơn 20 km – kiểm tra lại","OK")))),IF(AND(N453&lt;&gt;"Sửa vị trí",OR(O453&lt;&gt;"",P453&lt;&gt;"")),"Có toạ độ mới nhưng kết quả không phải Sửa vị trí","OK")))</f>
        <v/>
      </c>
    </row>
    <row r="454">
      <c r="A454" s="9" t="n">
        <v>450</v>
      </c>
      <c r="B454" s="9" t="inlineStr">
        <is>
          <t>b62899d5-7e7a-2957-52be-87c8123b59b4</t>
        </is>
      </c>
      <c r="C454" s="9" t="inlineStr">
        <is>
          <t>Thấp</t>
        </is>
      </c>
      <c r="D454" s="10" t="inlineStr">
        <is>
          <t>ATM 279 Tran Hung Dao, Xa Mang Yang, Tinh Gia Lai (Agribank)</t>
        </is>
      </c>
      <c r="E454" s="9" t="inlineStr">
        <is>
          <t>ATM</t>
        </is>
      </c>
      <c r="F454" s="9" t="inlineStr">
        <is>
          <t>Website Agribank</t>
        </is>
      </c>
      <c r="G454" s="10" t="inlineStr">
        <is>
          <t>279 Tran Hung Dao, Xa Mang Yang, Tinh Gia Lai, Xã Mang Yang, Gia Lai</t>
        </is>
      </c>
      <c r="H454" s="9" t="inlineStr">
        <is>
          <t>Xã Mang Yang</t>
        </is>
      </c>
      <c r="I454" s="11" t="n">
        <v>14.040767</v>
      </c>
      <c r="J454" s="11" t="n">
        <v>108.252687</v>
      </c>
      <c r="K454" s="9" t="inlineStr">
        <is>
          <t>Đã đối chiếu</t>
        </is>
      </c>
      <c r="L454" s="10" t="n"/>
      <c r="M454" s="12" t="inlineStr">
        <is>
          <t>Bản đồ</t>
        </is>
      </c>
      <c r="N454" s="13" t="n"/>
      <c r="O454" s="14" t="n"/>
      <c r="P454" s="14" t="n"/>
      <c r="Q454" s="13" t="n"/>
      <c r="R454" s="15" t="n"/>
      <c r="S454" s="13" t="n"/>
      <c r="T454" s="13" t="n"/>
      <c r="U454" s="16">
        <f>IF(AND(ISNUMBER(O454),ISNUMBER(P454)),ROUND(SQRT(((P454-J454)*111320*COS(RADIANS(I454)))^2+((O454-I454)*110540)^2),0),"")</f>
        <v/>
      </c>
      <c r="V454" s="17">
        <f>IF(N454="","",IF(N454="Sửa vị trí",IF(OR(O454="",P454=""),"Thiếu vĩ độ / kinh độ mới",IF(OR(O454&lt;12.5,O454&gt;15,P454&lt;107,P454&gt;109.6),"Toạ độ ngoài Gia Lai (đảo vĩ/kinh độ?)",IF(Q454="","Chọn cách xác định",IF(U454&gt;20000,"Dời hơn 20 km – kiểm tra lại","OK")))),IF(AND(N454&lt;&gt;"Sửa vị trí",OR(O454&lt;&gt;"",P454&lt;&gt;"")),"Có toạ độ mới nhưng kết quả không phải Sửa vị trí","OK")))</f>
        <v/>
      </c>
    </row>
    <row r="455">
      <c r="A455" s="9" t="n">
        <v>451</v>
      </c>
      <c r="B455" s="9" t="inlineStr">
        <is>
          <t>dea7bb93-7cf2-84eb-f118-93ffc08b8f44</t>
        </is>
      </c>
      <c r="C455" s="9" t="inlineStr">
        <is>
          <t>Thấp</t>
        </is>
      </c>
      <c r="D455" s="10" t="inlineStr">
        <is>
          <t>ATM Trung Đoàn Phòng Không Không Quân 925 (MB)</t>
        </is>
      </c>
      <c r="E455" s="9" t="inlineStr">
        <is>
          <t>ATM</t>
        </is>
      </c>
      <c r="F455" s="9" t="inlineStr">
        <is>
          <t>Trang bản đồ MB</t>
        </is>
      </c>
      <c r="G455" s="10" t="inlineStr">
        <is>
          <t>Đường Võ Văn Kiệt, xã Phù Cát, tỉnh Gia Lai., Xã Phù Cát, Gia Lai</t>
        </is>
      </c>
      <c r="H455" s="9" t="inlineStr">
        <is>
          <t>Xã Phù Cát</t>
        </is>
      </c>
      <c r="I455" s="11" t="n">
        <v>13.947007</v>
      </c>
      <c r="J455" s="11" t="n">
        <v>109.060297</v>
      </c>
      <c r="K455" s="9" t="inlineStr">
        <is>
          <t>Đã đối chiếu</t>
        </is>
      </c>
      <c r="L455" s="10" t="n"/>
      <c r="M455" s="12" t="inlineStr">
        <is>
          <t>Bản đồ</t>
        </is>
      </c>
      <c r="N455" s="13" t="n"/>
      <c r="O455" s="14" t="n"/>
      <c r="P455" s="14" t="n"/>
      <c r="Q455" s="13" t="n"/>
      <c r="R455" s="15" t="n"/>
      <c r="S455" s="13" t="n"/>
      <c r="T455" s="13" t="n"/>
      <c r="U455" s="16">
        <f>IF(AND(ISNUMBER(O455),ISNUMBER(P455)),ROUND(SQRT(((P455-J455)*111320*COS(RADIANS(I455)))^2+((O455-I455)*110540)^2),0),"")</f>
        <v/>
      </c>
      <c r="V455" s="17">
        <f>IF(N455="","",IF(N455="Sửa vị trí",IF(OR(O455="",P455=""),"Thiếu vĩ độ / kinh độ mới",IF(OR(O455&lt;12.5,O455&gt;15,P455&lt;107,P455&gt;109.6),"Toạ độ ngoài Gia Lai (đảo vĩ/kinh độ?)",IF(Q455="","Chọn cách xác định",IF(U455&gt;20000,"Dời hơn 20 km – kiểm tra lại","OK")))),IF(AND(N455&lt;&gt;"Sửa vị trí",OR(O455&lt;&gt;"",P455&lt;&gt;"")),"Có toạ độ mới nhưng kết quả không phải Sửa vị trí","OK")))</f>
        <v/>
      </c>
    </row>
    <row r="456">
      <c r="A456" s="9" t="n">
        <v>452</v>
      </c>
      <c r="B456" s="9" t="inlineStr">
        <is>
          <t>339a5498-aa08-b2fe-b0ca-2c0e41decef0</t>
        </is>
      </c>
      <c r="C456" s="9" t="inlineStr">
        <is>
          <t>Thấp</t>
        </is>
      </c>
      <c r="D456" s="10" t="inlineStr">
        <is>
          <t>ATM Vietcombank – CTY TNHH DELTA GALIL VN</t>
        </is>
      </c>
      <c r="E456" s="9" t="inlineStr">
        <is>
          <t>ATM</t>
        </is>
      </c>
      <c r="F456" s="9" t="inlineStr">
        <is>
          <t>Website Vietcombank</t>
        </is>
      </c>
      <c r="G456" s="10" t="inlineStr">
        <is>
          <t>THÔN PHÚ KIM,XÃ PHÙ CÁT,TỈNH GIA LAI, Xã Phù Cát, Gia Lai</t>
        </is>
      </c>
      <c r="H456" s="9" t="inlineStr">
        <is>
          <t>Xã Phù Cát</t>
        </is>
      </c>
      <c r="I456" s="11" t="n">
        <v>14.012321</v>
      </c>
      <c r="J456" s="11" t="n">
        <v>109.073505</v>
      </c>
      <c r="K456" s="9" t="inlineStr">
        <is>
          <t>Đã đối chiếu</t>
        </is>
      </c>
      <c r="L456" s="10" t="n"/>
      <c r="M456" s="12" t="inlineStr">
        <is>
          <t>Bản đồ</t>
        </is>
      </c>
      <c r="N456" s="13" t="n"/>
      <c r="O456" s="14" t="n"/>
      <c r="P456" s="14" t="n"/>
      <c r="Q456" s="13" t="n"/>
      <c r="R456" s="15" t="n"/>
      <c r="S456" s="13" t="n"/>
      <c r="T456" s="13" t="n"/>
      <c r="U456" s="16">
        <f>IF(AND(ISNUMBER(O456),ISNUMBER(P456)),ROUND(SQRT(((P456-J456)*111320*COS(RADIANS(I456)))^2+((O456-I456)*110540)^2),0),"")</f>
        <v/>
      </c>
      <c r="V456" s="17">
        <f>IF(N456="","",IF(N456="Sửa vị trí",IF(OR(O456="",P456=""),"Thiếu vĩ độ / kinh độ mới",IF(OR(O456&lt;12.5,O456&gt;15,P456&lt;107,P456&gt;109.6),"Toạ độ ngoài Gia Lai (đảo vĩ/kinh độ?)",IF(Q456="","Chọn cách xác định",IF(U456&gt;20000,"Dời hơn 20 km – kiểm tra lại","OK")))),IF(AND(N456&lt;&gt;"Sửa vị trí",OR(O456&lt;&gt;"",P456&lt;&gt;"")),"Có toạ độ mới nhưng kết quả không phải Sửa vị trí","OK")))</f>
        <v/>
      </c>
    </row>
    <row r="457">
      <c r="A457" s="9" t="n">
        <v>453</v>
      </c>
      <c r="B457" s="9" t="inlineStr">
        <is>
          <t>c2428e28-a9ca-bc0a-79f7-530e44b58756</t>
        </is>
      </c>
      <c r="C457" s="9" t="inlineStr">
        <is>
          <t>Thấp</t>
        </is>
      </c>
      <c r="D457" s="10" t="inlineStr">
        <is>
          <t>ATM Vietcombank – PGD PHÙ CÁT</t>
        </is>
      </c>
      <c r="E457" s="9" t="inlineStr">
        <is>
          <t>ATM</t>
        </is>
      </c>
      <c r="F457" s="9" t="inlineStr">
        <is>
          <t>Website Vietcombank</t>
        </is>
      </c>
      <c r="G457" s="10" t="inlineStr">
        <is>
          <t>85-87 ĐƯỜNG 3/2,XÃ PHÙ CÁT,TỈNH GIA LAI, Xã Phù Cát, Gia Lai</t>
        </is>
      </c>
      <c r="H457" s="9" t="inlineStr">
        <is>
          <t>Xã Phù Cát</t>
        </is>
      </c>
      <c r="I457" s="11" t="n">
        <v>13.997684</v>
      </c>
      <c r="J457" s="11" t="n">
        <v>109.059168</v>
      </c>
      <c r="K457" s="9" t="inlineStr">
        <is>
          <t>Đã đối chiếu</t>
        </is>
      </c>
      <c r="L457" s="10" t="n"/>
      <c r="M457" s="12" t="inlineStr">
        <is>
          <t>Bản đồ</t>
        </is>
      </c>
      <c r="N457" s="13" t="n"/>
      <c r="O457" s="14" t="n"/>
      <c r="P457" s="14" t="n"/>
      <c r="Q457" s="13" t="n"/>
      <c r="R457" s="15" t="n"/>
      <c r="S457" s="13" t="n"/>
      <c r="T457" s="13" t="n"/>
      <c r="U457" s="16">
        <f>IF(AND(ISNUMBER(O457),ISNUMBER(P457)),ROUND(SQRT(((P457-J457)*111320*COS(RADIANS(I457)))^2+((O457-I457)*110540)^2),0),"")</f>
        <v/>
      </c>
      <c r="V457" s="17">
        <f>IF(N457="","",IF(N457="Sửa vị trí",IF(OR(O457="",P457=""),"Thiếu vĩ độ / kinh độ mới",IF(OR(O457&lt;12.5,O457&gt;15,P457&lt;107,P457&gt;109.6),"Toạ độ ngoài Gia Lai (đảo vĩ/kinh độ?)",IF(Q457="","Chọn cách xác định",IF(U457&gt;20000,"Dời hơn 20 km – kiểm tra lại","OK")))),IF(AND(N457&lt;&gt;"Sửa vị trí",OR(O457&lt;&gt;"",P457&lt;&gt;"")),"Có toạ độ mới nhưng kết quả không phải Sửa vị trí","OK")))</f>
        <v/>
      </c>
    </row>
    <row r="458">
      <c r="A458" s="9" t="n">
        <v>454</v>
      </c>
      <c r="B458" s="9" t="inlineStr">
        <is>
          <t>48f0653d-9bbf-8cdd-b45f-7834d46578bc</t>
        </is>
      </c>
      <c r="C458" s="9" t="inlineStr">
        <is>
          <t>Thấp</t>
        </is>
      </c>
      <c r="D458" s="10" t="inlineStr">
        <is>
          <t>Smartbank Phù Cát (MB)</t>
        </is>
      </c>
      <c r="E458" s="9" t="inlineStr">
        <is>
          <t>ATM</t>
        </is>
      </c>
      <c r="F458" s="9" t="inlineStr">
        <is>
          <t>Trang bản đồ MB</t>
        </is>
      </c>
      <c r="G458" s="10" t="inlineStr">
        <is>
          <t>Số 355 đường Quang Trung, xã Phù Cát, tỉnh Gia Lai., Xã Phù Cát, Gia Lai</t>
        </is>
      </c>
      <c r="H458" s="9" t="inlineStr">
        <is>
          <t>Xã Phù Cát</t>
        </is>
      </c>
      <c r="I458" s="11" t="n">
        <v>13.993437</v>
      </c>
      <c r="J458" s="11" t="n">
        <v>109.058678</v>
      </c>
      <c r="K458" s="9" t="inlineStr">
        <is>
          <t>Đã đối chiếu</t>
        </is>
      </c>
      <c r="L458" s="10" t="n"/>
      <c r="M458" s="12" t="inlineStr">
        <is>
          <t>Bản đồ</t>
        </is>
      </c>
      <c r="N458" s="13" t="n"/>
      <c r="O458" s="14" t="n"/>
      <c r="P458" s="14" t="n"/>
      <c r="Q458" s="13" t="n"/>
      <c r="R458" s="15" t="n"/>
      <c r="S458" s="13" t="n"/>
      <c r="T458" s="13" t="n"/>
      <c r="U458" s="16">
        <f>IF(AND(ISNUMBER(O458),ISNUMBER(P458)),ROUND(SQRT(((P458-J458)*111320*COS(RADIANS(I458)))^2+((O458-I458)*110540)^2),0),"")</f>
        <v/>
      </c>
      <c r="V458" s="17">
        <f>IF(N458="","",IF(N458="Sửa vị trí",IF(OR(O458="",P458=""),"Thiếu vĩ độ / kinh độ mới",IF(OR(O458&lt;12.5,O458&gt;15,P458&lt;107,P458&gt;109.6),"Toạ độ ngoài Gia Lai (đảo vĩ/kinh độ?)",IF(Q458="","Chọn cách xác định",IF(U458&gt;20000,"Dời hơn 20 km – kiểm tra lại","OK")))),IF(AND(N458&lt;&gt;"Sửa vị trí",OR(O458&lt;&gt;"",P458&lt;&gt;"")),"Có toạ độ mới nhưng kết quả không phải Sửa vị trí","OK")))</f>
        <v/>
      </c>
    </row>
    <row r="459">
      <c r="A459" s="9" t="n">
        <v>455</v>
      </c>
      <c r="B459" s="9" t="inlineStr">
        <is>
          <t>b1e883ad-9b58-3283-a377-2e99845be8b8</t>
        </is>
      </c>
      <c r="C459" s="9" t="inlineStr">
        <is>
          <t>Thấp</t>
        </is>
      </c>
      <c r="D459" s="10" t="inlineStr">
        <is>
          <t>ATM Nhà máy may Phù Mỹ (MB)</t>
        </is>
      </c>
      <c r="E459" s="9" t="inlineStr">
        <is>
          <t>ATM</t>
        </is>
      </c>
      <c r="F459" s="9" t="inlineStr">
        <is>
          <t>Trang bản đồ MB</t>
        </is>
      </c>
      <c r="G459" s="10" t="inlineStr">
        <is>
          <t>Nhà máy may Phù Mỹ, quốc lộ 1A, xã Phù Mỹ, tỉnh Gia Lai, Xã Phù Mỹ, Gia Lai</t>
        </is>
      </c>
      <c r="H459" s="9" t="inlineStr">
        <is>
          <t>Xã Phù Mỹ</t>
        </is>
      </c>
      <c r="I459" s="11" t="n">
        <v>14.16177</v>
      </c>
      <c r="J459" s="11" t="n">
        <v>109.047292</v>
      </c>
      <c r="K459" s="9" t="inlineStr">
        <is>
          <t>Đã đối chiếu</t>
        </is>
      </c>
      <c r="L459" s="10" t="n"/>
      <c r="M459" s="12" t="inlineStr">
        <is>
          <t>Bản đồ</t>
        </is>
      </c>
      <c r="N459" s="13" t="n"/>
      <c r="O459" s="14" t="n"/>
      <c r="P459" s="14" t="n"/>
      <c r="Q459" s="13" t="n"/>
      <c r="R459" s="15" t="n"/>
      <c r="S459" s="13" t="n"/>
      <c r="T459" s="13" t="n"/>
      <c r="U459" s="16">
        <f>IF(AND(ISNUMBER(O459),ISNUMBER(P459)),ROUND(SQRT(((P459-J459)*111320*COS(RADIANS(I459)))^2+((O459-I459)*110540)^2),0),"")</f>
        <v/>
      </c>
      <c r="V459" s="17">
        <f>IF(N459="","",IF(N459="Sửa vị trí",IF(OR(O459="",P459=""),"Thiếu vĩ độ / kinh độ mới",IF(OR(O459&lt;12.5,O459&gt;15,P459&lt;107,P459&gt;109.6),"Toạ độ ngoài Gia Lai (đảo vĩ/kinh độ?)",IF(Q459="","Chọn cách xác định",IF(U459&gt;20000,"Dời hơn 20 km – kiểm tra lại","OK")))),IF(AND(N459&lt;&gt;"Sửa vị trí",OR(O459&lt;&gt;"",P459&lt;&gt;"")),"Có toạ độ mới nhưng kết quả không phải Sửa vị trí","OK")))</f>
        <v/>
      </c>
    </row>
    <row r="460">
      <c r="A460" s="9" t="n">
        <v>456</v>
      </c>
      <c r="B460" s="9" t="inlineStr">
        <is>
          <t>6f791452-98d4-08b8-7deb-868fc3e2d327</t>
        </is>
      </c>
      <c r="C460" s="9" t="inlineStr">
        <is>
          <t>Thấp</t>
        </is>
      </c>
      <c r="D460" s="10" t="inlineStr">
        <is>
          <t>ATM 191 Hung Vuong, Xa Phu Thien, Tinh Gia Lai (Agribank)</t>
        </is>
      </c>
      <c r="E460" s="9" t="inlineStr">
        <is>
          <t>ATM</t>
        </is>
      </c>
      <c r="F460" s="9" t="inlineStr">
        <is>
          <t>Website Agribank</t>
        </is>
      </c>
      <c r="G460" s="10" t="inlineStr">
        <is>
          <t>191 Hung Vuong, Xa Phu Thien, Tinh Gia Lai, Xã Phú Thiện, Gia Lai</t>
        </is>
      </c>
      <c r="H460" s="9" t="inlineStr">
        <is>
          <t>Xã Phú Thiện</t>
        </is>
      </c>
      <c r="I460" s="11" t="n">
        <v>13.528129</v>
      </c>
      <c r="J460" s="11" t="n">
        <v>108.321581</v>
      </c>
      <c r="K460" s="9" t="inlineStr">
        <is>
          <t>Đã đối chiếu</t>
        </is>
      </c>
      <c r="L460" s="10" t="n"/>
      <c r="M460" s="12" t="inlineStr">
        <is>
          <t>Bản đồ</t>
        </is>
      </c>
      <c r="N460" s="13" t="n"/>
      <c r="O460" s="14" t="n"/>
      <c r="P460" s="14" t="n"/>
      <c r="Q460" s="13" t="n"/>
      <c r="R460" s="15" t="n"/>
      <c r="S460" s="13" t="n"/>
      <c r="T460" s="13" t="n"/>
      <c r="U460" s="16">
        <f>IF(AND(ISNUMBER(O460),ISNUMBER(P460)),ROUND(SQRT(((P460-J460)*111320*COS(RADIANS(I460)))^2+((O460-I460)*110540)^2),0),"")</f>
        <v/>
      </c>
      <c r="V460" s="17">
        <f>IF(N460="","",IF(N460="Sửa vị trí",IF(OR(O460="",P460=""),"Thiếu vĩ độ / kinh độ mới",IF(OR(O460&lt;12.5,O460&gt;15,P460&lt;107,P460&gt;109.6),"Toạ độ ngoài Gia Lai (đảo vĩ/kinh độ?)",IF(Q460="","Chọn cách xác định",IF(U460&gt;20000,"Dời hơn 20 km – kiểm tra lại","OK")))),IF(AND(N460&lt;&gt;"Sửa vị trí",OR(O460&lt;&gt;"",P460&lt;&gt;"")),"Có toạ độ mới nhưng kết quả không phải Sửa vị trí","OK")))</f>
        <v/>
      </c>
    </row>
    <row r="461">
      <c r="A461" s="9" t="n">
        <v>457</v>
      </c>
      <c r="B461" s="9" t="inlineStr">
        <is>
          <t>ce28c832-9b81-bade-6948-351a6b9834f7</t>
        </is>
      </c>
      <c r="C461" s="9" t="inlineStr">
        <is>
          <t>Thấp</t>
        </is>
      </c>
      <c r="D461" s="10" t="inlineStr">
        <is>
          <t>ATM 191 Hung Vuong, Xa Phu Thien, Tinh Gia Lai (Agribank)</t>
        </is>
      </c>
      <c r="E461" s="9" t="inlineStr">
        <is>
          <t>ATM</t>
        </is>
      </c>
      <c r="F461" s="9" t="inlineStr">
        <is>
          <t>Website Agribank</t>
        </is>
      </c>
      <c r="G461" s="10" t="inlineStr">
        <is>
          <t>191 Hung Vuong, Xa Phu Thien, Tinh Gia Lai, Xã Phú Thiện, Gia Lai</t>
        </is>
      </c>
      <c r="H461" s="9" t="inlineStr">
        <is>
          <t>Xã Phú Thiện</t>
        </is>
      </c>
      <c r="I461" s="11" t="n">
        <v>13.528129</v>
      </c>
      <c r="J461" s="11" t="n">
        <v>108.321581</v>
      </c>
      <c r="K461" s="9" t="inlineStr">
        <is>
          <t>Đã đối chiếu</t>
        </is>
      </c>
      <c r="L461" s="10" t="n"/>
      <c r="M461" s="12" t="inlineStr">
        <is>
          <t>Bản đồ</t>
        </is>
      </c>
      <c r="N461" s="13" t="n"/>
      <c r="O461" s="14" t="n"/>
      <c r="P461" s="14" t="n"/>
      <c r="Q461" s="13" t="n"/>
      <c r="R461" s="15" t="n"/>
      <c r="S461" s="13" t="n"/>
      <c r="T461" s="13" t="n"/>
      <c r="U461" s="16">
        <f>IF(AND(ISNUMBER(O461),ISNUMBER(P461)),ROUND(SQRT(((P461-J461)*111320*COS(RADIANS(I461)))^2+((O461-I461)*110540)^2),0),"")</f>
        <v/>
      </c>
      <c r="V461" s="17">
        <f>IF(N461="","",IF(N461="Sửa vị trí",IF(OR(O461="",P461=""),"Thiếu vĩ độ / kinh độ mới",IF(OR(O461&lt;12.5,O461&gt;15,P461&lt;107,P461&gt;109.6),"Toạ độ ngoài Gia Lai (đảo vĩ/kinh độ?)",IF(Q461="","Chọn cách xác định",IF(U461&gt;20000,"Dời hơn 20 km – kiểm tra lại","OK")))),IF(AND(N461&lt;&gt;"Sửa vị trí",OR(O461&lt;&gt;"",P461&lt;&gt;"")),"Có toạ độ mới nhưng kết quả không phải Sửa vị trí","OK")))</f>
        <v/>
      </c>
    </row>
    <row r="462">
      <c r="A462" s="9" t="n">
        <v>458</v>
      </c>
      <c r="B462" s="9" t="inlineStr">
        <is>
          <t>e2bef1ef-bb07-057b-ac4d-42b8a0fc4b3b</t>
        </is>
      </c>
      <c r="C462" s="9" t="inlineStr">
        <is>
          <t>Thấp</t>
        </is>
      </c>
      <c r="D462" s="10" t="inlineStr">
        <is>
          <t>ATM 191 Hung Vuong, Xa Phu Thien, Tinh Gia Lai (Agribank)</t>
        </is>
      </c>
      <c r="E462" s="9" t="inlineStr">
        <is>
          <t>ATM</t>
        </is>
      </c>
      <c r="F462" s="9" t="inlineStr">
        <is>
          <t>Website Agribank</t>
        </is>
      </c>
      <c r="G462" s="10" t="inlineStr">
        <is>
          <t>191 Hung Vuong, Xa Phu Thien, Tinh Gia Lai, Xã Phú Thiện, Gia Lai</t>
        </is>
      </c>
      <c r="H462" s="9" t="inlineStr">
        <is>
          <t>Xã Phú Thiện</t>
        </is>
      </c>
      <c r="I462" s="11" t="n">
        <v>13.528129</v>
      </c>
      <c r="J462" s="11" t="n">
        <v>108.321581</v>
      </c>
      <c r="K462" s="9" t="inlineStr">
        <is>
          <t>Đã đối chiếu</t>
        </is>
      </c>
      <c r="L462" s="10" t="n"/>
      <c r="M462" s="12" t="inlineStr">
        <is>
          <t>Bản đồ</t>
        </is>
      </c>
      <c r="N462" s="13" t="n"/>
      <c r="O462" s="14" t="n"/>
      <c r="P462" s="14" t="n"/>
      <c r="Q462" s="13" t="n"/>
      <c r="R462" s="15" t="n"/>
      <c r="S462" s="13" t="n"/>
      <c r="T462" s="13" t="n"/>
      <c r="U462" s="16">
        <f>IF(AND(ISNUMBER(O462),ISNUMBER(P462)),ROUND(SQRT(((P462-J462)*111320*COS(RADIANS(I462)))^2+((O462-I462)*110540)^2),0),"")</f>
        <v/>
      </c>
      <c r="V462" s="17">
        <f>IF(N462="","",IF(N462="Sửa vị trí",IF(OR(O462="",P462=""),"Thiếu vĩ độ / kinh độ mới",IF(OR(O462&lt;12.5,O462&gt;15,P462&lt;107,P462&gt;109.6),"Toạ độ ngoài Gia Lai (đảo vĩ/kinh độ?)",IF(Q462="","Chọn cách xác định",IF(U462&gt;20000,"Dời hơn 20 km – kiểm tra lại","OK")))),IF(AND(N462&lt;&gt;"Sửa vị trí",OR(O462&lt;&gt;"",P462&lt;&gt;"")),"Có toạ độ mới nhưng kết quả không phải Sửa vị trí","OK")))</f>
        <v/>
      </c>
    </row>
    <row r="463">
      <c r="A463" s="9" t="n">
        <v>459</v>
      </c>
      <c r="B463" s="9" t="inlineStr">
        <is>
          <t>00a58209-4b79-76bb-f10b-53f0b8181ab9</t>
        </is>
      </c>
      <c r="C463" s="9" t="inlineStr">
        <is>
          <t>Thấp</t>
        </is>
      </c>
      <c r="D463" s="10" t="inlineStr">
        <is>
          <t>ATM 20 Tran Hung Dao, Xa Phu Tuc, Tinh Gia Lai (Agribank)</t>
        </is>
      </c>
      <c r="E463" s="9" t="inlineStr">
        <is>
          <t>ATM</t>
        </is>
      </c>
      <c r="F463" s="9" t="inlineStr">
        <is>
          <t>Website Agribank</t>
        </is>
      </c>
      <c r="G463" s="10" t="inlineStr">
        <is>
          <t>20 Tran Hung Dao, Xa Phu Tuc, Tinh Gia Lai, Xã Phú Túc, Gia Lai</t>
        </is>
      </c>
      <c r="H463" s="9" t="inlineStr">
        <is>
          <t>Xã Phú Túc</t>
        </is>
      </c>
      <c r="I463" s="11" t="n">
        <v>13.195795</v>
      </c>
      <c r="J463" s="11" t="n">
        <v>108.690122</v>
      </c>
      <c r="K463" s="9" t="inlineStr">
        <is>
          <t>Đã đối chiếu</t>
        </is>
      </c>
      <c r="L463" s="10" t="n"/>
      <c r="M463" s="12" t="inlineStr">
        <is>
          <t>Bản đồ</t>
        </is>
      </c>
      <c r="N463" s="13" t="n"/>
      <c r="O463" s="14" t="n"/>
      <c r="P463" s="14" t="n"/>
      <c r="Q463" s="13" t="n"/>
      <c r="R463" s="15" t="n"/>
      <c r="S463" s="13" t="n"/>
      <c r="T463" s="13" t="n"/>
      <c r="U463" s="16">
        <f>IF(AND(ISNUMBER(O463),ISNUMBER(P463)),ROUND(SQRT(((P463-J463)*111320*COS(RADIANS(I463)))^2+((O463-I463)*110540)^2),0),"")</f>
        <v/>
      </c>
      <c r="V463" s="17">
        <f>IF(N463="","",IF(N463="Sửa vị trí",IF(OR(O463="",P463=""),"Thiếu vĩ độ / kinh độ mới",IF(OR(O463&lt;12.5,O463&gt;15,P463&lt;107,P463&gt;109.6),"Toạ độ ngoài Gia Lai (đảo vĩ/kinh độ?)",IF(Q463="","Chọn cách xác định",IF(U463&gt;20000,"Dời hơn 20 km – kiểm tra lại","OK")))),IF(AND(N463&lt;&gt;"Sửa vị trí",OR(O463&lt;&gt;"",P463&lt;&gt;"")),"Có toạ độ mới nhưng kết quả không phải Sửa vị trí","OK")))</f>
        <v/>
      </c>
    </row>
    <row r="464">
      <c r="A464" s="9" t="n">
        <v>460</v>
      </c>
      <c r="B464" s="9" t="inlineStr">
        <is>
          <t>1c272fef-46b4-6438-021f-0276bc58d04e</t>
        </is>
      </c>
      <c r="C464" s="9" t="inlineStr">
        <is>
          <t>Thấp</t>
        </is>
      </c>
      <c r="D464" s="10" t="inlineStr">
        <is>
          <t>ATM 20 Tran Hung Dao, Xa Phu Tuc, Tinh Gia Lai (Agribank)</t>
        </is>
      </c>
      <c r="E464" s="9" t="inlineStr">
        <is>
          <t>ATM</t>
        </is>
      </c>
      <c r="F464" s="9" t="inlineStr">
        <is>
          <t>Website Agribank</t>
        </is>
      </c>
      <c r="G464" s="10" t="inlineStr">
        <is>
          <t>20 Tran Hung Dao, Xa Phu Tuc, Tinh Gia Lai, Xã Phú Túc, Gia Lai</t>
        </is>
      </c>
      <c r="H464" s="9" t="inlineStr">
        <is>
          <t>Xã Phú Túc</t>
        </is>
      </c>
      <c r="I464" s="11" t="n">
        <v>13.195795</v>
      </c>
      <c r="J464" s="11" t="n">
        <v>108.690122</v>
      </c>
      <c r="K464" s="9" t="inlineStr">
        <is>
          <t>Đã đối chiếu</t>
        </is>
      </c>
      <c r="L464" s="10" t="n"/>
      <c r="M464" s="12" t="inlineStr">
        <is>
          <t>Bản đồ</t>
        </is>
      </c>
      <c r="N464" s="13" t="n"/>
      <c r="O464" s="14" t="n"/>
      <c r="P464" s="14" t="n"/>
      <c r="Q464" s="13" t="n"/>
      <c r="R464" s="15" t="n"/>
      <c r="S464" s="13" t="n"/>
      <c r="T464" s="13" t="n"/>
      <c r="U464" s="16">
        <f>IF(AND(ISNUMBER(O464),ISNUMBER(P464)),ROUND(SQRT(((P464-J464)*111320*COS(RADIANS(I464)))^2+((O464-I464)*110540)^2),0),"")</f>
        <v/>
      </c>
      <c r="V464" s="17">
        <f>IF(N464="","",IF(N464="Sửa vị trí",IF(OR(O464="",P464=""),"Thiếu vĩ độ / kinh độ mới",IF(OR(O464&lt;12.5,O464&gt;15,P464&lt;107,P464&gt;109.6),"Toạ độ ngoài Gia Lai (đảo vĩ/kinh độ?)",IF(Q464="","Chọn cách xác định",IF(U464&gt;20000,"Dời hơn 20 km – kiểm tra lại","OK")))),IF(AND(N464&lt;&gt;"Sửa vị trí",OR(O464&lt;&gt;"",P464&lt;&gt;"")),"Có toạ độ mới nhưng kết quả không phải Sửa vị trí","OK")))</f>
        <v/>
      </c>
    </row>
    <row r="465">
      <c r="A465" s="9" t="n">
        <v>461</v>
      </c>
      <c r="B465" s="9" t="inlineStr">
        <is>
          <t>9c648e66-451d-d582-39eb-de701f814d27</t>
        </is>
      </c>
      <c r="C465" s="9" t="inlineStr">
        <is>
          <t>Thấp</t>
        </is>
      </c>
      <c r="D465" s="10" t="inlineStr">
        <is>
          <t>ATM 20 Tran Hung Dao, Xa Phu Tuc, Tinh Gia Lai (Agribank)</t>
        </is>
      </c>
      <c r="E465" s="9" t="inlineStr">
        <is>
          <t>ATM</t>
        </is>
      </c>
      <c r="F465" s="9" t="inlineStr">
        <is>
          <t>Website Agribank</t>
        </is>
      </c>
      <c r="G465" s="10" t="inlineStr">
        <is>
          <t>20 Tran Hung Dao, Xa Phu Tuc, Tinh Gia Lai, Xã Phú Túc, Gia Lai</t>
        </is>
      </c>
      <c r="H465" s="9" t="inlineStr">
        <is>
          <t>Xã Phú Túc</t>
        </is>
      </c>
      <c r="I465" s="11" t="n">
        <v>13.195795</v>
      </c>
      <c r="J465" s="11" t="n">
        <v>108.690122</v>
      </c>
      <c r="K465" s="9" t="inlineStr">
        <is>
          <t>Đã đối chiếu</t>
        </is>
      </c>
      <c r="L465" s="10" t="n"/>
      <c r="M465" s="12" t="inlineStr">
        <is>
          <t>Bản đồ</t>
        </is>
      </c>
      <c r="N465" s="13" t="n"/>
      <c r="O465" s="14" t="n"/>
      <c r="P465" s="14" t="n"/>
      <c r="Q465" s="13" t="n"/>
      <c r="R465" s="15" t="n"/>
      <c r="S465" s="13" t="n"/>
      <c r="T465" s="13" t="n"/>
      <c r="U465" s="16">
        <f>IF(AND(ISNUMBER(O465),ISNUMBER(P465)),ROUND(SQRT(((P465-J465)*111320*COS(RADIANS(I465)))^2+((O465-I465)*110540)^2),0),"")</f>
        <v/>
      </c>
      <c r="V465" s="17">
        <f>IF(N465="","",IF(N465="Sửa vị trí",IF(OR(O465="",P465=""),"Thiếu vĩ độ / kinh độ mới",IF(OR(O465&lt;12.5,O465&gt;15,P465&lt;107,P465&gt;109.6),"Toạ độ ngoài Gia Lai (đảo vĩ/kinh độ?)",IF(Q465="","Chọn cách xác định",IF(U465&gt;20000,"Dời hơn 20 km – kiểm tra lại","OK")))),IF(AND(N465&lt;&gt;"Sửa vị trí",OR(O465&lt;&gt;"",P465&lt;&gt;"")),"Có toạ độ mới nhưng kết quả không phải Sửa vị trí","OK")))</f>
        <v/>
      </c>
    </row>
    <row r="466">
      <c r="A466" s="9" t="n">
        <v>462</v>
      </c>
      <c r="B466" s="9" t="inlineStr">
        <is>
          <t>6e1cd32c-e6b3-0a8d-e3a9-260efb4189e4</t>
        </is>
      </c>
      <c r="C466" s="9" t="inlineStr">
        <is>
          <t>Thấp</t>
        </is>
      </c>
      <c r="D466" s="10" t="inlineStr">
        <is>
          <t>ATM Vietcombank – PGD DIÊU TRÌ</t>
        </is>
      </c>
      <c r="E466" s="9" t="inlineStr">
        <is>
          <t>ATM</t>
        </is>
      </c>
      <c r="F466" s="9" t="inlineStr">
        <is>
          <t>Website Vietcombank</t>
        </is>
      </c>
      <c r="G466" s="10" t="inlineStr">
        <is>
          <t>60 TRẦN PHÚ,XÃ TUY PHƯỚC,TỈNH GIA LAI, Xã Tuy Phước, Gia Lai</t>
        </is>
      </c>
      <c r="H466" s="9" t="inlineStr">
        <is>
          <t>Xã Tuy Phước</t>
        </is>
      </c>
      <c r="I466" s="11" t="n">
        <v>13.803278</v>
      </c>
      <c r="J466" s="11" t="n">
        <v>109.147802</v>
      </c>
      <c r="K466" s="9" t="inlineStr">
        <is>
          <t>Đã đối chiếu</t>
        </is>
      </c>
      <c r="L466" s="10" t="n"/>
      <c r="M466" s="12" t="inlineStr">
        <is>
          <t>Bản đồ</t>
        </is>
      </c>
      <c r="N466" s="13" t="n"/>
      <c r="O466" s="14" t="n"/>
      <c r="P466" s="14" t="n"/>
      <c r="Q466" s="13" t="n"/>
      <c r="R466" s="15" t="n"/>
      <c r="S466" s="13" t="n"/>
      <c r="T466" s="13" t="n"/>
      <c r="U466" s="16">
        <f>IF(AND(ISNUMBER(O466),ISNUMBER(P466)),ROUND(SQRT(((P466-J466)*111320*COS(RADIANS(I466)))^2+((O466-I466)*110540)^2),0),"")</f>
        <v/>
      </c>
      <c r="V466" s="17">
        <f>IF(N466="","",IF(N466="Sửa vị trí",IF(OR(O466="",P466=""),"Thiếu vĩ độ / kinh độ mới",IF(OR(O466&lt;12.5,O466&gt;15,P466&lt;107,P466&gt;109.6),"Toạ độ ngoài Gia Lai (đảo vĩ/kinh độ?)",IF(Q466="","Chọn cách xác định",IF(U466&gt;20000,"Dời hơn 20 km – kiểm tra lại","OK")))),IF(AND(N466&lt;&gt;"Sửa vị trí",OR(O466&lt;&gt;"",P466&lt;&gt;"")),"Có toạ độ mới nhưng kết quả không phải Sửa vị trí","OK")))</f>
        <v/>
      </c>
    </row>
    <row r="467">
      <c r="A467" s="9" t="n">
        <v>463</v>
      </c>
      <c r="B467" s="9" t="inlineStr">
        <is>
          <t>6b72691e-e648-2c18-07a0-0ea94642ce20</t>
        </is>
      </c>
      <c r="C467" s="9" t="inlineStr">
        <is>
          <t>Thấp</t>
        </is>
      </c>
      <c r="D467" s="10" t="inlineStr">
        <is>
          <t>ATM Xí nghiệp Thắng lợi (MB)</t>
        </is>
      </c>
      <c r="E467" s="9" t="inlineStr">
        <is>
          <t>ATM</t>
        </is>
      </c>
      <c r="F467" s="9" t="inlineStr">
        <is>
          <t>Trang bản đồ MB</t>
        </is>
      </c>
      <c r="G467" s="10" t="inlineStr">
        <is>
          <t>XN Thắng Lợi, thôn Bình An, xã Tuy Phước Tây, tỉnh Gia Lai, Xã Tuy Phước Tây, Gia Lai</t>
        </is>
      </c>
      <c r="H467" s="9" t="inlineStr">
        <is>
          <t>Xã Tuy Phước Tây</t>
        </is>
      </c>
      <c r="I467" s="11" t="n">
        <v>13.781567</v>
      </c>
      <c r="J467" s="11" t="n">
        <v>109.112104</v>
      </c>
      <c r="K467" s="9" t="inlineStr">
        <is>
          <t>Đã đối chiếu</t>
        </is>
      </c>
      <c r="L467" s="10" t="n"/>
      <c r="M467" s="12" t="inlineStr">
        <is>
          <t>Bản đồ</t>
        </is>
      </c>
      <c r="N467" s="13" t="n"/>
      <c r="O467" s="14" t="n"/>
      <c r="P467" s="14" t="n"/>
      <c r="Q467" s="13" t="n"/>
      <c r="R467" s="15" t="n"/>
      <c r="S467" s="13" t="n"/>
      <c r="T467" s="13" t="n"/>
      <c r="U467" s="16">
        <f>IF(AND(ISNUMBER(O467),ISNUMBER(P467)),ROUND(SQRT(((P467-J467)*111320*COS(RADIANS(I467)))^2+((O467-I467)*110540)^2),0),"")</f>
        <v/>
      </c>
      <c r="V467" s="17">
        <f>IF(N467="","",IF(N467="Sửa vị trí",IF(OR(O467="",P467=""),"Thiếu vĩ độ / kinh độ mới",IF(OR(O467&lt;12.5,O467&gt;15,P467&lt;107,P467&gt;109.6),"Toạ độ ngoài Gia Lai (đảo vĩ/kinh độ?)",IF(Q467="","Chọn cách xác định",IF(U467&gt;20000,"Dời hơn 20 km – kiểm tra lại","OK")))),IF(AND(N467&lt;&gt;"Sửa vị trí",OR(O467&lt;&gt;"",P467&lt;&gt;"")),"Có toạ độ mới nhưng kết quả không phải Sửa vị trí","OK")))</f>
        <v/>
      </c>
    </row>
    <row r="468">
      <c r="A468" s="9" t="n">
        <v>464</v>
      </c>
      <c r="B468" s="9" t="inlineStr">
        <is>
          <t>6908e799-586c-bfeb-0b0a-66d3dcad7744</t>
        </is>
      </c>
      <c r="C468" s="9" t="inlineStr">
        <is>
          <t>Thấp</t>
        </is>
      </c>
      <c r="D468" s="10" t="inlineStr">
        <is>
          <t>ATM Vietcombank – PGD QUANG TRUNG</t>
        </is>
      </c>
      <c r="E468" s="9" t="inlineStr">
        <is>
          <t>ATM</t>
        </is>
      </c>
      <c r="F468" s="9" t="inlineStr">
        <is>
          <t>Website Vietcombank</t>
        </is>
      </c>
      <c r="G468" s="10" t="inlineStr">
        <is>
          <t>THÔN 2,XÃ TÂY SƠN,TỈNH GIA LAI, Xã Tây Sơn, Gia Lai</t>
        </is>
      </c>
      <c r="H468" s="9" t="inlineStr">
        <is>
          <t>Xã Tây Sơn</t>
        </is>
      </c>
      <c r="I468" s="11" t="n">
        <v>13.892817</v>
      </c>
      <c r="J468" s="11" t="n">
        <v>108.974242</v>
      </c>
      <c r="K468" s="9" t="inlineStr">
        <is>
          <t>Đã đối chiếu</t>
        </is>
      </c>
      <c r="L468" s="10" t="n"/>
      <c r="M468" s="12" t="inlineStr">
        <is>
          <t>Bản đồ</t>
        </is>
      </c>
      <c r="N468" s="13" t="n"/>
      <c r="O468" s="14" t="n"/>
      <c r="P468" s="14" t="n"/>
      <c r="Q468" s="13" t="n"/>
      <c r="R468" s="15" t="n"/>
      <c r="S468" s="13" t="n"/>
      <c r="T468" s="13" t="n"/>
      <c r="U468" s="16">
        <f>IF(AND(ISNUMBER(O468),ISNUMBER(P468)),ROUND(SQRT(((P468-J468)*111320*COS(RADIANS(I468)))^2+((O468-I468)*110540)^2),0),"")</f>
        <v/>
      </c>
      <c r="V468" s="17">
        <f>IF(N468="","",IF(N468="Sửa vị trí",IF(OR(O468="",P468=""),"Thiếu vĩ độ / kinh độ mới",IF(OR(O468&lt;12.5,O468&gt;15,P468&lt;107,P468&gt;109.6),"Toạ độ ngoài Gia Lai (đảo vĩ/kinh độ?)",IF(Q468="","Chọn cách xác định",IF(U468&gt;20000,"Dời hơn 20 km – kiểm tra lại","OK")))),IF(AND(N468&lt;&gt;"Sửa vị trí",OR(O468&lt;&gt;"",P468&lt;&gt;"")),"Có toạ độ mới nhưng kết quả không phải Sửa vị trí","OK")))</f>
        <v/>
      </c>
    </row>
    <row r="469">
      <c r="A469" s="9" t="n">
        <v>465</v>
      </c>
      <c r="B469" s="9" t="inlineStr">
        <is>
          <t>9a1af976-6270-a2c4-c53a-95fff4bf8a1d</t>
        </is>
      </c>
      <c r="C469" s="9" t="inlineStr">
        <is>
          <t>Thấp</t>
        </is>
      </c>
      <c r="D469" s="10" t="inlineStr">
        <is>
          <t>SmartBank Phú Phong (MB)</t>
        </is>
      </c>
      <c r="E469" s="9" t="inlineStr">
        <is>
          <t>ATM</t>
        </is>
      </c>
      <c r="F469" s="9" t="inlineStr">
        <is>
          <t>Trang bản đồ MB</t>
        </is>
      </c>
      <c r="G469" s="10" t="inlineStr">
        <is>
          <t>Số 317 đường Quang Trung, xã Tây Sơn, tỉnh Gia Lai, Xã Tây Sơn, Gia Lai</t>
        </is>
      </c>
      <c r="H469" s="9" t="inlineStr">
        <is>
          <t>Xã Tây Sơn</t>
        </is>
      </c>
      <c r="I469" s="11" t="n">
        <v>13.906251</v>
      </c>
      <c r="J469" s="11" t="n">
        <v>108.922126</v>
      </c>
      <c r="K469" s="9" t="inlineStr">
        <is>
          <t>Đã đối chiếu</t>
        </is>
      </c>
      <c r="L469" s="10" t="n"/>
      <c r="M469" s="12" t="inlineStr">
        <is>
          <t>Bản đồ</t>
        </is>
      </c>
      <c r="N469" s="13" t="n"/>
      <c r="O469" s="14" t="n"/>
      <c r="P469" s="14" t="n"/>
      <c r="Q469" s="13" t="n"/>
      <c r="R469" s="15" t="n"/>
      <c r="S469" s="13" t="n"/>
      <c r="T469" s="13" t="n"/>
      <c r="U469" s="16">
        <f>IF(AND(ISNUMBER(O469),ISNUMBER(P469)),ROUND(SQRT(((P469-J469)*111320*COS(RADIANS(I469)))^2+((O469-I469)*110540)^2),0),"")</f>
        <v/>
      </c>
      <c r="V469" s="17">
        <f>IF(N469="","",IF(N469="Sửa vị trí",IF(OR(O469="",P469=""),"Thiếu vĩ độ / kinh độ mới",IF(OR(O469&lt;12.5,O469&gt;15,P469&lt;107,P469&gt;109.6),"Toạ độ ngoài Gia Lai (đảo vĩ/kinh độ?)",IF(Q469="","Chọn cách xác định",IF(U469&gt;20000,"Dời hơn 20 km – kiểm tra lại","OK")))),IF(AND(N469&lt;&gt;"Sửa vị trí",OR(O469&lt;&gt;"",P469&lt;&gt;"")),"Có toạ độ mới nhưng kết quả không phải Sửa vị trí","OK")))</f>
        <v/>
      </c>
    </row>
    <row r="470">
      <c r="A470" s="9" t="n">
        <v>466</v>
      </c>
      <c r="B470" s="9" t="inlineStr">
        <is>
          <t>6a669b3a-0e37-6430-5e6b-9e855b53f1c3</t>
        </is>
      </c>
      <c r="C470" s="9" t="inlineStr">
        <is>
          <t>Thấp</t>
        </is>
      </c>
      <c r="D470" s="10" t="inlineStr">
        <is>
          <t>ATM Nhà Máy Chế Biến Gỗ Phù Cát (MB)</t>
        </is>
      </c>
      <c r="E470" s="9" t="inlineStr">
        <is>
          <t>ATM</t>
        </is>
      </c>
      <c r="F470" s="9" t="inlineStr">
        <is>
          <t>Trang bản đồ MB</t>
        </is>
      </c>
      <c r="G470" s="10" t="inlineStr">
        <is>
          <t>CNN Cát Nhơn, xã Xuân An, tỉnh Gia Lai., Xã Xuân An, Gia Lai</t>
        </is>
      </c>
      <c r="H470" s="9" t="inlineStr">
        <is>
          <t>Xã Xuân An</t>
        </is>
      </c>
      <c r="I470" s="11" t="n">
        <v>13.963985</v>
      </c>
      <c r="J470" s="11" t="n">
        <v>109.159285</v>
      </c>
      <c r="K470" s="9" t="inlineStr">
        <is>
          <t>Đã đối chiếu</t>
        </is>
      </c>
      <c r="L470" s="10" t="n"/>
      <c r="M470" s="12" t="inlineStr">
        <is>
          <t>Bản đồ</t>
        </is>
      </c>
      <c r="N470" s="13" t="n"/>
      <c r="O470" s="14" t="n"/>
      <c r="P470" s="14" t="n"/>
      <c r="Q470" s="13" t="n"/>
      <c r="R470" s="15" t="n"/>
      <c r="S470" s="13" t="n"/>
      <c r="T470" s="13" t="n"/>
      <c r="U470" s="16">
        <f>IF(AND(ISNUMBER(O470),ISNUMBER(P470)),ROUND(SQRT(((P470-J470)*111320*COS(RADIANS(I470)))^2+((O470-I470)*110540)^2),0),"")</f>
        <v/>
      </c>
      <c r="V470" s="17">
        <f>IF(N470="","",IF(N470="Sửa vị trí",IF(OR(O470="",P470=""),"Thiếu vĩ độ / kinh độ mới",IF(OR(O470&lt;12.5,O470&gt;15,P470&lt;107,P470&gt;109.6),"Toạ độ ngoài Gia Lai (đảo vĩ/kinh độ?)",IF(Q470="","Chọn cách xác định",IF(U470&gt;20000,"Dời hơn 20 km – kiểm tra lại","OK")))),IF(AND(N470&lt;&gt;"Sửa vị trí",OR(O470&lt;&gt;"",P470&lt;&gt;"")),"Có toạ độ mới nhưng kết quả không phải Sửa vị trí","OK")))</f>
        <v/>
      </c>
    </row>
    <row r="471">
      <c r="A471" s="9" t="n">
        <v>467</v>
      </c>
      <c r="B471" s="9" t="inlineStr">
        <is>
          <t>ae0ca6f3-ca85-e564-59ee-c4426425799d</t>
        </is>
      </c>
      <c r="C471" s="9" t="inlineStr">
        <is>
          <t>Thấp</t>
        </is>
      </c>
      <c r="D471" s="10" t="inlineStr">
        <is>
          <t>ATM Vietcombank – CỤM CÔNG NGHIỆP CÁT NHƠN</t>
        </is>
      </c>
      <c r="E471" s="9" t="inlineStr">
        <is>
          <t>ATM</t>
        </is>
      </c>
      <c r="F471" s="9" t="inlineStr">
        <is>
          <t>Website Vietcombank</t>
        </is>
      </c>
      <c r="G471" s="10" t="inlineStr">
        <is>
          <t>THÔN LIÊN TRÌ,XÃ XUÂN AN,TỈNH GIA LAI, Xã Xuân An, Gia Lai</t>
        </is>
      </c>
      <c r="H471" s="9" t="inlineStr">
        <is>
          <t>Xã Xuân An</t>
        </is>
      </c>
      <c r="I471" s="11" t="n">
        <v>13.964483</v>
      </c>
      <c r="J471" s="11" t="n">
        <v>109.159235</v>
      </c>
      <c r="K471" s="9" t="inlineStr">
        <is>
          <t>Đã đối chiếu</t>
        </is>
      </c>
      <c r="L471" s="10" t="n"/>
      <c r="M471" s="12" t="inlineStr">
        <is>
          <t>Bản đồ</t>
        </is>
      </c>
      <c r="N471" s="13" t="n"/>
      <c r="O471" s="14" t="n"/>
      <c r="P471" s="14" t="n"/>
      <c r="Q471" s="13" t="n"/>
      <c r="R471" s="15" t="n"/>
      <c r="S471" s="13" t="n"/>
      <c r="T471" s="13" t="n"/>
      <c r="U471" s="16">
        <f>IF(AND(ISNUMBER(O471),ISNUMBER(P471)),ROUND(SQRT(((P471-J471)*111320*COS(RADIANS(I471)))^2+((O471-I471)*110540)^2),0),"")</f>
        <v/>
      </c>
      <c r="V471" s="17">
        <f>IF(N471="","",IF(N471="Sửa vị trí",IF(OR(O471="",P471=""),"Thiếu vĩ độ / kinh độ mới",IF(OR(O471&lt;12.5,O471&gt;15,P471&lt;107,P471&gt;109.6),"Toạ độ ngoài Gia Lai (đảo vĩ/kinh độ?)",IF(Q471="","Chọn cách xác định",IF(U471&gt;20000,"Dời hơn 20 km – kiểm tra lại","OK")))),IF(AND(N471&lt;&gt;"Sửa vị trí",OR(O471&lt;&gt;"",P471&lt;&gt;"")),"Có toạ độ mới nhưng kết quả không phải Sửa vị trí","OK")))</f>
        <v/>
      </c>
    </row>
    <row r="472">
      <c r="A472" s="9" t="n">
        <v>468</v>
      </c>
      <c r="B472" s="9" t="inlineStr">
        <is>
          <t>27b3f471-d4f0-9c73-3daa-2f802e0d1412</t>
        </is>
      </c>
      <c r="C472" s="9" t="inlineStr">
        <is>
          <t>Thấp</t>
        </is>
      </c>
      <c r="D472" s="10" t="inlineStr">
        <is>
          <t>ATM 288 Hung Vuong, Xa Dak Po, Tinh Gia Lai (Agribank)</t>
        </is>
      </c>
      <c r="E472" s="9" t="inlineStr">
        <is>
          <t>ATM</t>
        </is>
      </c>
      <c r="F472" s="9" t="inlineStr">
        <is>
          <t>Website Agribank</t>
        </is>
      </c>
      <c r="G472" s="10" t="inlineStr">
        <is>
          <t>288 Hung Vuong, Xa Dak Po, Tinh Gia Lai, Xã Đak Pơ, Gia Lai</t>
        </is>
      </c>
      <c r="H472" s="9" t="inlineStr">
        <is>
          <t>Xã Đak Pơ</t>
        </is>
      </c>
      <c r="I472" s="11" t="n">
        <v>13.97055</v>
      </c>
      <c r="J472" s="11" t="n">
        <v>108.548434</v>
      </c>
      <c r="K472" s="9" t="inlineStr">
        <is>
          <t>Đã đối chiếu</t>
        </is>
      </c>
      <c r="L472" s="10" t="n"/>
      <c r="M472" s="12" t="inlineStr">
        <is>
          <t>Bản đồ</t>
        </is>
      </c>
      <c r="N472" s="13" t="n"/>
      <c r="O472" s="14" t="n"/>
      <c r="P472" s="14" t="n"/>
      <c r="Q472" s="13" t="n"/>
      <c r="R472" s="15" t="n"/>
      <c r="S472" s="13" t="n"/>
      <c r="T472" s="13" t="n"/>
      <c r="U472" s="16">
        <f>IF(AND(ISNUMBER(O472),ISNUMBER(P472)),ROUND(SQRT(((P472-J472)*111320*COS(RADIANS(I472)))^2+((O472-I472)*110540)^2),0),"")</f>
        <v/>
      </c>
      <c r="V472" s="17">
        <f>IF(N472="","",IF(N472="Sửa vị trí",IF(OR(O472="",P472=""),"Thiếu vĩ độ / kinh độ mới",IF(OR(O472&lt;12.5,O472&gt;15,P472&lt;107,P472&gt;109.6),"Toạ độ ngoài Gia Lai (đảo vĩ/kinh độ?)",IF(Q472="","Chọn cách xác định",IF(U472&gt;20000,"Dời hơn 20 km – kiểm tra lại","OK")))),IF(AND(N472&lt;&gt;"Sửa vị trí",OR(O472&lt;&gt;"",P472&lt;&gt;"")),"Có toạ độ mới nhưng kết quả không phải Sửa vị trí","OK")))</f>
        <v/>
      </c>
    </row>
    <row r="473">
      <c r="A473" s="9" t="n">
        <v>469</v>
      </c>
      <c r="B473" s="9" t="inlineStr">
        <is>
          <t>be6f443a-3ba7-380d-10e7-f61f66510b10</t>
        </is>
      </c>
      <c r="C473" s="9" t="inlineStr">
        <is>
          <t>Thấp</t>
        </is>
      </c>
      <c r="D473" s="10" t="inlineStr">
        <is>
          <t>ATM 288 Hung Vuong, Xa Dak Po, Tinh Gia Lai (Agribank)</t>
        </is>
      </c>
      <c r="E473" s="9" t="inlineStr">
        <is>
          <t>ATM</t>
        </is>
      </c>
      <c r="F473" s="9" t="inlineStr">
        <is>
          <t>Website Agribank</t>
        </is>
      </c>
      <c r="G473" s="10" t="inlineStr">
        <is>
          <t>288 Hung Vuong, Xa Dak Po, Tinh Gia Lai, Xã Đak Pơ, Gia Lai</t>
        </is>
      </c>
      <c r="H473" s="9" t="inlineStr">
        <is>
          <t>Xã Đak Pơ</t>
        </is>
      </c>
      <c r="I473" s="11" t="n">
        <v>13.97055</v>
      </c>
      <c r="J473" s="11" t="n">
        <v>108.548434</v>
      </c>
      <c r="K473" s="9" t="inlineStr">
        <is>
          <t>Đã đối chiếu</t>
        </is>
      </c>
      <c r="L473" s="10" t="n"/>
      <c r="M473" s="12" t="inlineStr">
        <is>
          <t>Bản đồ</t>
        </is>
      </c>
      <c r="N473" s="13" t="n"/>
      <c r="O473" s="14" t="n"/>
      <c r="P473" s="14" t="n"/>
      <c r="Q473" s="13" t="n"/>
      <c r="R473" s="15" t="n"/>
      <c r="S473" s="13" t="n"/>
      <c r="T473" s="13" t="n"/>
      <c r="U473" s="16">
        <f>IF(AND(ISNUMBER(O473),ISNUMBER(P473)),ROUND(SQRT(((P473-J473)*111320*COS(RADIANS(I473)))^2+((O473-I473)*110540)^2),0),"")</f>
        <v/>
      </c>
      <c r="V473" s="17">
        <f>IF(N473="","",IF(N473="Sửa vị trí",IF(OR(O473="",P473=""),"Thiếu vĩ độ / kinh độ mới",IF(OR(O473&lt;12.5,O473&gt;15,P473&lt;107,P473&gt;109.6),"Toạ độ ngoài Gia Lai (đảo vĩ/kinh độ?)",IF(Q473="","Chọn cách xác định",IF(U473&gt;20000,"Dời hơn 20 km – kiểm tra lại","OK")))),IF(AND(N473&lt;&gt;"Sửa vị trí",OR(O473&lt;&gt;"",P473&lt;&gt;"")),"Có toạ độ mới nhưng kết quả không phải Sửa vị trí","OK")))</f>
        <v/>
      </c>
    </row>
    <row r="474">
      <c r="A474" s="9" t="n">
        <v>470</v>
      </c>
      <c r="B474" s="9" t="inlineStr">
        <is>
          <t>3a5bfdee-a334-d68a-ef50-1370f7920487</t>
        </is>
      </c>
      <c r="C474" s="9" t="inlineStr">
        <is>
          <t>Thấp</t>
        </is>
      </c>
      <c r="D474" s="10" t="inlineStr">
        <is>
          <t>ATM Lữ đoàn 7 - Quân đoàn 3 (MB)</t>
        </is>
      </c>
      <c r="E474" s="9" t="inlineStr">
        <is>
          <t>ATM</t>
        </is>
      </c>
      <c r="F474" s="9" t="inlineStr">
        <is>
          <t>Trang bản đồ MB</t>
        </is>
      </c>
      <c r="G474" s="10" t="inlineStr">
        <is>
          <t>Thôn 1, phường Thống Nhất, tỉnh Gia Lai, Xã Đak Pơ, Gia Lai</t>
        </is>
      </c>
      <c r="H474" s="9" t="inlineStr">
        <is>
          <t>Xã Đak Pơ</t>
        </is>
      </c>
      <c r="I474" s="11" t="n">
        <v>13.99985</v>
      </c>
      <c r="J474" s="11" t="n">
        <v>108.446407</v>
      </c>
      <c r="K474" s="9" t="inlineStr">
        <is>
          <t>Đã đối chiếu</t>
        </is>
      </c>
      <c r="L474" s="10" t="n"/>
      <c r="M474" s="12" t="inlineStr">
        <is>
          <t>Bản đồ</t>
        </is>
      </c>
      <c r="N474" s="13" t="n"/>
      <c r="O474" s="14" t="n"/>
      <c r="P474" s="14" t="n"/>
      <c r="Q474" s="13" t="n"/>
      <c r="R474" s="15" t="n"/>
      <c r="S474" s="13" t="n"/>
      <c r="T474" s="13" t="n"/>
      <c r="U474" s="16">
        <f>IF(AND(ISNUMBER(O474),ISNUMBER(P474)),ROUND(SQRT(((P474-J474)*111320*COS(RADIANS(I474)))^2+((O474-I474)*110540)^2),0),"")</f>
        <v/>
      </c>
      <c r="V474" s="17">
        <f>IF(N474="","",IF(N474="Sửa vị trí",IF(OR(O474="",P474=""),"Thiếu vĩ độ / kinh độ mới",IF(OR(O474&lt;12.5,O474&gt;15,P474&lt;107,P474&gt;109.6),"Toạ độ ngoài Gia Lai (đảo vĩ/kinh độ?)",IF(Q474="","Chọn cách xác định",IF(U474&gt;20000,"Dời hơn 20 km – kiểm tra lại","OK")))),IF(AND(N474&lt;&gt;"Sửa vị trí",OR(O474&lt;&gt;"",P474&lt;&gt;"")),"Có toạ độ mới nhưng kết quả không phải Sửa vị trí","OK")))</f>
        <v/>
      </c>
    </row>
    <row r="475">
      <c r="A475" s="9" t="n">
        <v>471</v>
      </c>
      <c r="B475" s="9" t="inlineStr">
        <is>
          <t>3e6c4777-1077-76b9-1852-1cb1742351da</t>
        </is>
      </c>
      <c r="C475" s="9" t="inlineStr">
        <is>
          <t>Thấp</t>
        </is>
      </c>
      <c r="D475" s="10" t="inlineStr">
        <is>
          <t>ATM 199 Nguyen Hue, Xa Dak Doa, Tinh Gia Lai (Agribank)</t>
        </is>
      </c>
      <c r="E475" s="9" t="inlineStr">
        <is>
          <t>ATM</t>
        </is>
      </c>
      <c r="F475" s="9" t="inlineStr">
        <is>
          <t>Website Agribank</t>
        </is>
      </c>
      <c r="G475" s="10" t="inlineStr">
        <is>
          <t>199 Nguyen Hue, Xa Dak Doa, Tinh Gia Lai, Xã Đak Đoa, Gia Lai</t>
        </is>
      </c>
      <c r="H475" s="9" t="inlineStr">
        <is>
          <t>Xã Đak Đoa</t>
        </is>
      </c>
      <c r="I475" s="11" t="n">
        <v>13.992905</v>
      </c>
      <c r="J475" s="11" t="n">
        <v>108.110215</v>
      </c>
      <c r="K475" s="9" t="inlineStr">
        <is>
          <t>Đã đối chiếu</t>
        </is>
      </c>
      <c r="L475" s="10" t="n"/>
      <c r="M475" s="12" t="inlineStr">
        <is>
          <t>Bản đồ</t>
        </is>
      </c>
      <c r="N475" s="13" t="n"/>
      <c r="O475" s="14" t="n"/>
      <c r="P475" s="14" t="n"/>
      <c r="Q475" s="13" t="n"/>
      <c r="R475" s="15" t="n"/>
      <c r="S475" s="13" t="n"/>
      <c r="T475" s="13" t="n"/>
      <c r="U475" s="16">
        <f>IF(AND(ISNUMBER(O475),ISNUMBER(P475)),ROUND(SQRT(((P475-J475)*111320*COS(RADIANS(I475)))^2+((O475-I475)*110540)^2),0),"")</f>
        <v/>
      </c>
      <c r="V475" s="17">
        <f>IF(N475="","",IF(N475="Sửa vị trí",IF(OR(O475="",P475=""),"Thiếu vĩ độ / kinh độ mới",IF(OR(O475&lt;12.5,O475&gt;15,P475&lt;107,P475&gt;109.6),"Toạ độ ngoài Gia Lai (đảo vĩ/kinh độ?)",IF(Q475="","Chọn cách xác định",IF(U475&gt;20000,"Dời hơn 20 km – kiểm tra lại","OK")))),IF(AND(N475&lt;&gt;"Sửa vị trí",OR(O475&lt;&gt;"",P475&lt;&gt;"")),"Có toạ độ mới nhưng kết quả không phải Sửa vị trí","OK")))</f>
        <v/>
      </c>
    </row>
    <row r="476">
      <c r="A476" s="9" t="n">
        <v>472</v>
      </c>
      <c r="B476" s="9" t="inlineStr">
        <is>
          <t>0dcae96d-6fc8-cc29-e1ef-5e366fa648c0</t>
        </is>
      </c>
      <c r="C476" s="9" t="inlineStr">
        <is>
          <t>Thấp</t>
        </is>
      </c>
      <c r="D476" s="10" t="inlineStr">
        <is>
          <t>ATM 199 Nguyen Hue, Xa Dak Doa, Tinh Gia Lai (Agribank)</t>
        </is>
      </c>
      <c r="E476" s="9" t="inlineStr">
        <is>
          <t>ATM</t>
        </is>
      </c>
      <c r="F476" s="9" t="inlineStr">
        <is>
          <t>Website Agribank</t>
        </is>
      </c>
      <c r="G476" s="10" t="inlineStr">
        <is>
          <t>199 Nguyen Hue, Xa Dak Doa, Tinh Gia Lai, Xã Đak Đoa, Gia Lai</t>
        </is>
      </c>
      <c r="H476" s="9" t="inlineStr">
        <is>
          <t>Xã Đak Đoa</t>
        </is>
      </c>
      <c r="I476" s="11" t="n">
        <v>13.992905</v>
      </c>
      <c r="J476" s="11" t="n">
        <v>108.110215</v>
      </c>
      <c r="K476" s="9" t="inlineStr">
        <is>
          <t>Đã đối chiếu</t>
        </is>
      </c>
      <c r="L476" s="10" t="n"/>
      <c r="M476" s="12" t="inlineStr">
        <is>
          <t>Bản đồ</t>
        </is>
      </c>
      <c r="N476" s="13" t="n"/>
      <c r="O476" s="14" t="n"/>
      <c r="P476" s="14" t="n"/>
      <c r="Q476" s="13" t="n"/>
      <c r="R476" s="15" t="n"/>
      <c r="S476" s="13" t="n"/>
      <c r="T476" s="13" t="n"/>
      <c r="U476" s="16">
        <f>IF(AND(ISNUMBER(O476),ISNUMBER(P476)),ROUND(SQRT(((P476-J476)*111320*COS(RADIANS(I476)))^2+((O476-I476)*110540)^2),0),"")</f>
        <v/>
      </c>
      <c r="V476" s="17">
        <f>IF(N476="","",IF(N476="Sửa vị trí",IF(OR(O476="",P476=""),"Thiếu vĩ độ / kinh độ mới",IF(OR(O476&lt;12.5,O476&gt;15,P476&lt;107,P476&gt;109.6),"Toạ độ ngoài Gia Lai (đảo vĩ/kinh độ?)",IF(Q476="","Chọn cách xác định",IF(U476&gt;20000,"Dời hơn 20 km – kiểm tra lại","OK")))),IF(AND(N476&lt;&gt;"Sửa vị trí",OR(O476&lt;&gt;"",P476&lt;&gt;"")),"Có toạ độ mới nhưng kết quả không phải Sửa vị trí","OK")))</f>
        <v/>
      </c>
    </row>
    <row r="477">
      <c r="A477" s="9" t="n">
        <v>473</v>
      </c>
      <c r="B477" s="9" t="inlineStr">
        <is>
          <t>760c00cb-264d-df34-f94a-d3b7e7c33256</t>
        </is>
      </c>
      <c r="C477" s="9" t="inlineStr">
        <is>
          <t>Thấp</t>
        </is>
      </c>
      <c r="D477" s="10" t="inlineStr">
        <is>
          <t>ATM 199 Nguyen Hue, Xa Dak Doa, Tinh Gia Lai (Agribank)</t>
        </is>
      </c>
      <c r="E477" s="9" t="inlineStr">
        <is>
          <t>ATM</t>
        </is>
      </c>
      <c r="F477" s="9" t="inlineStr">
        <is>
          <t>Website Agribank</t>
        </is>
      </c>
      <c r="G477" s="10" t="inlineStr">
        <is>
          <t>199 Nguyen Hue, Xa Dak Doa, Tinh Gia Lai, Xã Đak Đoa, Gia Lai</t>
        </is>
      </c>
      <c r="H477" s="9" t="inlineStr">
        <is>
          <t>Xã Đak Đoa</t>
        </is>
      </c>
      <c r="I477" s="11" t="n">
        <v>13.992905</v>
      </c>
      <c r="J477" s="11" t="n">
        <v>108.110215</v>
      </c>
      <c r="K477" s="9" t="inlineStr">
        <is>
          <t>Đã đối chiếu</t>
        </is>
      </c>
      <c r="L477" s="10" t="n"/>
      <c r="M477" s="12" t="inlineStr">
        <is>
          <t>Bản đồ</t>
        </is>
      </c>
      <c r="N477" s="13" t="n"/>
      <c r="O477" s="14" t="n"/>
      <c r="P477" s="14" t="n"/>
      <c r="Q477" s="13" t="n"/>
      <c r="R477" s="15" t="n"/>
      <c r="S477" s="13" t="n"/>
      <c r="T477" s="13" t="n"/>
      <c r="U477" s="16">
        <f>IF(AND(ISNUMBER(O477),ISNUMBER(P477)),ROUND(SQRT(((P477-J477)*111320*COS(RADIANS(I477)))^2+((O477-I477)*110540)^2),0),"")</f>
        <v/>
      </c>
      <c r="V477" s="17">
        <f>IF(N477="","",IF(N477="Sửa vị trí",IF(OR(O477="",P477=""),"Thiếu vĩ độ / kinh độ mới",IF(OR(O477&lt;12.5,O477&gt;15,P477&lt;107,P477&gt;109.6),"Toạ độ ngoài Gia Lai (đảo vĩ/kinh độ?)",IF(Q477="","Chọn cách xác định",IF(U477&gt;20000,"Dời hơn 20 km – kiểm tra lại","OK")))),IF(AND(N477&lt;&gt;"Sửa vị trí",OR(O477&lt;&gt;"",P477&lt;&gt;"")),"Có toạ độ mới nhưng kết quả không phải Sửa vị trí","OK")))</f>
        <v/>
      </c>
    </row>
    <row r="478">
      <c r="A478" s="9" t="n">
        <v>474</v>
      </c>
      <c r="B478" s="9" t="inlineStr">
        <is>
          <t>21b0e133-930b-84e2-d130-1ad6219a7f85</t>
        </is>
      </c>
      <c r="C478" s="9" t="inlineStr">
        <is>
          <t>Thấp</t>
        </is>
      </c>
      <c r="D478" s="10" t="inlineStr">
        <is>
          <t>ATM Vietcombank – CAO SU MANG YANG</t>
        </is>
      </c>
      <c r="E478" s="9" t="inlineStr">
        <is>
          <t>ATM</t>
        </is>
      </c>
      <c r="F478" s="9" t="inlineStr">
        <is>
          <t>Website Vietcombank</t>
        </is>
      </c>
      <c r="G478" s="10" t="inlineStr">
        <is>
          <t>QL 19, Xã Đak Đoa, Gia Lai, Xã Đak Đoa, Gia Lai</t>
        </is>
      </c>
      <c r="H478" s="9" t="inlineStr">
        <is>
          <t>Xã Đak Đoa</t>
        </is>
      </c>
      <c r="I478" s="11" t="n">
        <v>13.99391</v>
      </c>
      <c r="J478" s="11" t="n">
        <v>108.12749</v>
      </c>
      <c r="K478" s="9" t="inlineStr">
        <is>
          <t>Đã đối chiếu</t>
        </is>
      </c>
      <c r="L478" s="10" t="n"/>
      <c r="M478" s="12" t="inlineStr">
        <is>
          <t>Bản đồ</t>
        </is>
      </c>
      <c r="N478" s="13" t="n"/>
      <c r="O478" s="14" t="n"/>
      <c r="P478" s="14" t="n"/>
      <c r="Q478" s="13" t="n"/>
      <c r="R478" s="15" t="n"/>
      <c r="S478" s="13" t="n"/>
      <c r="T478" s="13" t="n"/>
      <c r="U478" s="16">
        <f>IF(AND(ISNUMBER(O478),ISNUMBER(P478)),ROUND(SQRT(((P478-J478)*111320*COS(RADIANS(I478)))^2+((O478-I478)*110540)^2),0),"")</f>
        <v/>
      </c>
      <c r="V478" s="17">
        <f>IF(N478="","",IF(N478="Sửa vị trí",IF(OR(O478="",P478=""),"Thiếu vĩ độ / kinh độ mới",IF(OR(O478&lt;12.5,O478&gt;15,P478&lt;107,P478&gt;109.6),"Toạ độ ngoài Gia Lai (đảo vĩ/kinh độ?)",IF(Q478="","Chọn cách xác định",IF(U478&gt;20000,"Dời hơn 20 km – kiểm tra lại","OK")))),IF(AND(N478&lt;&gt;"Sửa vị trí",OR(O478&lt;&gt;"",P478&lt;&gt;"")),"Có toạ độ mới nhưng kết quả không phải Sửa vị trí","OK")))</f>
        <v/>
      </c>
    </row>
    <row r="479">
      <c r="A479" s="9" t="n">
        <v>475</v>
      </c>
      <c r="B479" s="9" t="inlineStr">
        <is>
          <t>836e3bdb-3ec9-b57e-3ad1-707473a38b7e</t>
        </is>
      </c>
      <c r="C479" s="9" t="inlineStr">
        <is>
          <t>Thấp</t>
        </is>
      </c>
      <c r="D479" s="10" t="inlineStr">
        <is>
          <t>ATM Vietcombank – PGD Đăk Đoa</t>
        </is>
      </c>
      <c r="E479" s="9" t="inlineStr">
        <is>
          <t>ATM</t>
        </is>
      </c>
      <c r="F479" s="9" t="inlineStr">
        <is>
          <t>Website Vietcombank</t>
        </is>
      </c>
      <c r="G479" s="10" t="inlineStr">
        <is>
          <t>259 Nguyễn Huệ, Đăk Đoa, Gia Lai, Xã Đak Đoa, Gia Lai</t>
        </is>
      </c>
      <c r="H479" s="9" t="inlineStr">
        <is>
          <t>Xã Đak Đoa</t>
        </is>
      </c>
      <c r="I479" s="11" t="n">
        <v>13.994319</v>
      </c>
      <c r="J479" s="11" t="n">
        <v>108.112771</v>
      </c>
      <c r="K479" s="9" t="inlineStr">
        <is>
          <t>Đã đối chiếu</t>
        </is>
      </c>
      <c r="L479" s="10" t="n"/>
      <c r="M479" s="12" t="inlineStr">
        <is>
          <t>Bản đồ</t>
        </is>
      </c>
      <c r="N479" s="13" t="n"/>
      <c r="O479" s="14" t="n"/>
      <c r="P479" s="14" t="n"/>
      <c r="Q479" s="13" t="n"/>
      <c r="R479" s="15" t="n"/>
      <c r="S479" s="13" t="n"/>
      <c r="T479" s="13" t="n"/>
      <c r="U479" s="16">
        <f>IF(AND(ISNUMBER(O479),ISNUMBER(P479)),ROUND(SQRT(((P479-J479)*111320*COS(RADIANS(I479)))^2+((O479-I479)*110540)^2),0),"")</f>
        <v/>
      </c>
      <c r="V479" s="17">
        <f>IF(N479="","",IF(N479="Sửa vị trí",IF(OR(O479="",P479=""),"Thiếu vĩ độ / kinh độ mới",IF(OR(O479&lt;12.5,O479&gt;15,P479&lt;107,P479&gt;109.6),"Toạ độ ngoài Gia Lai (đảo vĩ/kinh độ?)",IF(Q479="","Chọn cách xác định",IF(U479&gt;20000,"Dời hơn 20 km – kiểm tra lại","OK")))),IF(AND(N479&lt;&gt;"Sửa vị trí",OR(O479&lt;&gt;"",P479&lt;&gt;"")),"Có toạ độ mới nhưng kết quả không phải Sửa vị trí","OK")))</f>
        <v/>
      </c>
    </row>
    <row r="480">
      <c r="A480" s="9" t="n">
        <v>476</v>
      </c>
      <c r="B480" s="9" t="inlineStr">
        <is>
          <t>175ce885-b32f-486c-bb61-837f8530ccc4</t>
        </is>
      </c>
      <c r="C480" s="9" t="inlineStr">
        <is>
          <t>Thấp</t>
        </is>
      </c>
      <c r="D480" s="10" t="inlineStr">
        <is>
          <t>Smartbank Đak Đoa (MB)</t>
        </is>
      </c>
      <c r="E480" s="9" t="inlineStr">
        <is>
          <t>ATM</t>
        </is>
      </c>
      <c r="F480" s="9" t="inlineStr">
        <is>
          <t>Trang bản đồ MB</t>
        </is>
      </c>
      <c r="G480" s="10" t="inlineStr">
        <is>
          <t>TDP 4, xã Đak Đoa, tỉnh Gia Lai, Xã Đak Đoa, Gia Lai</t>
        </is>
      </c>
      <c r="H480" s="9" t="inlineStr">
        <is>
          <t>Xã Đak Đoa</t>
        </is>
      </c>
      <c r="I480" s="11" t="n">
        <v>13.99515</v>
      </c>
      <c r="J480" s="11" t="n">
        <v>108.114456</v>
      </c>
      <c r="K480" s="9" t="inlineStr">
        <is>
          <t>Đã đối chiếu</t>
        </is>
      </c>
      <c r="L480" s="10" t="n"/>
      <c r="M480" s="12" t="inlineStr">
        <is>
          <t>Bản đồ</t>
        </is>
      </c>
      <c r="N480" s="13" t="n"/>
      <c r="O480" s="14" t="n"/>
      <c r="P480" s="14" t="n"/>
      <c r="Q480" s="13" t="n"/>
      <c r="R480" s="15" t="n"/>
      <c r="S480" s="13" t="n"/>
      <c r="T480" s="13" t="n"/>
      <c r="U480" s="16">
        <f>IF(AND(ISNUMBER(O480),ISNUMBER(P480)),ROUND(SQRT(((P480-J480)*111320*COS(RADIANS(I480)))^2+((O480-I480)*110540)^2),0),"")</f>
        <v/>
      </c>
      <c r="V480" s="17">
        <f>IF(N480="","",IF(N480="Sửa vị trí",IF(OR(O480="",P480=""),"Thiếu vĩ độ / kinh độ mới",IF(OR(O480&lt;12.5,O480&gt;15,P480&lt;107,P480&gt;109.6),"Toạ độ ngoài Gia Lai (đảo vĩ/kinh độ?)",IF(Q480="","Chọn cách xác định",IF(U480&gt;20000,"Dời hơn 20 km – kiểm tra lại","OK")))),IF(AND(N480&lt;&gt;"Sửa vị trí",OR(O480&lt;&gt;"",P480&lt;&gt;"")),"Có toạ độ mới nhưng kết quả không phải Sửa vị trí","OK")))</f>
        <v/>
      </c>
    </row>
    <row r="481">
      <c r="A481" s="9" t="n">
        <v>477</v>
      </c>
      <c r="B481" s="9" t="inlineStr">
        <is>
          <t>4968dedc-d78c-8b69-90b2-80c5743a4533</t>
        </is>
      </c>
      <c r="C481" s="9" t="inlineStr">
        <is>
          <t>Thấp</t>
        </is>
      </c>
      <c r="D481" s="10" t="inlineStr">
        <is>
          <t>ATM PGD Đề Gi, Cát Minh, Phù Cát, Bình Định (Agribank)</t>
        </is>
      </c>
      <c r="E481" s="9" t="inlineStr">
        <is>
          <t>ATM</t>
        </is>
      </c>
      <c r="F481" s="9" t="inlineStr">
        <is>
          <t>Website Agribank</t>
        </is>
      </c>
      <c r="G481" s="10" t="inlineStr">
        <is>
          <t>PGD Đề Gi, Cát Minh, Phù Cát, Bình Định, Xã Đề Gi, Gia Lai</t>
        </is>
      </c>
      <c r="H481" s="9" t="inlineStr">
        <is>
          <t>Xã Đề Gi</t>
        </is>
      </c>
      <c r="I481" s="11" t="n">
        <v>14.112173</v>
      </c>
      <c r="J481" s="11" t="n">
        <v>109.144049</v>
      </c>
      <c r="K481" s="9" t="inlineStr">
        <is>
          <t>Đã đối chiếu</t>
        </is>
      </c>
      <c r="L481" s="10" t="n"/>
      <c r="M481" s="12" t="inlineStr">
        <is>
          <t>Bản đồ</t>
        </is>
      </c>
      <c r="N481" s="13" t="n"/>
      <c r="O481" s="14" t="n"/>
      <c r="P481" s="14" t="n"/>
      <c r="Q481" s="13" t="n"/>
      <c r="R481" s="15" t="n"/>
      <c r="S481" s="13" t="n"/>
      <c r="T481" s="13" t="n"/>
      <c r="U481" s="16">
        <f>IF(AND(ISNUMBER(O481),ISNUMBER(P481)),ROUND(SQRT(((P481-J481)*111320*COS(RADIANS(I481)))^2+((O481-I481)*110540)^2),0),"")</f>
        <v/>
      </c>
      <c r="V481" s="17">
        <f>IF(N481="","",IF(N481="Sửa vị trí",IF(OR(O481="",P481=""),"Thiếu vĩ độ / kinh độ mới",IF(OR(O481&lt;12.5,O481&gt;15,P481&lt;107,P481&gt;109.6),"Toạ độ ngoài Gia Lai (đảo vĩ/kinh độ?)",IF(Q481="","Chọn cách xác định",IF(U481&gt;20000,"Dời hơn 20 km – kiểm tra lại","OK")))),IF(AND(N481&lt;&gt;"Sửa vị trí",OR(O481&lt;&gt;"",P481&lt;&gt;"")),"Có toạ độ mới nhưng kết quả không phải Sửa vị trí","OK")))</f>
        <v/>
      </c>
    </row>
    <row r="482">
      <c r="A482" s="9" t="n">
        <v>478</v>
      </c>
      <c r="B482" s="9" t="inlineStr">
        <is>
          <t>91985793-0633-e6e5-6043-cc41654f9bfe</t>
        </is>
      </c>
      <c r="C482" s="9" t="inlineStr">
        <is>
          <t>Thấp</t>
        </is>
      </c>
      <c r="D482" s="10" t="inlineStr">
        <is>
          <t>ATM 112 Quang Trung, Xa Duc Co, Tinh Gia Lai (Agribank)</t>
        </is>
      </c>
      <c r="E482" s="9" t="inlineStr">
        <is>
          <t>ATM</t>
        </is>
      </c>
      <c r="F482" s="9" t="inlineStr">
        <is>
          <t>Website Agribank</t>
        </is>
      </c>
      <c r="G482" s="10" t="inlineStr">
        <is>
          <t>112 Quang Trung, Xa Duc Co, Tinh Gia Lai, Xã Đức Cơ, Gia Lai</t>
        </is>
      </c>
      <c r="H482" s="9" t="inlineStr">
        <is>
          <t>Xã Đức Cơ</t>
        </is>
      </c>
      <c r="I482" s="11" t="n">
        <v>13.80965</v>
      </c>
      <c r="J482" s="11" t="n">
        <v>107.702965</v>
      </c>
      <c r="K482" s="9" t="inlineStr">
        <is>
          <t>Đã đối chiếu</t>
        </is>
      </c>
      <c r="L482" s="10" t="n"/>
      <c r="M482" s="12" t="inlineStr">
        <is>
          <t>Bản đồ</t>
        </is>
      </c>
      <c r="N482" s="13" t="n"/>
      <c r="O482" s="14" t="n"/>
      <c r="P482" s="14" t="n"/>
      <c r="Q482" s="13" t="n"/>
      <c r="R482" s="15" t="n"/>
      <c r="S482" s="13" t="n"/>
      <c r="T482" s="13" t="n"/>
      <c r="U482" s="16">
        <f>IF(AND(ISNUMBER(O482),ISNUMBER(P482)),ROUND(SQRT(((P482-J482)*111320*COS(RADIANS(I482)))^2+((O482-I482)*110540)^2),0),"")</f>
        <v/>
      </c>
      <c r="V482" s="17">
        <f>IF(N482="","",IF(N482="Sửa vị trí",IF(OR(O482="",P482=""),"Thiếu vĩ độ / kinh độ mới",IF(OR(O482&lt;12.5,O482&gt;15,P482&lt;107,P482&gt;109.6),"Toạ độ ngoài Gia Lai (đảo vĩ/kinh độ?)",IF(Q482="","Chọn cách xác định",IF(U482&gt;20000,"Dời hơn 20 km – kiểm tra lại","OK")))),IF(AND(N482&lt;&gt;"Sửa vị trí",OR(O482&lt;&gt;"",P482&lt;&gt;"")),"Có toạ độ mới nhưng kết quả không phải Sửa vị trí","OK")))</f>
        <v/>
      </c>
    </row>
    <row r="483">
      <c r="A483" s="9" t="n">
        <v>479</v>
      </c>
      <c r="B483" s="9" t="inlineStr">
        <is>
          <t>4464e342-7bc6-62f6-d99c-c35ce4dbe5e2</t>
        </is>
      </c>
      <c r="C483" s="9" t="inlineStr">
        <is>
          <t>Thấp</t>
        </is>
      </c>
      <c r="D483" s="10" t="inlineStr">
        <is>
          <t>ATM 112 Quang Trung, Xa Duc Co, Tinh Gia Lai (Agribank)</t>
        </is>
      </c>
      <c r="E483" s="9" t="inlineStr">
        <is>
          <t>ATM</t>
        </is>
      </c>
      <c r="F483" s="9" t="inlineStr">
        <is>
          <t>Website Agribank</t>
        </is>
      </c>
      <c r="G483" s="10" t="inlineStr">
        <is>
          <t>112 Quang Trung, Xa Duc Co, Tinh Gia Lai, Xã Đức Cơ, Gia Lai</t>
        </is>
      </c>
      <c r="H483" s="9" t="inlineStr">
        <is>
          <t>Xã Đức Cơ</t>
        </is>
      </c>
      <c r="I483" s="11" t="n">
        <v>13.80965</v>
      </c>
      <c r="J483" s="11" t="n">
        <v>107.702965</v>
      </c>
      <c r="K483" s="9" t="inlineStr">
        <is>
          <t>Đã đối chiếu</t>
        </is>
      </c>
      <c r="L483" s="10" t="n"/>
      <c r="M483" s="12" t="inlineStr">
        <is>
          <t>Bản đồ</t>
        </is>
      </c>
      <c r="N483" s="13" t="n"/>
      <c r="O483" s="14" t="n"/>
      <c r="P483" s="14" t="n"/>
      <c r="Q483" s="13" t="n"/>
      <c r="R483" s="15" t="n"/>
      <c r="S483" s="13" t="n"/>
      <c r="T483" s="13" t="n"/>
      <c r="U483" s="16">
        <f>IF(AND(ISNUMBER(O483),ISNUMBER(P483)),ROUND(SQRT(((P483-J483)*111320*COS(RADIANS(I483)))^2+((O483-I483)*110540)^2),0),"")</f>
        <v/>
      </c>
      <c r="V483" s="17">
        <f>IF(N483="","",IF(N483="Sửa vị trí",IF(OR(O483="",P483=""),"Thiếu vĩ độ / kinh độ mới",IF(OR(O483&lt;12.5,O483&gt;15,P483&lt;107,P483&gt;109.6),"Toạ độ ngoài Gia Lai (đảo vĩ/kinh độ?)",IF(Q483="","Chọn cách xác định",IF(U483&gt;20000,"Dời hơn 20 km – kiểm tra lại","OK")))),IF(AND(N483&lt;&gt;"Sửa vị trí",OR(O483&lt;&gt;"",P483&lt;&gt;"")),"Có toạ độ mới nhưng kết quả không phải Sửa vị trí","OK")))</f>
        <v/>
      </c>
    </row>
    <row r="484">
      <c r="A484" s="9" t="n">
        <v>480</v>
      </c>
      <c r="B484" s="9" t="inlineStr">
        <is>
          <t>605d31c7-fedc-0cde-3afa-285298544c4d</t>
        </is>
      </c>
      <c r="C484" s="9" t="inlineStr">
        <is>
          <t>Thấp</t>
        </is>
      </c>
      <c r="D484" s="10" t="inlineStr">
        <is>
          <t>ATM 547 Quang Trung, Xa Duc Co, Tinh Gia Lai (Agribank)</t>
        </is>
      </c>
      <c r="E484" s="9" t="inlineStr">
        <is>
          <t>ATM</t>
        </is>
      </c>
      <c r="F484" s="9" t="inlineStr">
        <is>
          <t>Website Agribank</t>
        </is>
      </c>
      <c r="G484" s="10" t="inlineStr">
        <is>
          <t>547 Quang Trung, Xa Duc Co, Tinh Gia Lai, Xã Đức Cơ, Gia Lai</t>
        </is>
      </c>
      <c r="H484" s="9" t="inlineStr">
        <is>
          <t>Xã Đức Cơ</t>
        </is>
      </c>
      <c r="I484" s="11" t="n">
        <v>13.799806</v>
      </c>
      <c r="J484" s="11" t="n">
        <v>107.693319</v>
      </c>
      <c r="K484" s="9" t="inlineStr">
        <is>
          <t>Đã đối chiếu</t>
        </is>
      </c>
      <c r="L484" s="10" t="n"/>
      <c r="M484" s="12" t="inlineStr">
        <is>
          <t>Bản đồ</t>
        </is>
      </c>
      <c r="N484" s="13" t="n"/>
      <c r="O484" s="14" t="n"/>
      <c r="P484" s="14" t="n"/>
      <c r="Q484" s="13" t="n"/>
      <c r="R484" s="15" t="n"/>
      <c r="S484" s="13" t="n"/>
      <c r="T484" s="13" t="n"/>
      <c r="U484" s="16">
        <f>IF(AND(ISNUMBER(O484),ISNUMBER(P484)),ROUND(SQRT(((P484-J484)*111320*COS(RADIANS(I484)))^2+((O484-I484)*110540)^2),0),"")</f>
        <v/>
      </c>
      <c r="V484" s="17">
        <f>IF(N484="","",IF(N484="Sửa vị trí",IF(OR(O484="",P484=""),"Thiếu vĩ độ / kinh độ mới",IF(OR(O484&lt;12.5,O484&gt;15,P484&lt;107,P484&gt;109.6),"Toạ độ ngoài Gia Lai (đảo vĩ/kinh độ?)",IF(Q484="","Chọn cách xác định",IF(U484&gt;20000,"Dời hơn 20 km – kiểm tra lại","OK")))),IF(AND(N484&lt;&gt;"Sửa vị trí",OR(O484&lt;&gt;"",P484&lt;&gt;"")),"Có toạ độ mới nhưng kết quả không phải Sửa vị trí","OK")))</f>
        <v/>
      </c>
    </row>
    <row r="485">
      <c r="A485" s="9" t="n">
        <v>481</v>
      </c>
      <c r="B485" s="9" t="inlineStr">
        <is>
          <t>a9325797-bdf5-ca7b-5108-bc1da75282dd</t>
        </is>
      </c>
      <c r="C485" s="9" t="inlineStr">
        <is>
          <t>Thấp</t>
        </is>
      </c>
      <c r="D485" s="10" t="inlineStr">
        <is>
          <t>ATM Vietcombank – PGD Đức Cơ</t>
        </is>
      </c>
      <c r="E485" s="9" t="inlineStr">
        <is>
          <t>ATM</t>
        </is>
      </c>
      <c r="F485" s="9" t="inlineStr">
        <is>
          <t>Website Vietcombank</t>
        </is>
      </c>
      <c r="G485" s="10" t="inlineStr">
        <is>
          <t>667 Quang Trung, Đức Cơ, Gia Lai, Xã Đức Cơ, Gia Lai</t>
        </is>
      </c>
      <c r="H485" s="9" t="inlineStr">
        <is>
          <t>Xã Đức Cơ</t>
        </is>
      </c>
      <c r="I485" s="11" t="n">
        <v>13.800253</v>
      </c>
      <c r="J485" s="11" t="n">
        <v>107.689215</v>
      </c>
      <c r="K485" s="9" t="inlineStr">
        <is>
          <t>Đã đối chiếu</t>
        </is>
      </c>
      <c r="L485" s="10" t="n"/>
      <c r="M485" s="12" t="inlineStr">
        <is>
          <t>Bản đồ</t>
        </is>
      </c>
      <c r="N485" s="13" t="n"/>
      <c r="O485" s="14" t="n"/>
      <c r="P485" s="14" t="n"/>
      <c r="Q485" s="13" t="n"/>
      <c r="R485" s="15" t="n"/>
      <c r="S485" s="13" t="n"/>
      <c r="T485" s="13" t="n"/>
      <c r="U485" s="16">
        <f>IF(AND(ISNUMBER(O485),ISNUMBER(P485)),ROUND(SQRT(((P485-J485)*111320*COS(RADIANS(I485)))^2+((O485-I485)*110540)^2),0),"")</f>
        <v/>
      </c>
      <c r="V485" s="17">
        <f>IF(N485="","",IF(N485="Sửa vị trí",IF(OR(O485="",P485=""),"Thiếu vĩ độ / kinh độ mới",IF(OR(O485&lt;12.5,O485&gt;15,P485&lt;107,P485&gt;109.6),"Toạ độ ngoài Gia Lai (đảo vĩ/kinh độ?)",IF(Q485="","Chọn cách xác định",IF(U485&gt;20000,"Dời hơn 20 km – kiểm tra lại","OK")))),IF(AND(N485&lt;&gt;"Sửa vị trí",OR(O485&lt;&gt;"",P485&lt;&gt;"")),"Có toạ độ mới nhưng kết quả không phải Sửa vị trí","OK")))</f>
        <v/>
      </c>
    </row>
    <row r="486">
      <c r="A486" s="9" t="n">
        <v>482</v>
      </c>
      <c r="B486" s="9" t="inlineStr">
        <is>
          <t>37393624-b721-441a-a136-dc5d81e5d9bc</t>
        </is>
      </c>
      <c r="C486" s="9" t="inlineStr">
        <is>
          <t>Thấp</t>
        </is>
      </c>
      <c r="D486" s="10" t="inlineStr">
        <is>
          <t>Chợ trung tâm thành phố Pleiku</t>
        </is>
      </c>
      <c r="E486" s="9" t="inlineStr">
        <is>
          <t>Chợ</t>
        </is>
      </c>
      <c r="F486" s="9" t="inlineStr">
        <is>
          <t>Dữ liệu gialai-travel</t>
        </is>
      </c>
      <c r="G486" s="10" t="inlineStr">
        <is>
          <t>49 Ngô Gia Tự, Diên Hồng, Gia Lai 600000, Việt Nam</t>
        </is>
      </c>
      <c r="H486" s="9" t="inlineStr">
        <is>
          <t>Phường Diên Hồng</t>
        </is>
      </c>
      <c r="I486" s="11" t="n">
        <v>13.978982</v>
      </c>
      <c r="J486" s="11" t="n">
        <v>107.996099</v>
      </c>
      <c r="K486" s="9" t="inlineStr">
        <is>
          <t>Đã đối chiếu</t>
        </is>
      </c>
      <c r="L486" s="10" t="n"/>
      <c r="M486" s="12" t="inlineStr">
        <is>
          <t>Bản đồ</t>
        </is>
      </c>
      <c r="N486" s="13" t="n"/>
      <c r="O486" s="14" t="n"/>
      <c r="P486" s="14" t="n"/>
      <c r="Q486" s="13" t="n"/>
      <c r="R486" s="15" t="n"/>
      <c r="S486" s="13" t="n"/>
      <c r="T486" s="13" t="n"/>
      <c r="U486" s="16">
        <f>IF(AND(ISNUMBER(O486),ISNUMBER(P486)),ROUND(SQRT(((P486-J486)*111320*COS(RADIANS(I486)))^2+((O486-I486)*110540)^2),0),"")</f>
        <v/>
      </c>
      <c r="V486" s="17">
        <f>IF(N486="","",IF(N486="Sửa vị trí",IF(OR(O486="",P486=""),"Thiếu vĩ độ / kinh độ mới",IF(OR(O486&lt;12.5,O486&gt;15,P486&lt;107,P486&gt;109.6),"Toạ độ ngoài Gia Lai (đảo vĩ/kinh độ?)",IF(Q486="","Chọn cách xác định",IF(U486&gt;20000,"Dời hơn 20 km – kiểm tra lại","OK")))),IF(AND(N486&lt;&gt;"Sửa vị trí",OR(O486&lt;&gt;"",P486&lt;&gt;"")),"Có toạ độ mới nhưng kết quả không phải Sửa vị trí","OK")))</f>
        <v/>
      </c>
    </row>
    <row r="487">
      <c r="A487" s="9" t="n">
        <v>483</v>
      </c>
      <c r="B487" s="9" t="inlineStr">
        <is>
          <t>586724c1-ff1e-4061-9516-87bb14d0c3b7</t>
        </is>
      </c>
      <c r="C487" s="9" t="inlineStr">
        <is>
          <t>Thấp</t>
        </is>
      </c>
      <c r="D487" s="10" t="inlineStr">
        <is>
          <t>Chợ Chư Sê</t>
        </is>
      </c>
      <c r="E487" s="9" t="inlineStr">
        <is>
          <t>Chợ</t>
        </is>
      </c>
      <c r="F487" s="9" t="inlineStr">
        <is>
          <t>Dữ liệu gialai-travel</t>
        </is>
      </c>
      <c r="G487" s="10" t="inlineStr">
        <is>
          <t>M3RH+G4P, AH17, Chư Sê, Gia Lai, Việt Nam</t>
        </is>
      </c>
      <c r="H487" s="9" t="inlineStr">
        <is>
          <t>Xã Chư Sê</t>
        </is>
      </c>
      <c r="I487" s="11" t="n">
        <v>13.691336</v>
      </c>
      <c r="J487" s="11" t="n">
        <v>108.077834</v>
      </c>
      <c r="K487" s="9" t="inlineStr">
        <is>
          <t>Đã đối chiếu</t>
        </is>
      </c>
      <c r="L487" s="10" t="n"/>
      <c r="M487" s="12" t="inlineStr">
        <is>
          <t>Bản đồ</t>
        </is>
      </c>
      <c r="N487" s="13" t="n"/>
      <c r="O487" s="14" t="n"/>
      <c r="P487" s="14" t="n"/>
      <c r="Q487" s="13" t="n"/>
      <c r="R487" s="15" t="n"/>
      <c r="S487" s="13" t="n"/>
      <c r="T487" s="13" t="n"/>
      <c r="U487" s="16">
        <f>IF(AND(ISNUMBER(O487),ISNUMBER(P487)),ROUND(SQRT(((P487-J487)*111320*COS(RADIANS(I487)))^2+((O487-I487)*110540)^2),0),"")</f>
        <v/>
      </c>
      <c r="V487" s="17">
        <f>IF(N487="","",IF(N487="Sửa vị trí",IF(OR(O487="",P487=""),"Thiếu vĩ độ / kinh độ mới",IF(OR(O487&lt;12.5,O487&gt;15,P487&lt;107,P487&gt;109.6),"Toạ độ ngoài Gia Lai (đảo vĩ/kinh độ?)",IF(Q487="","Chọn cách xác định",IF(U487&gt;20000,"Dời hơn 20 km – kiểm tra lại","OK")))),IF(AND(N487&lt;&gt;"Sửa vị trí",OR(O487&lt;&gt;"",P487&lt;&gt;"")),"Có toạ độ mới nhưng kết quả không phải Sửa vị trí","OK")))</f>
        <v/>
      </c>
    </row>
    <row r="488">
      <c r="A488" s="9" t="n">
        <v>484</v>
      </c>
      <c r="B488" s="9" t="inlineStr">
        <is>
          <t>a56f4a7b-14f8-4e56-a5a1-fd86b391a775</t>
        </is>
      </c>
      <c r="C488" s="9" t="inlineStr">
        <is>
          <t>Thấp</t>
        </is>
      </c>
      <c r="D488" s="10" t="inlineStr">
        <is>
          <t>Chợ Ia Grai</t>
        </is>
      </c>
      <c r="E488" s="9" t="inlineStr">
        <is>
          <t>Chợ</t>
        </is>
      </c>
      <c r="F488" s="9" t="inlineStr">
        <is>
          <t>Dữ liệu gialai-travel</t>
        </is>
      </c>
      <c r="G488" s="10" t="inlineStr">
        <is>
          <t>XR6Q+XX8, Hoàng Văn Thụ, Ia Grai, Gia Lai, Việt Nam</t>
        </is>
      </c>
      <c r="H488" s="9" t="inlineStr">
        <is>
          <t>Xã Ia Grai</t>
        </is>
      </c>
      <c r="I488" s="11" t="n">
        <v>13.962651</v>
      </c>
      <c r="J488" s="11" t="n">
        <v>107.840356</v>
      </c>
      <c r="K488" s="9" t="inlineStr">
        <is>
          <t>Đã đối chiếu</t>
        </is>
      </c>
      <c r="L488" s="10" t="n"/>
      <c r="M488" s="12" t="inlineStr">
        <is>
          <t>Bản đồ</t>
        </is>
      </c>
      <c r="N488" s="13" t="n"/>
      <c r="O488" s="14" t="n"/>
      <c r="P488" s="14" t="n"/>
      <c r="Q488" s="13" t="n"/>
      <c r="R488" s="15" t="n"/>
      <c r="S488" s="13" t="n"/>
      <c r="T488" s="13" t="n"/>
      <c r="U488" s="16">
        <f>IF(AND(ISNUMBER(O488),ISNUMBER(P488)),ROUND(SQRT(((P488-J488)*111320*COS(RADIANS(I488)))^2+((O488-I488)*110540)^2),0),"")</f>
        <v/>
      </c>
      <c r="V488" s="17">
        <f>IF(N488="","",IF(N488="Sửa vị trí",IF(OR(O488="",P488=""),"Thiếu vĩ độ / kinh độ mới",IF(OR(O488&lt;12.5,O488&gt;15,P488&lt;107,P488&gt;109.6),"Toạ độ ngoài Gia Lai (đảo vĩ/kinh độ?)",IF(Q488="","Chọn cách xác định",IF(U488&gt;20000,"Dời hơn 20 km – kiểm tra lại","OK")))),IF(AND(N488&lt;&gt;"Sửa vị trí",OR(O488&lt;&gt;"",P488&lt;&gt;"")),"Có toạ độ mới nhưng kết quả không phải Sửa vị trí","OK")))</f>
        <v/>
      </c>
    </row>
    <row r="489">
      <c r="A489" s="9" t="n">
        <v>485</v>
      </c>
      <c r="B489" s="9" t="inlineStr">
        <is>
          <t>6543a49a-532d-4dc7-863d-864c40669825</t>
        </is>
      </c>
      <c r="C489" s="9" t="inlineStr">
        <is>
          <t>Thấp</t>
        </is>
      </c>
      <c r="D489" s="10" t="inlineStr">
        <is>
          <t>Công Viên Diên Hồng</t>
        </is>
      </c>
      <c r="E489" s="9" t="inlineStr">
        <is>
          <t>Danh lam thắng cảnh</t>
        </is>
      </c>
      <c r="F489" s="9" t="inlineStr">
        <is>
          <t>Dữ liệu gialai-travel</t>
        </is>
      </c>
      <c r="G489" s="10" t="inlineStr">
        <is>
          <t>Ngã tư giao giữa đường Thống Nhất và Lê Lợi, Phường Diên Hồng, TP. Pleiku, tỉnh Gia Lai</t>
        </is>
      </c>
      <c r="H489" s="9" t="inlineStr">
        <is>
          <t>Phường Pleiku</t>
        </is>
      </c>
      <c r="I489" s="11" t="n">
        <v>13.968952</v>
      </c>
      <c r="J489" s="11" t="n">
        <v>107.997661</v>
      </c>
      <c r="K489" s="9" t="inlineStr">
        <is>
          <t>Đã đối chiếu</t>
        </is>
      </c>
      <c r="L489" s="10" t="n"/>
      <c r="M489" s="12" t="inlineStr">
        <is>
          <t>Bản đồ</t>
        </is>
      </c>
      <c r="N489" s="13" t="n"/>
      <c r="O489" s="14" t="n"/>
      <c r="P489" s="14" t="n"/>
      <c r="Q489" s="13" t="n"/>
      <c r="R489" s="15" t="n"/>
      <c r="S489" s="13" t="n"/>
      <c r="T489" s="13" t="n"/>
      <c r="U489" s="16">
        <f>IF(AND(ISNUMBER(O489),ISNUMBER(P489)),ROUND(SQRT(((P489-J489)*111320*COS(RADIANS(I489)))^2+((O489-I489)*110540)^2),0),"")</f>
        <v/>
      </c>
      <c r="V489" s="17">
        <f>IF(N489="","",IF(N489="Sửa vị trí",IF(OR(O489="",P489=""),"Thiếu vĩ độ / kinh độ mới",IF(OR(O489&lt;12.5,O489&gt;15,P489&lt;107,P489&gt;109.6),"Toạ độ ngoài Gia Lai (đảo vĩ/kinh độ?)",IF(Q489="","Chọn cách xác định",IF(U489&gt;20000,"Dời hơn 20 km – kiểm tra lại","OK")))),IF(AND(N489&lt;&gt;"Sửa vị trí",OR(O489&lt;&gt;"",P489&lt;&gt;"")),"Có toạ độ mới nhưng kết quả không phải Sửa vị trí","OK")))</f>
        <v/>
      </c>
    </row>
    <row r="490">
      <c r="A490" s="9" t="n">
        <v>486</v>
      </c>
      <c r="B490" s="9" t="inlineStr">
        <is>
          <t>92f6f9c1-675b-41c4-9716-5788acfa0b23</t>
        </is>
      </c>
      <c r="C490" s="9" t="inlineStr">
        <is>
          <t>Thấp</t>
        </is>
      </c>
      <c r="D490" s="10" t="inlineStr">
        <is>
          <t>Lake View Homestay</t>
        </is>
      </c>
      <c r="E490" s="9" t="inlineStr">
        <is>
          <t>Homestay</t>
        </is>
      </c>
      <c r="F490" s="9" t="inlineStr">
        <is>
          <t>Dữ liệu gialai-travel</t>
        </is>
      </c>
      <c r="G490" s="10" t="inlineStr">
        <is>
          <t>42-46B Đống Đa, Diên Hồng, Gia Lai 600000, Việt Nam</t>
        </is>
      </c>
      <c r="H490" s="9" t="inlineStr">
        <is>
          <t>Phường Diên Hồng</t>
        </is>
      </c>
      <c r="I490" s="11" t="n">
        <v>13.969587</v>
      </c>
      <c r="J490" s="11" t="n">
        <v>107.996284</v>
      </c>
      <c r="K490" s="9" t="inlineStr">
        <is>
          <t>Đã đối chiếu</t>
        </is>
      </c>
      <c r="L490" s="10" t="n"/>
      <c r="M490" s="12" t="inlineStr">
        <is>
          <t>Bản đồ</t>
        </is>
      </c>
      <c r="N490" s="13" t="n"/>
      <c r="O490" s="14" t="n"/>
      <c r="P490" s="14" t="n"/>
      <c r="Q490" s="13" t="n"/>
      <c r="R490" s="15" t="n"/>
      <c r="S490" s="13" t="n"/>
      <c r="T490" s="13" t="n"/>
      <c r="U490" s="16">
        <f>IF(AND(ISNUMBER(O490),ISNUMBER(P490)),ROUND(SQRT(((P490-J490)*111320*COS(RADIANS(I490)))^2+((O490-I490)*110540)^2),0),"")</f>
        <v/>
      </c>
      <c r="V490" s="17">
        <f>IF(N490="","",IF(N490="Sửa vị trí",IF(OR(O490="",P490=""),"Thiếu vĩ độ / kinh độ mới",IF(OR(O490&lt;12.5,O490&gt;15,P490&lt;107,P490&gt;109.6),"Toạ độ ngoài Gia Lai (đảo vĩ/kinh độ?)",IF(Q490="","Chọn cách xác định",IF(U490&gt;20000,"Dời hơn 20 km – kiểm tra lại","OK")))),IF(AND(N490&lt;&gt;"Sửa vị trí",OR(O490&lt;&gt;"",P490&lt;&gt;"")),"Có toạ độ mới nhưng kết quả không phải Sửa vị trí","OK")))</f>
        <v/>
      </c>
    </row>
    <row r="491">
      <c r="A491" s="9" t="n">
        <v>487</v>
      </c>
      <c r="B491" s="9" t="inlineStr">
        <is>
          <t>3b5e8f68-1973-1001-3383-eb36b5d0c638</t>
        </is>
      </c>
      <c r="C491" s="9" t="inlineStr">
        <is>
          <t>Thấp</t>
        </is>
      </c>
      <c r="D491" s="10" t="inlineStr">
        <is>
          <t>MB – MB An Khê</t>
        </is>
      </c>
      <c r="E491" s="9" t="inlineStr">
        <is>
          <t>Ngân hàng</t>
        </is>
      </c>
      <c r="F491" s="9" t="inlineStr">
        <is>
          <t>Trang bản đồ MB</t>
        </is>
      </c>
      <c r="G491" s="10" t="inlineStr">
        <is>
          <t>Số 1333A Quang Trung, phường An Khê, tỉnh Gia Lai, Phường An Khê, Gia Lai</t>
        </is>
      </c>
      <c r="H491" s="9" t="inlineStr">
        <is>
          <t>Phường An Khê</t>
        </is>
      </c>
      <c r="I491" s="11" t="n">
        <v>13.952124</v>
      </c>
      <c r="J491" s="11" t="n">
        <v>108.657912</v>
      </c>
      <c r="K491" s="9" t="inlineStr">
        <is>
          <t>Đã đối chiếu</t>
        </is>
      </c>
      <c r="L491" s="10" t="n"/>
      <c r="M491" s="12" t="inlineStr">
        <is>
          <t>Bản đồ</t>
        </is>
      </c>
      <c r="N491" s="13" t="n"/>
      <c r="O491" s="14" t="n"/>
      <c r="P491" s="14" t="n"/>
      <c r="Q491" s="13" t="n"/>
      <c r="R491" s="15" t="n"/>
      <c r="S491" s="13" t="n"/>
      <c r="T491" s="13" t="n"/>
      <c r="U491" s="16">
        <f>IF(AND(ISNUMBER(O491),ISNUMBER(P491)),ROUND(SQRT(((P491-J491)*111320*COS(RADIANS(I491)))^2+((O491-I491)*110540)^2),0),"")</f>
        <v/>
      </c>
      <c r="V491" s="17">
        <f>IF(N491="","",IF(N491="Sửa vị trí",IF(OR(O491="",P491=""),"Thiếu vĩ độ / kinh độ mới",IF(OR(O491&lt;12.5,O491&gt;15,P491&lt;107,P491&gt;109.6),"Toạ độ ngoài Gia Lai (đảo vĩ/kinh độ?)",IF(Q491="","Chọn cách xác định",IF(U491&gt;20000,"Dời hơn 20 km – kiểm tra lại","OK")))),IF(AND(N491&lt;&gt;"Sửa vị trí",OR(O491&lt;&gt;"",P491&lt;&gt;"")),"Có toạ độ mới nhưng kết quả không phải Sửa vị trí","OK")))</f>
        <v/>
      </c>
    </row>
    <row r="492">
      <c r="A492" s="9" t="n">
        <v>488</v>
      </c>
      <c r="B492" s="9" t="inlineStr">
        <is>
          <t>6878480c-b34b-ea5b-d256-89831354b4c5</t>
        </is>
      </c>
      <c r="C492" s="9" t="inlineStr">
        <is>
          <t>Thấp</t>
        </is>
      </c>
      <c r="D492" s="10" t="inlineStr">
        <is>
          <t>Vietcombank – Bắc Gia Lai - PGD An Khê</t>
        </is>
      </c>
      <c r="E492" s="9" t="inlineStr">
        <is>
          <t>Ngân hàng</t>
        </is>
      </c>
      <c r="F492" s="9" t="inlineStr">
        <is>
          <t>Website Vietcombank</t>
        </is>
      </c>
      <c r="G492" s="10" t="inlineStr">
        <is>
          <t>01 Hai Bà Trưng, Phường An Khê, Tỉnh Gia Lai, Phường An Khê, Gia Lai</t>
        </is>
      </c>
      <c r="H492" s="9" t="inlineStr">
        <is>
          <t>Phường An Khê</t>
        </is>
      </c>
      <c r="I492" s="11" t="n">
        <v>13.953329</v>
      </c>
      <c r="J492" s="11" t="n">
        <v>108.658874</v>
      </c>
      <c r="K492" s="9" t="inlineStr">
        <is>
          <t>Đã đối chiếu</t>
        </is>
      </c>
      <c r="L492" s="10" t="n"/>
      <c r="M492" s="12" t="inlineStr">
        <is>
          <t>Bản đồ</t>
        </is>
      </c>
      <c r="N492" s="13" t="n"/>
      <c r="O492" s="14" t="n"/>
      <c r="P492" s="14" t="n"/>
      <c r="Q492" s="13" t="n"/>
      <c r="R492" s="15" t="n"/>
      <c r="S492" s="13" t="n"/>
      <c r="T492" s="13" t="n"/>
      <c r="U492" s="16">
        <f>IF(AND(ISNUMBER(O492),ISNUMBER(P492)),ROUND(SQRT(((P492-J492)*111320*COS(RADIANS(I492)))^2+((O492-I492)*110540)^2),0),"")</f>
        <v/>
      </c>
      <c r="V492" s="17">
        <f>IF(N492="","",IF(N492="Sửa vị trí",IF(OR(O492="",P492=""),"Thiếu vĩ độ / kinh độ mới",IF(OR(O492&lt;12.5,O492&gt;15,P492&lt;107,P492&gt;109.6),"Toạ độ ngoài Gia Lai (đảo vĩ/kinh độ?)",IF(Q492="","Chọn cách xác định",IF(U492&gt;20000,"Dời hơn 20 km – kiểm tra lại","OK")))),IF(AND(N492&lt;&gt;"Sửa vị trí",OR(O492&lt;&gt;"",P492&lt;&gt;"")),"Có toạ độ mới nhưng kết quả không phải Sửa vị trí","OK")))</f>
        <v/>
      </c>
    </row>
    <row r="493">
      <c r="A493" s="9" t="n">
        <v>489</v>
      </c>
      <c r="B493" s="9" t="inlineStr">
        <is>
          <t>47fdc049-aa44-6457-43c2-ba56ffaaf08f</t>
        </is>
      </c>
      <c r="C493" s="9" t="inlineStr">
        <is>
          <t>Thấp</t>
        </is>
      </c>
      <c r="D493" s="10" t="inlineStr">
        <is>
          <t>Agribank – Chi nhánh An Nhơn Bình Định - Phòng giao dịch Đập Đá</t>
        </is>
      </c>
      <c r="E493" s="9" t="inlineStr">
        <is>
          <t>Ngân hàng</t>
        </is>
      </c>
      <c r="F493" s="9" t="inlineStr">
        <is>
          <t>Website Agribank</t>
        </is>
      </c>
      <c r="G493" s="10" t="inlineStr">
        <is>
          <t>Lô A51-A52, Khu dân cư Đông Bàn Thành, phường An Nhơn, tỉnh Gia Lai, Việt Nam., Phường An Nhơn, Gia Lai</t>
        </is>
      </c>
      <c r="H493" s="9" t="inlineStr">
        <is>
          <t>Phường An Nhơn</t>
        </is>
      </c>
      <c r="I493" s="11" t="n">
        <v>13.924588</v>
      </c>
      <c r="J493" s="11" t="n">
        <v>109.089076</v>
      </c>
      <c r="K493" s="9" t="inlineStr">
        <is>
          <t>Đã đối chiếu</t>
        </is>
      </c>
      <c r="L493" s="10" t="n"/>
      <c r="M493" s="12" t="inlineStr">
        <is>
          <t>Bản đồ</t>
        </is>
      </c>
      <c r="N493" s="13" t="n"/>
      <c r="O493" s="14" t="n"/>
      <c r="P493" s="14" t="n"/>
      <c r="Q493" s="13" t="n"/>
      <c r="R493" s="15" t="n"/>
      <c r="S493" s="13" t="n"/>
      <c r="T493" s="13" t="n"/>
      <c r="U493" s="16">
        <f>IF(AND(ISNUMBER(O493),ISNUMBER(P493)),ROUND(SQRT(((P493-J493)*111320*COS(RADIANS(I493)))^2+((O493-I493)*110540)^2),0),"")</f>
        <v/>
      </c>
      <c r="V493" s="17">
        <f>IF(N493="","",IF(N493="Sửa vị trí",IF(OR(O493="",P493=""),"Thiếu vĩ độ / kinh độ mới",IF(OR(O493&lt;12.5,O493&gt;15,P493&lt;107,P493&gt;109.6),"Toạ độ ngoài Gia Lai (đảo vĩ/kinh độ?)",IF(Q493="","Chọn cách xác định",IF(U493&gt;20000,"Dời hơn 20 km – kiểm tra lại","OK")))),IF(AND(N493&lt;&gt;"Sửa vị trí",OR(O493&lt;&gt;"",P493&lt;&gt;"")),"Có toạ độ mới nhưng kết quả không phải Sửa vị trí","OK")))</f>
        <v/>
      </c>
    </row>
    <row r="494">
      <c r="A494" s="9" t="n">
        <v>490</v>
      </c>
      <c r="B494" s="9" t="inlineStr">
        <is>
          <t>3d715262-82cf-c42a-30ed-0f949a688a82</t>
        </is>
      </c>
      <c r="C494" s="9" t="inlineStr">
        <is>
          <t>Thấp</t>
        </is>
      </c>
      <c r="D494" s="10" t="inlineStr">
        <is>
          <t>MB – MB An Nhơn</t>
        </is>
      </c>
      <c r="E494" s="9" t="inlineStr">
        <is>
          <t>Ngân hàng</t>
        </is>
      </c>
      <c r="F494" s="9" t="inlineStr">
        <is>
          <t>Trang bản đồ MB</t>
        </is>
      </c>
      <c r="G494" s="10" t="inlineStr">
        <is>
          <t>Số 86 - 88 Ngô Gia Tự, phường Bình Định, thị xã An Nhơn, tỉnh Bình Định, Phường Bình Định, Gia Lai</t>
        </is>
      </c>
      <c r="H494" s="9" t="inlineStr">
        <is>
          <t>Phường Bình Định</t>
        </is>
      </c>
      <c r="I494" s="11" t="n">
        <v>13.888668</v>
      </c>
      <c r="J494" s="11" t="n">
        <v>109.117616</v>
      </c>
      <c r="K494" s="9" t="inlineStr">
        <is>
          <t>Đã đối chiếu</t>
        </is>
      </c>
      <c r="L494" s="10" t="n"/>
      <c r="M494" s="12" t="inlineStr">
        <is>
          <t>Bản đồ</t>
        </is>
      </c>
      <c r="N494" s="13" t="n"/>
      <c r="O494" s="14" t="n"/>
      <c r="P494" s="14" t="n"/>
      <c r="Q494" s="13" t="n"/>
      <c r="R494" s="15" t="n"/>
      <c r="S494" s="13" t="n"/>
      <c r="T494" s="13" t="n"/>
      <c r="U494" s="16">
        <f>IF(AND(ISNUMBER(O494),ISNUMBER(P494)),ROUND(SQRT(((P494-J494)*111320*COS(RADIANS(I494)))^2+((O494-I494)*110540)^2),0),"")</f>
        <v/>
      </c>
      <c r="V494" s="17">
        <f>IF(N494="","",IF(N494="Sửa vị trí",IF(OR(O494="",P494=""),"Thiếu vĩ độ / kinh độ mới",IF(OR(O494&lt;12.5,O494&gt;15,P494&lt;107,P494&gt;109.6),"Toạ độ ngoài Gia Lai (đảo vĩ/kinh độ?)",IF(Q494="","Chọn cách xác định",IF(U494&gt;20000,"Dời hơn 20 km – kiểm tra lại","OK")))),IF(AND(N494&lt;&gt;"Sửa vị trí",OR(O494&lt;&gt;"",P494&lt;&gt;"")),"Có toạ độ mới nhưng kết quả không phải Sửa vị trí","OK")))</f>
        <v/>
      </c>
    </row>
    <row r="495">
      <c r="A495" s="9" t="n">
        <v>491</v>
      </c>
      <c r="B495" s="9" t="inlineStr">
        <is>
          <t>0d4d9344-f7de-1c1f-16fb-08d4c20c1d39</t>
        </is>
      </c>
      <c r="C495" s="9" t="inlineStr">
        <is>
          <t>Thấp</t>
        </is>
      </c>
      <c r="D495" s="10" t="inlineStr">
        <is>
          <t>Vietcombank – Quy Nhơn - PGD An Nhơn</t>
        </is>
      </c>
      <c r="E495" s="9" t="inlineStr">
        <is>
          <t>Ngân hàng</t>
        </is>
      </c>
      <c r="F495" s="9" t="inlineStr">
        <is>
          <t>Website Vietcombank</t>
        </is>
      </c>
      <c r="G495" s="10" t="inlineStr">
        <is>
          <t>Số 194 - 196 Ngô Gia Tự, phường Bình Định, tỉnh Gia Lai, Phường Bình Định, Gia Lai</t>
        </is>
      </c>
      <c r="H495" s="9" t="inlineStr">
        <is>
          <t>Phường Bình Định</t>
        </is>
      </c>
      <c r="I495" s="11" t="n">
        <v>13.888947</v>
      </c>
      <c r="J495" s="11" t="n">
        <v>109.114903</v>
      </c>
      <c r="K495" s="9" t="inlineStr">
        <is>
          <t>Đã đối chiếu</t>
        </is>
      </c>
      <c r="L495" s="10" t="n"/>
      <c r="M495" s="12" t="inlineStr">
        <is>
          <t>Bản đồ</t>
        </is>
      </c>
      <c r="N495" s="13" t="n"/>
      <c r="O495" s="14" t="n"/>
      <c r="P495" s="14" t="n"/>
      <c r="Q495" s="13" t="n"/>
      <c r="R495" s="15" t="n"/>
      <c r="S495" s="13" t="n"/>
      <c r="T495" s="13" t="n"/>
      <c r="U495" s="16">
        <f>IF(AND(ISNUMBER(O495),ISNUMBER(P495)),ROUND(SQRT(((P495-J495)*111320*COS(RADIANS(I495)))^2+((O495-I495)*110540)^2),0),"")</f>
        <v/>
      </c>
      <c r="V495" s="17">
        <f>IF(N495="","",IF(N495="Sửa vị trí",IF(OR(O495="",P495=""),"Thiếu vĩ độ / kinh độ mới",IF(OR(O495&lt;12.5,O495&gt;15,P495&lt;107,P495&gt;109.6),"Toạ độ ngoài Gia Lai (đảo vĩ/kinh độ?)",IF(Q495="","Chọn cách xác định",IF(U495&gt;20000,"Dời hơn 20 km – kiểm tra lại","OK")))),IF(AND(N495&lt;&gt;"Sửa vị trí",OR(O495&lt;&gt;"",P495&lt;&gt;"")),"Có toạ độ mới nhưng kết quả không phải Sửa vị trí","OK")))</f>
        <v/>
      </c>
    </row>
    <row r="496">
      <c r="A496" s="9" t="n">
        <v>492</v>
      </c>
      <c r="B496" s="9" t="inlineStr">
        <is>
          <t>2f4fd490-bfbb-ba58-545e-a79db9d0a5f5</t>
        </is>
      </c>
      <c r="C496" s="9" t="inlineStr">
        <is>
          <t>Thấp</t>
        </is>
      </c>
      <c r="D496" s="10" t="inlineStr">
        <is>
          <t>MB – MB Hoài Nhơn</t>
        </is>
      </c>
      <c r="E496" s="9" t="inlineStr">
        <is>
          <t>Ngân hàng</t>
        </is>
      </c>
      <c r="F496" s="9" t="inlineStr">
        <is>
          <t>Trang bản đồ MB</t>
        </is>
      </c>
      <c r="G496" s="10" t="inlineStr">
        <is>
          <t>Số 2669-2671 đường Quang Trung, phường Bồng Sơn, thị xã Hoài Nhơn, tỉnh Bình Định, Phường Bồng Sơn, Gia Lai</t>
        </is>
      </c>
      <c r="H496" s="9" t="inlineStr">
        <is>
          <t>Phường Bồng Sơn</t>
        </is>
      </c>
      <c r="I496" s="11" t="n">
        <v>14.43669</v>
      </c>
      <c r="J496" s="11" t="n">
        <v>109.018122</v>
      </c>
      <c r="K496" s="9" t="inlineStr">
        <is>
          <t>Đã đối chiếu</t>
        </is>
      </c>
      <c r="L496" s="10" t="n"/>
      <c r="M496" s="12" t="inlineStr">
        <is>
          <t>Bản đồ</t>
        </is>
      </c>
      <c r="N496" s="13" t="n"/>
      <c r="O496" s="14" t="n"/>
      <c r="P496" s="14" t="n"/>
      <c r="Q496" s="13" t="n"/>
      <c r="R496" s="15" t="n"/>
      <c r="S496" s="13" t="n"/>
      <c r="T496" s="13" t="n"/>
      <c r="U496" s="16">
        <f>IF(AND(ISNUMBER(O496),ISNUMBER(P496)),ROUND(SQRT(((P496-J496)*111320*COS(RADIANS(I496)))^2+((O496-I496)*110540)^2),0),"")</f>
        <v/>
      </c>
      <c r="V496" s="17">
        <f>IF(N496="","",IF(N496="Sửa vị trí",IF(OR(O496="",P496=""),"Thiếu vĩ độ / kinh độ mới",IF(OR(O496&lt;12.5,O496&gt;15,P496&lt;107,P496&gt;109.6),"Toạ độ ngoài Gia Lai (đảo vĩ/kinh độ?)",IF(Q496="","Chọn cách xác định",IF(U496&gt;20000,"Dời hơn 20 km – kiểm tra lại","OK")))),IF(AND(N496&lt;&gt;"Sửa vị trí",OR(O496&lt;&gt;"",P496&lt;&gt;"")),"Có toạ độ mới nhưng kết quả không phải Sửa vị trí","OK")))</f>
        <v/>
      </c>
    </row>
    <row r="497">
      <c r="A497" s="9" t="n">
        <v>493</v>
      </c>
      <c r="B497" s="9" t="inlineStr">
        <is>
          <t>f4d9dfb5-b4a6-82c7-4d59-eca8eb51079a</t>
        </is>
      </c>
      <c r="C497" s="9" t="inlineStr">
        <is>
          <t>Thấp</t>
        </is>
      </c>
      <c r="D497" s="10" t="inlineStr">
        <is>
          <t>Vietcombank – Bình Định - PGD Bồng Sơn</t>
        </is>
      </c>
      <c r="E497" s="9" t="inlineStr">
        <is>
          <t>Ngân hàng</t>
        </is>
      </c>
      <c r="F497" s="9" t="inlineStr">
        <is>
          <t>Website Vietcombank</t>
        </is>
      </c>
      <c r="G497" s="10" t="inlineStr">
        <is>
          <t>Số 3314-3316-3318 đường Quang Trung, phường Bồng Sơn, tỉnh Gia Lai, Phường Bồng Sơn, Gia Lai</t>
        </is>
      </c>
      <c r="H497" s="9" t="inlineStr">
        <is>
          <t>Phường Bồng Sơn</t>
        </is>
      </c>
      <c r="I497" s="11" t="n">
        <v>14.43015</v>
      </c>
      <c r="J497" s="11" t="n">
        <v>109.0147</v>
      </c>
      <c r="K497" s="9" t="inlineStr">
        <is>
          <t>Đã đối chiếu</t>
        </is>
      </c>
      <c r="L497" s="10" t="n"/>
      <c r="M497" s="12" t="inlineStr">
        <is>
          <t>Bản đồ</t>
        </is>
      </c>
      <c r="N497" s="13" t="n"/>
      <c r="O497" s="14" t="n"/>
      <c r="P497" s="14" t="n"/>
      <c r="Q497" s="13" t="n"/>
      <c r="R497" s="15" t="n"/>
      <c r="S497" s="13" t="n"/>
      <c r="T497" s="13" t="n"/>
      <c r="U497" s="16">
        <f>IF(AND(ISNUMBER(O497),ISNUMBER(P497)),ROUND(SQRT(((P497-J497)*111320*COS(RADIANS(I497)))^2+((O497-I497)*110540)^2),0),"")</f>
        <v/>
      </c>
      <c r="V497" s="17">
        <f>IF(N497="","",IF(N497="Sửa vị trí",IF(OR(O497="",P497=""),"Thiếu vĩ độ / kinh độ mới",IF(OR(O497&lt;12.5,O497&gt;15,P497&lt;107,P497&gt;109.6),"Toạ độ ngoài Gia Lai (đảo vĩ/kinh độ?)",IF(Q497="","Chọn cách xác định",IF(U497&gt;20000,"Dời hơn 20 km – kiểm tra lại","OK")))),IF(AND(N497&lt;&gt;"Sửa vị trí",OR(O497&lt;&gt;"",P497&lt;&gt;"")),"Có toạ độ mới nhưng kết quả không phải Sửa vị trí","OK")))</f>
        <v/>
      </c>
    </row>
    <row r="498">
      <c r="A498" s="9" t="n">
        <v>494</v>
      </c>
      <c r="B498" s="9" t="inlineStr">
        <is>
          <t>76a702a3-ec2f-da5e-0257-effbda7af25b</t>
        </is>
      </c>
      <c r="C498" s="9" t="inlineStr">
        <is>
          <t>Thấp</t>
        </is>
      </c>
      <c r="D498" s="10" t="inlineStr">
        <is>
          <t>Agribank – Chi nhánh Gia Lai</t>
        </is>
      </c>
      <c r="E498" s="9" t="inlineStr">
        <is>
          <t>Ngân hàng</t>
        </is>
      </c>
      <c r="F498" s="9" t="inlineStr">
        <is>
          <t>Website Agribank</t>
        </is>
      </c>
      <c r="G498" s="10" t="inlineStr">
        <is>
          <t>Số 25 Tăng Bạt Hổ, phường Diên Hồng, tỉnh Gia Lai, Việt Nam., Phường Diên Hồng, Gia Lai</t>
        </is>
      </c>
      <c r="H498" s="9" t="inlineStr">
        <is>
          <t>Phường Diên Hồng</t>
        </is>
      </c>
      <c r="I498" s="11" t="n">
        <v>13.979466</v>
      </c>
      <c r="J498" s="11" t="n">
        <v>107.993135</v>
      </c>
      <c r="K498" s="9" t="inlineStr">
        <is>
          <t>Đã đối chiếu</t>
        </is>
      </c>
      <c r="L498" s="10" t="n"/>
      <c r="M498" s="12" t="inlineStr">
        <is>
          <t>Bản đồ</t>
        </is>
      </c>
      <c r="N498" s="13" t="n"/>
      <c r="O498" s="14" t="n"/>
      <c r="P498" s="14" t="n"/>
      <c r="Q498" s="13" t="n"/>
      <c r="R498" s="15" t="n"/>
      <c r="S498" s="13" t="n"/>
      <c r="T498" s="13" t="n"/>
      <c r="U498" s="16">
        <f>IF(AND(ISNUMBER(O498),ISNUMBER(P498)),ROUND(SQRT(((P498-J498)*111320*COS(RADIANS(I498)))^2+((O498-I498)*110540)^2),0),"")</f>
        <v/>
      </c>
      <c r="V498" s="17">
        <f>IF(N498="","",IF(N498="Sửa vị trí",IF(OR(O498="",P498=""),"Thiếu vĩ độ / kinh độ mới",IF(OR(O498&lt;12.5,O498&gt;15,P498&lt;107,P498&gt;109.6),"Toạ độ ngoài Gia Lai (đảo vĩ/kinh độ?)",IF(Q498="","Chọn cách xác định",IF(U498&gt;20000,"Dời hơn 20 km – kiểm tra lại","OK")))),IF(AND(N498&lt;&gt;"Sửa vị trí",OR(O498&lt;&gt;"",P498&lt;&gt;"")),"Có toạ độ mới nhưng kết quả không phải Sửa vị trí","OK")))</f>
        <v/>
      </c>
    </row>
    <row r="499">
      <c r="A499" s="9" t="n">
        <v>495</v>
      </c>
      <c r="B499" s="9" t="inlineStr">
        <is>
          <t>3c1a8197-ae4b-754c-9dd8-8c4d82293f10</t>
        </is>
      </c>
      <c r="C499" s="9" t="inlineStr">
        <is>
          <t>Thấp</t>
        </is>
      </c>
      <c r="D499" s="10" t="inlineStr">
        <is>
          <t>Vietcombank – Bắc Gia Lai - PGD Pleiku</t>
        </is>
      </c>
      <c r="E499" s="9" t="inlineStr">
        <is>
          <t>Ngân hàng</t>
        </is>
      </c>
      <c r="F499" s="9" t="inlineStr">
        <is>
          <t>Website Vietcombank</t>
        </is>
      </c>
      <c r="G499" s="10" t="inlineStr">
        <is>
          <t>156 Hai Bà Trưng, Phường Diên Hồng, Tỉnh Gia Lai, Phường Diên Hồng, Gia Lai</t>
        </is>
      </c>
      <c r="H499" s="9" t="inlineStr">
        <is>
          <t>Phường Diên Hồng</t>
        </is>
      </c>
      <c r="I499" s="11" t="n">
        <v>13.97994</v>
      </c>
      <c r="J499" s="11" t="n">
        <v>107.99347</v>
      </c>
      <c r="K499" s="9" t="inlineStr">
        <is>
          <t>Đã đối chiếu</t>
        </is>
      </c>
      <c r="L499" s="10" t="n"/>
      <c r="M499" s="12" t="inlineStr">
        <is>
          <t>Bản đồ</t>
        </is>
      </c>
      <c r="N499" s="13" t="n"/>
      <c r="O499" s="14" t="n"/>
      <c r="P499" s="14" t="n"/>
      <c r="Q499" s="13" t="n"/>
      <c r="R499" s="15" t="n"/>
      <c r="S499" s="13" t="n"/>
      <c r="T499" s="13" t="n"/>
      <c r="U499" s="16">
        <f>IF(AND(ISNUMBER(O499),ISNUMBER(P499)),ROUND(SQRT(((P499-J499)*111320*COS(RADIANS(I499)))^2+((O499-I499)*110540)^2),0),"")</f>
        <v/>
      </c>
      <c r="V499" s="17">
        <f>IF(N499="","",IF(N499="Sửa vị trí",IF(OR(O499="",P499=""),"Thiếu vĩ độ / kinh độ mới",IF(OR(O499&lt;12.5,O499&gt;15,P499&lt;107,P499&gt;109.6),"Toạ độ ngoài Gia Lai (đảo vĩ/kinh độ?)",IF(Q499="","Chọn cách xác định",IF(U499&gt;20000,"Dời hơn 20 km – kiểm tra lại","OK")))),IF(AND(N499&lt;&gt;"Sửa vị trí",OR(O499&lt;&gt;"",P499&lt;&gt;"")),"Có toạ độ mới nhưng kết quả không phải Sửa vị trí","OK")))</f>
        <v/>
      </c>
    </row>
    <row r="500">
      <c r="A500" s="9" t="n">
        <v>496</v>
      </c>
      <c r="B500" s="9" t="inlineStr">
        <is>
          <t>23166802-2af6-d28c-a35d-343cf5cd677c</t>
        </is>
      </c>
      <c r="C500" s="9" t="inlineStr">
        <is>
          <t>Thấp</t>
        </is>
      </c>
      <c r="D500" s="10" t="inlineStr">
        <is>
          <t>Vietcombank – Gia Lai - PGD Hoa Lư</t>
        </is>
      </c>
      <c r="E500" s="9" t="inlineStr">
        <is>
          <t>Ngân hàng</t>
        </is>
      </c>
      <c r="F500" s="9" t="inlineStr">
        <is>
          <t>Website Vietcombank</t>
        </is>
      </c>
      <c r="G500" s="10" t="inlineStr">
        <is>
          <t>Số 56, đường Nguyễn Tất Thành, phường Pleiku, tỉnh Gia Lai, Phường Diên Hồng, Gia Lai</t>
        </is>
      </c>
      <c r="H500" s="9" t="inlineStr">
        <is>
          <t>Phường Diên Hồng</t>
        </is>
      </c>
      <c r="I500" s="11" t="n">
        <v>13.97994</v>
      </c>
      <c r="J500" s="11" t="n">
        <v>107.99347</v>
      </c>
      <c r="K500" s="9" t="inlineStr">
        <is>
          <t>Đã đối chiếu</t>
        </is>
      </c>
      <c r="L500" s="10" t="n"/>
      <c r="M500" s="12" t="inlineStr">
        <is>
          <t>Bản đồ</t>
        </is>
      </c>
      <c r="N500" s="13" t="n"/>
      <c r="O500" s="14" t="n"/>
      <c r="P500" s="14" t="n"/>
      <c r="Q500" s="13" t="n"/>
      <c r="R500" s="15" t="n"/>
      <c r="S500" s="13" t="n"/>
      <c r="T500" s="13" t="n"/>
      <c r="U500" s="16">
        <f>IF(AND(ISNUMBER(O500),ISNUMBER(P500)),ROUND(SQRT(((P500-J500)*111320*COS(RADIANS(I500)))^2+((O500-I500)*110540)^2),0),"")</f>
        <v/>
      </c>
      <c r="V500" s="17">
        <f>IF(N500="","",IF(N500="Sửa vị trí",IF(OR(O500="",P500=""),"Thiếu vĩ độ / kinh độ mới",IF(OR(O500&lt;12.5,O500&gt;15,P500&lt;107,P500&gt;109.6),"Toạ độ ngoài Gia Lai (đảo vĩ/kinh độ?)",IF(Q500="","Chọn cách xác định",IF(U500&gt;20000,"Dời hơn 20 km – kiểm tra lại","OK")))),IF(AND(N500&lt;&gt;"Sửa vị trí",OR(O500&lt;&gt;"",P500&lt;&gt;"")),"Có toạ độ mới nhưng kết quả không phải Sửa vị trí","OK")))</f>
        <v/>
      </c>
    </row>
    <row r="501">
      <c r="A501" s="9" t="n">
        <v>497</v>
      </c>
      <c r="B501" s="9" t="inlineStr">
        <is>
          <t>0ea15b4e-419f-0e4c-2fb8-d94e9b99e548</t>
        </is>
      </c>
      <c r="C501" s="9" t="inlineStr">
        <is>
          <t>Thấp</t>
        </is>
      </c>
      <c r="D501" s="10" t="inlineStr">
        <is>
          <t>MB – CN Gia Lai</t>
        </is>
      </c>
      <c r="E501" s="9" t="inlineStr">
        <is>
          <t>Ngân hàng</t>
        </is>
      </c>
      <c r="F501" s="9" t="inlineStr">
        <is>
          <t>Trang bản đồ MB</t>
        </is>
      </c>
      <c r="G501" s="10" t="inlineStr">
        <is>
          <t>Số 08 Lê Lai, phường Tây Sơn, thành phố Pleiku, tỉnh Gia Lai., Phường Pleiku, Gia Lai</t>
        </is>
      </c>
      <c r="H501" s="9" t="inlineStr">
        <is>
          <t>Phường Pleiku</t>
        </is>
      </c>
      <c r="I501" s="11" t="n">
        <v>13.977683</v>
      </c>
      <c r="J501" s="11" t="n">
        <v>107.9995</v>
      </c>
      <c r="K501" s="9" t="inlineStr">
        <is>
          <t>Đã đối chiếu</t>
        </is>
      </c>
      <c r="L501" s="10" t="n"/>
      <c r="M501" s="12" t="inlineStr">
        <is>
          <t>Bản đồ</t>
        </is>
      </c>
      <c r="N501" s="13" t="n"/>
      <c r="O501" s="14" t="n"/>
      <c r="P501" s="14" t="n"/>
      <c r="Q501" s="13" t="n"/>
      <c r="R501" s="15" t="n"/>
      <c r="S501" s="13" t="n"/>
      <c r="T501" s="13" t="n"/>
      <c r="U501" s="16">
        <f>IF(AND(ISNUMBER(O501),ISNUMBER(P501)),ROUND(SQRT(((P501-J501)*111320*COS(RADIANS(I501)))^2+((O501-I501)*110540)^2),0),"")</f>
        <v/>
      </c>
      <c r="V501" s="17">
        <f>IF(N501="","",IF(N501="Sửa vị trí",IF(OR(O501="",P501=""),"Thiếu vĩ độ / kinh độ mới",IF(OR(O501&lt;12.5,O501&gt;15,P501&lt;107,P501&gt;109.6),"Toạ độ ngoài Gia Lai (đảo vĩ/kinh độ?)",IF(Q501="","Chọn cách xác định",IF(U501&gt;20000,"Dời hơn 20 km – kiểm tra lại","OK")))),IF(AND(N501&lt;&gt;"Sửa vị trí",OR(O501&lt;&gt;"",P501&lt;&gt;"")),"Có toạ độ mới nhưng kết quả không phải Sửa vị trí","OK")))</f>
        <v/>
      </c>
    </row>
    <row r="502">
      <c r="A502" s="9" t="n">
        <v>498</v>
      </c>
      <c r="B502" s="9" t="inlineStr">
        <is>
          <t>4adf4ad8-198d-cc87-0946-5ffaefbba1b8</t>
        </is>
      </c>
      <c r="C502" s="9" t="inlineStr">
        <is>
          <t>Thấp</t>
        </is>
      </c>
      <c r="D502" s="10" t="inlineStr">
        <is>
          <t>MB – MB Pleiku</t>
        </is>
      </c>
      <c r="E502" s="9" t="inlineStr">
        <is>
          <t>Ngân hàng</t>
        </is>
      </c>
      <c r="F502" s="9" t="inlineStr">
        <is>
          <t>Trang bản đồ MB</t>
        </is>
      </c>
      <c r="G502" s="10" t="inlineStr">
        <is>
          <t>Số 145 Nguyễn Tất Thành, phường Phù Đổng, thành phố Pleiku, tỉnh Gia Lai, Phường Pleiku, Gia Lai</t>
        </is>
      </c>
      <c r="H502" s="9" t="inlineStr">
        <is>
          <t>Phường Pleiku</t>
        </is>
      </c>
      <c r="I502" s="11" t="n">
        <v>13.978745</v>
      </c>
      <c r="J502" s="11" t="n">
        <v>108.012487</v>
      </c>
      <c r="K502" s="9" t="inlineStr">
        <is>
          <t>Đã đối chiếu</t>
        </is>
      </c>
      <c r="L502" s="10" t="n"/>
      <c r="M502" s="12" t="inlineStr">
        <is>
          <t>Bản đồ</t>
        </is>
      </c>
      <c r="N502" s="13" t="n"/>
      <c r="O502" s="14" t="n"/>
      <c r="P502" s="14" t="n"/>
      <c r="Q502" s="13" t="n"/>
      <c r="R502" s="15" t="n"/>
      <c r="S502" s="13" t="n"/>
      <c r="T502" s="13" t="n"/>
      <c r="U502" s="16">
        <f>IF(AND(ISNUMBER(O502),ISNUMBER(P502)),ROUND(SQRT(((P502-J502)*111320*COS(RADIANS(I502)))^2+((O502-I502)*110540)^2),0),"")</f>
        <v/>
      </c>
      <c r="V502" s="17">
        <f>IF(N502="","",IF(N502="Sửa vị trí",IF(OR(O502="",P502=""),"Thiếu vĩ độ / kinh độ mới",IF(OR(O502&lt;12.5,O502&gt;15,P502&lt;107,P502&gt;109.6),"Toạ độ ngoài Gia Lai (đảo vĩ/kinh độ?)",IF(Q502="","Chọn cách xác định",IF(U502&gt;20000,"Dời hơn 20 km – kiểm tra lại","OK")))),IF(AND(N502&lt;&gt;"Sửa vị trí",OR(O502&lt;&gt;"",P502&lt;&gt;"")),"Có toạ độ mới nhưng kết quả không phải Sửa vị trí","OK")))</f>
        <v/>
      </c>
    </row>
    <row r="503">
      <c r="A503" s="9" t="n">
        <v>499</v>
      </c>
      <c r="B503" s="9" t="inlineStr">
        <is>
          <t>b89fb591-abb2-a2b0-3a52-e2a4e7d58525</t>
        </is>
      </c>
      <c r="C503" s="9" t="inlineStr">
        <is>
          <t>Thấp</t>
        </is>
      </c>
      <c r="D503" s="10" t="inlineStr">
        <is>
          <t>Vietcombank – Gia Lai - PGD Diên Hồng</t>
        </is>
      </c>
      <c r="E503" s="9" t="inlineStr">
        <is>
          <t>Ngân hàng</t>
        </is>
      </c>
      <c r="F503" s="9" t="inlineStr">
        <is>
          <t>Website Vietcombank</t>
        </is>
      </c>
      <c r="G503" s="10" t="inlineStr">
        <is>
          <t>Số 150, đường Trần Phú, phường Diên Hồng, tỉnh Gia Lai, Phường Pleiku, Gia Lai</t>
        </is>
      </c>
      <c r="H503" s="9" t="inlineStr">
        <is>
          <t>Phường Pleiku</t>
        </is>
      </c>
      <c r="I503" s="11" t="n">
        <v>13.98213</v>
      </c>
      <c r="J503" s="11" t="n">
        <v>108.009505</v>
      </c>
      <c r="K503" s="9" t="inlineStr">
        <is>
          <t>Đã đối chiếu</t>
        </is>
      </c>
      <c r="L503" s="10" t="n"/>
      <c r="M503" s="12" t="inlineStr">
        <is>
          <t>Bản đồ</t>
        </is>
      </c>
      <c r="N503" s="13" t="n"/>
      <c r="O503" s="14" t="n"/>
      <c r="P503" s="14" t="n"/>
      <c r="Q503" s="13" t="n"/>
      <c r="R503" s="15" t="n"/>
      <c r="S503" s="13" t="n"/>
      <c r="T503" s="13" t="n"/>
      <c r="U503" s="16">
        <f>IF(AND(ISNUMBER(O503),ISNUMBER(P503)),ROUND(SQRT(((P503-J503)*111320*COS(RADIANS(I503)))^2+((O503-I503)*110540)^2),0),"")</f>
        <v/>
      </c>
      <c r="V503" s="17">
        <f>IF(N503="","",IF(N503="Sửa vị trí",IF(OR(O503="",P503=""),"Thiếu vĩ độ / kinh độ mới",IF(OR(O503&lt;12.5,O503&gt;15,P503&lt;107,P503&gt;109.6),"Toạ độ ngoài Gia Lai (đảo vĩ/kinh độ?)",IF(Q503="","Chọn cách xác định",IF(U503&gt;20000,"Dời hơn 20 km – kiểm tra lại","OK")))),IF(AND(N503&lt;&gt;"Sửa vị trí",OR(O503&lt;&gt;"",P503&lt;&gt;"")),"Có toạ độ mới nhưng kết quả không phải Sửa vị trí","OK")))</f>
        <v/>
      </c>
    </row>
    <row r="504">
      <c r="A504" s="9" t="n">
        <v>500</v>
      </c>
      <c r="B504" s="9" t="inlineStr">
        <is>
          <t>6946c438-70d2-038c-d70c-136f7330d168</t>
        </is>
      </c>
      <c r="C504" s="9" t="inlineStr">
        <is>
          <t>Thấp</t>
        </is>
      </c>
      <c r="D504" s="10" t="inlineStr">
        <is>
          <t>Vietcombank – Gia Lai - PGD Trà Bá</t>
        </is>
      </c>
      <c r="E504" s="9" t="inlineStr">
        <is>
          <t>Ngân hàng</t>
        </is>
      </c>
      <c r="F504" s="9" t="inlineStr">
        <is>
          <t>Website Vietcombank</t>
        </is>
      </c>
      <c r="G504" s="10" t="inlineStr">
        <is>
          <t>Số 133, đường Trường Chinh, phường Hội Phú, tỉnh Gia Lai, Phường Pleiku, Gia Lai</t>
        </is>
      </c>
      <c r="H504" s="9" t="inlineStr">
        <is>
          <t>Phường Pleiku</t>
        </is>
      </c>
      <c r="I504" s="11" t="n">
        <v>13.977135</v>
      </c>
      <c r="J504" s="11" t="n">
        <v>108.003431</v>
      </c>
      <c r="K504" s="9" t="inlineStr">
        <is>
          <t>Đã đối chiếu</t>
        </is>
      </c>
      <c r="L504" s="10" t="n"/>
      <c r="M504" s="12" t="inlineStr">
        <is>
          <t>Bản đồ</t>
        </is>
      </c>
      <c r="N504" s="13" t="n"/>
      <c r="O504" s="14" t="n"/>
      <c r="P504" s="14" t="n"/>
      <c r="Q504" s="13" t="n"/>
      <c r="R504" s="15" t="n"/>
      <c r="S504" s="13" t="n"/>
      <c r="T504" s="13" t="n"/>
      <c r="U504" s="16">
        <f>IF(AND(ISNUMBER(O504),ISNUMBER(P504)),ROUND(SQRT(((P504-J504)*111320*COS(RADIANS(I504)))^2+((O504-I504)*110540)^2),0),"")</f>
        <v/>
      </c>
      <c r="V504" s="17">
        <f>IF(N504="","",IF(N504="Sửa vị trí",IF(OR(O504="",P504=""),"Thiếu vĩ độ / kinh độ mới",IF(OR(O504&lt;12.5,O504&gt;15,P504&lt;107,P504&gt;109.6),"Toạ độ ngoài Gia Lai (đảo vĩ/kinh độ?)",IF(Q504="","Chọn cách xác định",IF(U504&gt;20000,"Dời hơn 20 km – kiểm tra lại","OK")))),IF(AND(N504&lt;&gt;"Sửa vị trí",OR(O504&lt;&gt;"",P504&lt;&gt;"")),"Có toạ độ mới nhưng kết quả không phải Sửa vị trí","OK")))</f>
        <v/>
      </c>
    </row>
    <row r="505">
      <c r="A505" s="9" t="n">
        <v>501</v>
      </c>
      <c r="B505" s="9" t="inlineStr">
        <is>
          <t>74781cad-10e2-7edb-b97a-2e9e1a9dfded</t>
        </is>
      </c>
      <c r="C505" s="9" t="inlineStr">
        <is>
          <t>Thấp</t>
        </is>
      </c>
      <c r="D505" s="10" t="inlineStr">
        <is>
          <t>Vietcombank – Bình Định - PGD Lê Lợi</t>
        </is>
      </c>
      <c r="E505" s="9" t="inlineStr">
        <is>
          <t>Ngân hàng</t>
        </is>
      </c>
      <c r="F505" s="9" t="inlineStr">
        <is>
          <t>Website Vietcombank</t>
        </is>
      </c>
      <c r="G505" s="10" t="inlineStr">
        <is>
          <t>Số 152 đường Lê Lợi, phường Quy Nhơn, tỉnh Gia Lai, Phường Quy Nhơn, Gia Lai</t>
        </is>
      </c>
      <c r="H505" s="9" t="inlineStr">
        <is>
          <t>Phường Quy Nhơn</t>
        </is>
      </c>
      <c r="I505" s="11" t="n">
        <v>13.775999</v>
      </c>
      <c r="J505" s="11" t="n">
        <v>109.232429</v>
      </c>
      <c r="K505" s="9" t="inlineStr">
        <is>
          <t>Đã đối chiếu</t>
        </is>
      </c>
      <c r="L505" s="10" t="n"/>
      <c r="M505" s="12" t="inlineStr">
        <is>
          <t>Bản đồ</t>
        </is>
      </c>
      <c r="N505" s="13" t="n"/>
      <c r="O505" s="14" t="n"/>
      <c r="P505" s="14" t="n"/>
      <c r="Q505" s="13" t="n"/>
      <c r="R505" s="15" t="n"/>
      <c r="S505" s="13" t="n"/>
      <c r="T505" s="13" t="n"/>
      <c r="U505" s="16">
        <f>IF(AND(ISNUMBER(O505),ISNUMBER(P505)),ROUND(SQRT(((P505-J505)*111320*COS(RADIANS(I505)))^2+((O505-I505)*110540)^2),0),"")</f>
        <v/>
      </c>
      <c r="V505" s="17">
        <f>IF(N505="","",IF(N505="Sửa vị trí",IF(OR(O505="",P505=""),"Thiếu vĩ độ / kinh độ mới",IF(OR(O505&lt;12.5,O505&gt;15,P505&lt;107,P505&gt;109.6),"Toạ độ ngoài Gia Lai (đảo vĩ/kinh độ?)",IF(Q505="","Chọn cách xác định",IF(U505&gt;20000,"Dời hơn 20 km – kiểm tra lại","OK")))),IF(AND(N505&lt;&gt;"Sửa vị trí",OR(O505&lt;&gt;"",P505&lt;&gt;"")),"Có toạ độ mới nhưng kết quả không phải Sửa vị trí","OK")))</f>
        <v/>
      </c>
    </row>
    <row r="506">
      <c r="A506" s="9" t="n">
        <v>502</v>
      </c>
      <c r="B506" s="9" t="inlineStr">
        <is>
          <t>e37ef156-b76e-caa1-653a-3ec672aa9840</t>
        </is>
      </c>
      <c r="C506" s="9" t="inlineStr">
        <is>
          <t>Thấp</t>
        </is>
      </c>
      <c r="D506" s="10" t="inlineStr">
        <is>
          <t>Vietcombank – Bình Định - PGD Trần Hưng Đạo</t>
        </is>
      </c>
      <c r="E506" s="9" t="inlineStr">
        <is>
          <t>Ngân hàng</t>
        </is>
      </c>
      <c r="F506" s="9" t="inlineStr">
        <is>
          <t>Website Vietcombank</t>
        </is>
      </c>
      <c r="G506" s="10" t="inlineStr">
        <is>
          <t>Số 550 – 552 đường Trần Hưng Đạo, phường Quy Nhơn, tỉnh Gia Lai, Phường Quy Nhơn, Gia Lai</t>
        </is>
      </c>
      <c r="H506" s="9" t="inlineStr">
        <is>
          <t>Phường Quy Nhơn</t>
        </is>
      </c>
      <c r="I506" s="11" t="n">
        <v>13.781314</v>
      </c>
      <c r="J506" s="11" t="n">
        <v>109.21972</v>
      </c>
      <c r="K506" s="9" t="inlineStr">
        <is>
          <t>Đã đối chiếu</t>
        </is>
      </c>
      <c r="L506" s="10" t="n"/>
      <c r="M506" s="12" t="inlineStr">
        <is>
          <t>Bản đồ</t>
        </is>
      </c>
      <c r="N506" s="13" t="n"/>
      <c r="O506" s="14" t="n"/>
      <c r="P506" s="14" t="n"/>
      <c r="Q506" s="13" t="n"/>
      <c r="R506" s="15" t="n"/>
      <c r="S506" s="13" t="n"/>
      <c r="T506" s="13" t="n"/>
      <c r="U506" s="16">
        <f>IF(AND(ISNUMBER(O506),ISNUMBER(P506)),ROUND(SQRT(((P506-J506)*111320*COS(RADIANS(I506)))^2+((O506-I506)*110540)^2),0),"")</f>
        <v/>
      </c>
      <c r="V506" s="17">
        <f>IF(N506="","",IF(N506="Sửa vị trí",IF(OR(O506="",P506=""),"Thiếu vĩ độ / kinh độ mới",IF(OR(O506&lt;12.5,O506&gt;15,P506&lt;107,P506&gt;109.6),"Toạ độ ngoài Gia Lai (đảo vĩ/kinh độ?)",IF(Q506="","Chọn cách xác định",IF(U506&gt;20000,"Dời hơn 20 km – kiểm tra lại","OK")))),IF(AND(N506&lt;&gt;"Sửa vị trí",OR(O506&lt;&gt;"",P506&lt;&gt;"")),"Có toạ độ mới nhưng kết quả không phải Sửa vị trí","OK")))</f>
        <v/>
      </c>
    </row>
    <row r="507">
      <c r="A507" s="9" t="n">
        <v>503</v>
      </c>
      <c r="B507" s="9" t="inlineStr">
        <is>
          <t>138dea41-bdbb-257d-e532-f072ad0d636a</t>
        </is>
      </c>
      <c r="C507" s="9" t="inlineStr">
        <is>
          <t>Thấp</t>
        </is>
      </c>
      <c r="D507" s="10" t="inlineStr">
        <is>
          <t>Vietcombank – Bình Định - Trụ sở Chi nhánh</t>
        </is>
      </c>
      <c r="E507" s="9" t="inlineStr">
        <is>
          <t>Ngân hàng</t>
        </is>
      </c>
      <c r="F507" s="9" t="inlineStr">
        <is>
          <t>Website Vietcombank</t>
        </is>
      </c>
      <c r="G507" s="10" t="inlineStr">
        <is>
          <t>Số 66C đường Lê Duẩn, phường Quy Nhơn, tỉnh Gia Lai, Phường Quy Nhơn, Gia Lai</t>
        </is>
      </c>
      <c r="H507" s="9" t="inlineStr">
        <is>
          <t>Phường Quy Nhơn</t>
        </is>
      </c>
      <c r="I507" s="11" t="n">
        <v>13.770082</v>
      </c>
      <c r="J507" s="11" t="n">
        <v>109.221047</v>
      </c>
      <c r="K507" s="9" t="inlineStr">
        <is>
          <t>Đã đối chiếu</t>
        </is>
      </c>
      <c r="L507" s="10" t="n"/>
      <c r="M507" s="12" t="inlineStr">
        <is>
          <t>Bản đồ</t>
        </is>
      </c>
      <c r="N507" s="13" t="n"/>
      <c r="O507" s="14" t="n"/>
      <c r="P507" s="14" t="n"/>
      <c r="Q507" s="13" t="n"/>
      <c r="R507" s="15" t="n"/>
      <c r="S507" s="13" t="n"/>
      <c r="T507" s="13" t="n"/>
      <c r="U507" s="16">
        <f>IF(AND(ISNUMBER(O507),ISNUMBER(P507)),ROUND(SQRT(((P507-J507)*111320*COS(RADIANS(I507)))^2+((O507-I507)*110540)^2),0),"")</f>
        <v/>
      </c>
      <c r="V507" s="17">
        <f>IF(N507="","",IF(N507="Sửa vị trí",IF(OR(O507="",P507=""),"Thiếu vĩ độ / kinh độ mới",IF(OR(O507&lt;12.5,O507&gt;15,P507&lt;107,P507&gt;109.6),"Toạ độ ngoài Gia Lai (đảo vĩ/kinh độ?)",IF(Q507="","Chọn cách xác định",IF(U507&gt;20000,"Dời hơn 20 km – kiểm tra lại","OK")))),IF(AND(N507&lt;&gt;"Sửa vị trí",OR(O507&lt;&gt;"",P507&lt;&gt;"")),"Có toạ độ mới nhưng kết quả không phải Sửa vị trí","OK")))</f>
        <v/>
      </c>
    </row>
    <row r="508">
      <c r="A508" s="9" t="n">
        <v>504</v>
      </c>
      <c r="B508" s="9" t="inlineStr">
        <is>
          <t>e007a74d-5444-9950-ef9e-1b1cdbb12b5e</t>
        </is>
      </c>
      <c r="C508" s="9" t="inlineStr">
        <is>
          <t>Thấp</t>
        </is>
      </c>
      <c r="D508" s="10" t="inlineStr">
        <is>
          <t>Vietcombank – Quy Nhơn - PGD Hùng Vương</t>
        </is>
      </c>
      <c r="E508" s="9" t="inlineStr">
        <is>
          <t>Ngân hàng</t>
        </is>
      </c>
      <c r="F508" s="9" t="inlineStr">
        <is>
          <t>Website Vietcombank</t>
        </is>
      </c>
      <c r="G508" s="10" t="inlineStr">
        <is>
          <t>Số 223 Tăng Bạt Hổ, phường Quy Nhơn, tỉnh Gia Lai, Phường Quy Nhơn, Gia Lai</t>
        </is>
      </c>
      <c r="H508" s="9" t="inlineStr">
        <is>
          <t>Phường Quy Nhơn</t>
        </is>
      </c>
      <c r="I508" s="11" t="n">
        <v>13.772857</v>
      </c>
      <c r="J508" s="11" t="n">
        <v>109.224608</v>
      </c>
      <c r="K508" s="9" t="inlineStr">
        <is>
          <t>Đã đối chiếu</t>
        </is>
      </c>
      <c r="L508" s="10" t="n"/>
      <c r="M508" s="12" t="inlineStr">
        <is>
          <t>Bản đồ</t>
        </is>
      </c>
      <c r="N508" s="13" t="n"/>
      <c r="O508" s="14" t="n"/>
      <c r="P508" s="14" t="n"/>
      <c r="Q508" s="13" t="n"/>
      <c r="R508" s="15" t="n"/>
      <c r="S508" s="13" t="n"/>
      <c r="T508" s="13" t="n"/>
      <c r="U508" s="16">
        <f>IF(AND(ISNUMBER(O508),ISNUMBER(P508)),ROUND(SQRT(((P508-J508)*111320*COS(RADIANS(I508)))^2+((O508-I508)*110540)^2),0),"")</f>
        <v/>
      </c>
      <c r="V508" s="17">
        <f>IF(N508="","",IF(N508="Sửa vị trí",IF(OR(O508="",P508=""),"Thiếu vĩ độ / kinh độ mới",IF(OR(O508&lt;12.5,O508&gt;15,P508&lt;107,P508&gt;109.6),"Toạ độ ngoài Gia Lai (đảo vĩ/kinh độ?)",IF(Q508="","Chọn cách xác định",IF(U508&gt;20000,"Dời hơn 20 km – kiểm tra lại","OK")))),IF(AND(N508&lt;&gt;"Sửa vị trí",OR(O508&lt;&gt;"",P508&lt;&gt;"")),"Có toạ độ mới nhưng kết quả không phải Sửa vị trí","OK")))</f>
        <v/>
      </c>
    </row>
    <row r="509">
      <c r="A509" s="9" t="n">
        <v>505</v>
      </c>
      <c r="B509" s="9" t="inlineStr">
        <is>
          <t>145aa13a-3f59-1667-0e21-b6912c6cbe25</t>
        </is>
      </c>
      <c r="C509" s="9" t="inlineStr">
        <is>
          <t>Thấp</t>
        </is>
      </c>
      <c r="D509" s="10" t="inlineStr">
        <is>
          <t>MB – MB Diêu Trì</t>
        </is>
      </c>
      <c r="E509" s="9" t="inlineStr">
        <is>
          <t>Ngân hàng</t>
        </is>
      </c>
      <c r="F509" s="9" t="inlineStr">
        <is>
          <t>Trang bản đồ MB</t>
        </is>
      </c>
      <c r="G509" s="10" t="inlineStr">
        <is>
          <t>Số 50 - 52 đường Lạc Long Quân, phường Trần Quang Diệu, thành phố Quy Nhơn, tỉnh Bình Định, Phường Quy Nhơn Bắc, Gia Lai</t>
        </is>
      </c>
      <c r="H509" s="9" t="inlineStr">
        <is>
          <t>Phường Quy Nhơn Bắc</t>
        </is>
      </c>
      <c r="I509" s="11" t="n">
        <v>13.796266</v>
      </c>
      <c r="J509" s="11" t="n">
        <v>109.147442</v>
      </c>
      <c r="K509" s="9" t="inlineStr">
        <is>
          <t>Đã đối chiếu</t>
        </is>
      </c>
      <c r="L509" s="10" t="n"/>
      <c r="M509" s="12" t="inlineStr">
        <is>
          <t>Bản đồ</t>
        </is>
      </c>
      <c r="N509" s="13" t="n"/>
      <c r="O509" s="14" t="n"/>
      <c r="P509" s="14" t="n"/>
      <c r="Q509" s="13" t="n"/>
      <c r="R509" s="15" t="n"/>
      <c r="S509" s="13" t="n"/>
      <c r="T509" s="13" t="n"/>
      <c r="U509" s="16">
        <f>IF(AND(ISNUMBER(O509),ISNUMBER(P509)),ROUND(SQRT(((P509-J509)*111320*COS(RADIANS(I509)))^2+((O509-I509)*110540)^2),0),"")</f>
        <v/>
      </c>
      <c r="V509" s="17">
        <f>IF(N509="","",IF(N509="Sửa vị trí",IF(OR(O509="",P509=""),"Thiếu vĩ độ / kinh độ mới",IF(OR(O509&lt;12.5,O509&gt;15,P509&lt;107,P509&gt;109.6),"Toạ độ ngoài Gia Lai (đảo vĩ/kinh độ?)",IF(Q509="","Chọn cách xác định",IF(U509&gt;20000,"Dời hơn 20 km – kiểm tra lại","OK")))),IF(AND(N509&lt;&gt;"Sửa vị trí",OR(O509&lt;&gt;"",P509&lt;&gt;"")),"Có toạ độ mới nhưng kết quả không phải Sửa vị trí","OK")))</f>
        <v/>
      </c>
    </row>
    <row r="510">
      <c r="A510" s="9" t="n">
        <v>506</v>
      </c>
      <c r="B510" s="9" t="inlineStr">
        <is>
          <t>3933999a-d39f-2b86-d475-b01ff5215e77</t>
        </is>
      </c>
      <c r="C510" s="9" t="inlineStr">
        <is>
          <t>Thấp</t>
        </is>
      </c>
      <c r="D510" s="10" t="inlineStr">
        <is>
          <t>Vietcombank – Quy Nhơn - Trụ sở Chi nhánh</t>
        </is>
      </c>
      <c r="E510" s="9" t="inlineStr">
        <is>
          <t>Ngân hàng</t>
        </is>
      </c>
      <c r="F510" s="9" t="inlineStr">
        <is>
          <t>Website Vietcombank</t>
        </is>
      </c>
      <c r="G510" s="10" t="inlineStr">
        <is>
          <t>Số 433 Lạc Long Quân, phường Quy Nhơn Bắc, tỉnh Gia Lai, Phường Quy Nhơn Bắc, Gia Lai</t>
        </is>
      </c>
      <c r="H510" s="9" t="inlineStr">
        <is>
          <t>Phường Quy Nhơn Bắc</t>
        </is>
      </c>
      <c r="I510" s="11" t="n">
        <v>13.781892</v>
      </c>
      <c r="J510" s="11" t="n">
        <v>109.148669</v>
      </c>
      <c r="K510" s="9" t="inlineStr">
        <is>
          <t>Đã đối chiếu</t>
        </is>
      </c>
      <c r="L510" s="10" t="n"/>
      <c r="M510" s="12" t="inlineStr">
        <is>
          <t>Bản đồ</t>
        </is>
      </c>
      <c r="N510" s="13" t="n"/>
      <c r="O510" s="14" t="n"/>
      <c r="P510" s="14" t="n"/>
      <c r="Q510" s="13" t="n"/>
      <c r="R510" s="15" t="n"/>
      <c r="S510" s="13" t="n"/>
      <c r="T510" s="13" t="n"/>
      <c r="U510" s="16">
        <f>IF(AND(ISNUMBER(O510),ISNUMBER(P510)),ROUND(SQRT(((P510-J510)*111320*COS(RADIANS(I510)))^2+((O510-I510)*110540)^2),0),"")</f>
        <v/>
      </c>
      <c r="V510" s="17">
        <f>IF(N510="","",IF(N510="Sửa vị trí",IF(OR(O510="",P510=""),"Thiếu vĩ độ / kinh độ mới",IF(OR(O510&lt;12.5,O510&gt;15,P510&lt;107,P510&gt;109.6),"Toạ độ ngoài Gia Lai (đảo vĩ/kinh độ?)",IF(Q510="","Chọn cách xác định",IF(U510&gt;20000,"Dời hơn 20 km – kiểm tra lại","OK")))),IF(AND(N510&lt;&gt;"Sửa vị trí",OR(O510&lt;&gt;"",P510&lt;&gt;"")),"Có toạ độ mới nhưng kết quả không phải Sửa vị trí","OK")))</f>
        <v/>
      </c>
    </row>
    <row r="511">
      <c r="A511" s="9" t="n">
        <v>507</v>
      </c>
      <c r="B511" s="9" t="inlineStr">
        <is>
          <t>b8c04f1e-1fe5-5115-b9ed-5458c5b18a4d</t>
        </is>
      </c>
      <c r="C511" s="9" t="inlineStr">
        <is>
          <t>Thấp</t>
        </is>
      </c>
      <c r="D511" s="10" t="inlineStr">
        <is>
          <t>Agribank – Chi nhánh tỉnh Bình Định</t>
        </is>
      </c>
      <c r="E511" s="9" t="inlineStr">
        <is>
          <t>Ngân hàng</t>
        </is>
      </c>
      <c r="F511" s="9" t="inlineStr">
        <is>
          <t>Website Agribank</t>
        </is>
      </c>
      <c r="G511" s="10" t="inlineStr">
        <is>
          <t>64 Lê Duẩn, phường Lý Thường Kiệt, thành phố Quy Nhơn, tỉnh Bình Định, Phường Quy Nhơn Nam, Gia Lai</t>
        </is>
      </c>
      <c r="H511" s="9" t="inlineStr">
        <is>
          <t>Phường Quy Nhơn Nam</t>
        </is>
      </c>
      <c r="I511" s="11" t="n">
        <v>13.771539</v>
      </c>
      <c r="J511" s="11" t="n">
        <v>109.220151</v>
      </c>
      <c r="K511" s="9" t="inlineStr">
        <is>
          <t>Đã đối chiếu</t>
        </is>
      </c>
      <c r="L511" s="10" t="n"/>
      <c r="M511" s="12" t="inlineStr">
        <is>
          <t>Bản đồ</t>
        </is>
      </c>
      <c r="N511" s="13" t="n"/>
      <c r="O511" s="14" t="n"/>
      <c r="P511" s="14" t="n"/>
      <c r="Q511" s="13" t="n"/>
      <c r="R511" s="15" t="n"/>
      <c r="S511" s="13" t="n"/>
      <c r="T511" s="13" t="n"/>
      <c r="U511" s="16">
        <f>IF(AND(ISNUMBER(O511),ISNUMBER(P511)),ROUND(SQRT(((P511-J511)*111320*COS(RADIANS(I511)))^2+((O511-I511)*110540)^2),0),"")</f>
        <v/>
      </c>
      <c r="V511" s="17">
        <f>IF(N511="","",IF(N511="Sửa vị trí",IF(OR(O511="",P511=""),"Thiếu vĩ độ / kinh độ mới",IF(OR(O511&lt;12.5,O511&gt;15,P511&lt;107,P511&gt;109.6),"Toạ độ ngoài Gia Lai (đảo vĩ/kinh độ?)",IF(Q511="","Chọn cách xác định",IF(U511&gt;20000,"Dời hơn 20 km – kiểm tra lại","OK")))),IF(AND(N511&lt;&gt;"Sửa vị trí",OR(O511&lt;&gt;"",P511&lt;&gt;"")),"Có toạ độ mới nhưng kết quả không phải Sửa vị trí","OK")))</f>
        <v/>
      </c>
    </row>
    <row r="512">
      <c r="A512" s="9" t="n">
        <v>508</v>
      </c>
      <c r="B512" s="9" t="inlineStr">
        <is>
          <t>752a0a4c-6dd3-60ec-d76d-3487bd83546d</t>
        </is>
      </c>
      <c r="C512" s="9" t="inlineStr">
        <is>
          <t>Thấp</t>
        </is>
      </c>
      <c r="D512" s="10" t="inlineStr">
        <is>
          <t>MB – CN Bình Định</t>
        </is>
      </c>
      <c r="E512" s="9" t="inlineStr">
        <is>
          <t>Ngân hàng</t>
        </is>
      </c>
      <c r="F512" s="9" t="inlineStr">
        <is>
          <t>Trang bản đồ MB</t>
        </is>
      </c>
      <c r="G512" s="10" t="inlineStr">
        <is>
          <t>Tầng 1, tầng 2 và tầng 3 tòa nhà Ngân hàng TMCP Quân Đội, số nhà 322 đường Nguyễn Thái Học, phường Ngô Mây, thành phố Quy Nhơn, tỉnh Bình Định, Phường Quy Nhơn Nam, Gia Lai</t>
        </is>
      </c>
      <c r="H512" s="9" t="inlineStr">
        <is>
          <t>Phường Quy Nhơn Nam</t>
        </is>
      </c>
      <c r="I512" s="11" t="n">
        <v>13.766901</v>
      </c>
      <c r="J512" s="11" t="n">
        <v>109.215935</v>
      </c>
      <c r="K512" s="9" t="inlineStr">
        <is>
          <t>Đã đối chiếu</t>
        </is>
      </c>
      <c r="L512" s="10" t="n"/>
      <c r="M512" s="12" t="inlineStr">
        <is>
          <t>Bản đồ</t>
        </is>
      </c>
      <c r="N512" s="13" t="n"/>
      <c r="O512" s="14" t="n"/>
      <c r="P512" s="14" t="n"/>
      <c r="Q512" s="13" t="n"/>
      <c r="R512" s="15" t="n"/>
      <c r="S512" s="13" t="n"/>
      <c r="T512" s="13" t="n"/>
      <c r="U512" s="16">
        <f>IF(AND(ISNUMBER(O512),ISNUMBER(P512)),ROUND(SQRT(((P512-J512)*111320*COS(RADIANS(I512)))^2+((O512-I512)*110540)^2),0),"")</f>
        <v/>
      </c>
      <c r="V512" s="17">
        <f>IF(N512="","",IF(N512="Sửa vị trí",IF(OR(O512="",P512=""),"Thiếu vĩ độ / kinh độ mới",IF(OR(O512&lt;12.5,O512&gt;15,P512&lt;107,P512&gt;109.6),"Toạ độ ngoài Gia Lai (đảo vĩ/kinh độ?)",IF(Q512="","Chọn cách xác định",IF(U512&gt;20000,"Dời hơn 20 km – kiểm tra lại","OK")))),IF(AND(N512&lt;&gt;"Sửa vị trí",OR(O512&lt;&gt;"",P512&lt;&gt;"")),"Có toạ độ mới nhưng kết quả không phải Sửa vị trí","OK")))</f>
        <v/>
      </c>
    </row>
    <row r="513">
      <c r="A513" s="9" t="n">
        <v>509</v>
      </c>
      <c r="B513" s="9" t="inlineStr">
        <is>
          <t>70511629-d3ad-359e-c18e-0bdec133843e</t>
        </is>
      </c>
      <c r="C513" s="9" t="inlineStr">
        <is>
          <t>Thấp</t>
        </is>
      </c>
      <c r="D513" s="10" t="inlineStr">
        <is>
          <t>Vietcombank – Bình Định - PGD Nguyễn Thái Học</t>
        </is>
      </c>
      <c r="E513" s="9" t="inlineStr">
        <is>
          <t>Ngân hàng</t>
        </is>
      </c>
      <c r="F513" s="9" t="inlineStr">
        <is>
          <t>Website Vietcombank</t>
        </is>
      </c>
      <c r="G513" s="10" t="inlineStr">
        <is>
          <t>Số 422 đường Nguyễn Thái Học, phường Quy Nhơn Nam, tỉnh Gia Lai, Phường Quy Nhơn Nam, Gia Lai</t>
        </is>
      </c>
      <c r="H513" s="9" t="inlineStr">
        <is>
          <t>Phường Quy Nhơn Nam</t>
        </is>
      </c>
      <c r="I513" s="11" t="n">
        <v>13.762536</v>
      </c>
      <c r="J513" s="11" t="n">
        <v>109.213135</v>
      </c>
      <c r="K513" s="9" t="inlineStr">
        <is>
          <t>Đã đối chiếu</t>
        </is>
      </c>
      <c r="L513" s="10" t="n"/>
      <c r="M513" s="12" t="inlineStr">
        <is>
          <t>Bản đồ</t>
        </is>
      </c>
      <c r="N513" s="13" t="n"/>
      <c r="O513" s="14" t="n"/>
      <c r="P513" s="14" t="n"/>
      <c r="Q513" s="13" t="n"/>
      <c r="R513" s="15" t="n"/>
      <c r="S513" s="13" t="n"/>
      <c r="T513" s="13" t="n"/>
      <c r="U513" s="16">
        <f>IF(AND(ISNUMBER(O513),ISNUMBER(P513)),ROUND(SQRT(((P513-J513)*111320*COS(RADIANS(I513)))^2+((O513-I513)*110540)^2),0),"")</f>
        <v/>
      </c>
      <c r="V513" s="17">
        <f>IF(N513="","",IF(N513="Sửa vị trí",IF(OR(O513="",P513=""),"Thiếu vĩ độ / kinh độ mới",IF(OR(O513&lt;12.5,O513&gt;15,P513&lt;107,P513&gt;109.6),"Toạ độ ngoài Gia Lai (đảo vĩ/kinh độ?)",IF(Q513="","Chọn cách xác định",IF(U513&gt;20000,"Dời hơn 20 km – kiểm tra lại","OK")))),IF(AND(N513&lt;&gt;"Sửa vị trí",OR(O513&lt;&gt;"",P513&lt;&gt;"")),"Có toạ độ mới nhưng kết quả không phải Sửa vị trí","OK")))</f>
        <v/>
      </c>
    </row>
    <row r="514">
      <c r="A514" s="9" t="n">
        <v>510</v>
      </c>
      <c r="B514" s="9" t="inlineStr">
        <is>
          <t>a0d322c9-a42a-fa9c-2277-378452200f21</t>
        </is>
      </c>
      <c r="C514" s="9" t="inlineStr">
        <is>
          <t>Thấp</t>
        </is>
      </c>
      <c r="D514" s="10" t="inlineStr">
        <is>
          <t>Vietcombank – Bình Định - PGD Tây Sơn</t>
        </is>
      </c>
      <c r="E514" s="9" t="inlineStr">
        <is>
          <t>Ngân hàng</t>
        </is>
      </c>
      <c r="F514" s="9" t="inlineStr">
        <is>
          <t>Website Vietcombank</t>
        </is>
      </c>
      <c r="G514" s="10" t="inlineStr">
        <is>
          <t>Số 184-186 đường Tây Sơn, phường Quy Nhơn Nam, tỉnh Gia Lai, Phường Quy Nhơn Nam, Gia Lai</t>
        </is>
      </c>
      <c r="H514" s="9" t="inlineStr">
        <is>
          <t>Phường Quy Nhơn Nam</t>
        </is>
      </c>
      <c r="I514" s="11" t="n">
        <v>13.751969</v>
      </c>
      <c r="J514" s="11" t="n">
        <v>109.210566</v>
      </c>
      <c r="K514" s="9" t="inlineStr">
        <is>
          <t>Đã đối chiếu</t>
        </is>
      </c>
      <c r="L514" s="10" t="n"/>
      <c r="M514" s="12" t="inlineStr">
        <is>
          <t>Bản đồ</t>
        </is>
      </c>
      <c r="N514" s="13" t="n"/>
      <c r="O514" s="14" t="n"/>
      <c r="P514" s="14" t="n"/>
      <c r="Q514" s="13" t="n"/>
      <c r="R514" s="15" t="n"/>
      <c r="S514" s="13" t="n"/>
      <c r="T514" s="13" t="n"/>
      <c r="U514" s="16">
        <f>IF(AND(ISNUMBER(O514),ISNUMBER(P514)),ROUND(SQRT(((P514-J514)*111320*COS(RADIANS(I514)))^2+((O514-I514)*110540)^2),0),"")</f>
        <v/>
      </c>
      <c r="V514" s="17">
        <f>IF(N514="","",IF(N514="Sửa vị trí",IF(OR(O514="",P514=""),"Thiếu vĩ độ / kinh độ mới",IF(OR(O514&lt;12.5,O514&gt;15,P514&lt;107,P514&gt;109.6),"Toạ độ ngoài Gia Lai (đảo vĩ/kinh độ?)",IF(Q514="","Chọn cách xác định",IF(U514&gt;20000,"Dời hơn 20 km – kiểm tra lại","OK")))),IF(AND(N514&lt;&gt;"Sửa vị trí",OR(O514&lt;&gt;"",P514&lt;&gt;"")),"Có toạ độ mới nhưng kết quả không phải Sửa vị trí","OK")))</f>
        <v/>
      </c>
    </row>
    <row r="515">
      <c r="A515" s="9" t="n">
        <v>511</v>
      </c>
      <c r="B515" s="9" t="inlineStr">
        <is>
          <t>528f754d-2f41-a0f4-76bd-e9b973939c2b</t>
        </is>
      </c>
      <c r="C515" s="9" t="inlineStr">
        <is>
          <t>Thấp</t>
        </is>
      </c>
      <c r="D515" s="10" t="inlineStr">
        <is>
          <t>Agribank – Chi nhánh Hoài Nhơn Bình Định - Phòng giao dịch Tam Quan</t>
        </is>
      </c>
      <c r="E515" s="9" t="inlineStr">
        <is>
          <t>Ngân hàng</t>
        </is>
      </c>
      <c r="F515" s="9" t="inlineStr">
        <is>
          <t>Website Agribank</t>
        </is>
      </c>
      <c r="G515" s="10" t="inlineStr">
        <is>
          <t>Số 476 đường Quang Trung, phường Tam Quan, thị xã Hoài Nhơn, tỉnh Bình Định, Phường Tam Quan, Gia Lai</t>
        </is>
      </c>
      <c r="H515" s="9" t="inlineStr">
        <is>
          <t>Phường Tam Quan</t>
        </is>
      </c>
      <c r="I515" s="11" t="n">
        <v>14.548729</v>
      </c>
      <c r="J515" s="11" t="n">
        <v>109.043099</v>
      </c>
      <c r="K515" s="9" t="inlineStr">
        <is>
          <t>Đã đối chiếu</t>
        </is>
      </c>
      <c r="L515" s="10" t="n"/>
      <c r="M515" s="12" t="inlineStr">
        <is>
          <t>Bản đồ</t>
        </is>
      </c>
      <c r="N515" s="13" t="n"/>
      <c r="O515" s="14" t="n"/>
      <c r="P515" s="14" t="n"/>
      <c r="Q515" s="13" t="n"/>
      <c r="R515" s="15" t="n"/>
      <c r="S515" s="13" t="n"/>
      <c r="T515" s="13" t="n"/>
      <c r="U515" s="16">
        <f>IF(AND(ISNUMBER(O515),ISNUMBER(P515)),ROUND(SQRT(((P515-J515)*111320*COS(RADIANS(I515)))^2+((O515-I515)*110540)^2),0),"")</f>
        <v/>
      </c>
      <c r="V515" s="17">
        <f>IF(N515="","",IF(N515="Sửa vị trí",IF(OR(O515="",P515=""),"Thiếu vĩ độ / kinh độ mới",IF(OR(O515&lt;12.5,O515&gt;15,P515&lt;107,P515&gt;109.6),"Toạ độ ngoài Gia Lai (đảo vĩ/kinh độ?)",IF(Q515="","Chọn cách xác định",IF(U515&gt;20000,"Dời hơn 20 km – kiểm tra lại","OK")))),IF(AND(N515&lt;&gt;"Sửa vị trí",OR(O515&lt;&gt;"",P515&lt;&gt;"")),"Có toạ độ mới nhưng kết quả không phải Sửa vị trí","OK")))</f>
        <v/>
      </c>
    </row>
    <row r="516">
      <c r="A516" s="9" t="n">
        <v>512</v>
      </c>
      <c r="B516" s="9" t="inlineStr">
        <is>
          <t>ad80cfa8-375b-6d2d-a204-f1e4110f8f82</t>
        </is>
      </c>
      <c r="C516" s="9" t="inlineStr">
        <is>
          <t>Thấp</t>
        </is>
      </c>
      <c r="D516" s="10" t="inlineStr">
        <is>
          <t>Vietcombank – Bắc Gia Lai - Trụ sở Chi nhánh</t>
        </is>
      </c>
      <c r="E516" s="9" t="inlineStr">
        <is>
          <t>Ngân hàng</t>
        </is>
      </c>
      <c r="F516" s="9" t="inlineStr">
        <is>
          <t>Website Vietcombank</t>
        </is>
      </c>
      <c r="G516" s="10" t="inlineStr">
        <is>
          <t>737 Phạm Văn Đồng, Phường Thống Nhất, Tỉnh Gia Lai, Phường Thống Nhất, Gia Lai</t>
        </is>
      </c>
      <c r="H516" s="9" t="inlineStr">
        <is>
          <t>Phường Thống Nhất</t>
        </is>
      </c>
      <c r="I516" s="11" t="n">
        <v>14.028142</v>
      </c>
      <c r="J516" s="11" t="n">
        <v>107.989501</v>
      </c>
      <c r="K516" s="9" t="inlineStr">
        <is>
          <t>Đã đối chiếu</t>
        </is>
      </c>
      <c r="L516" s="10" t="n"/>
      <c r="M516" s="12" t="inlineStr">
        <is>
          <t>Bản đồ</t>
        </is>
      </c>
      <c r="N516" s="13" t="n"/>
      <c r="O516" s="14" t="n"/>
      <c r="P516" s="14" t="n"/>
      <c r="Q516" s="13" t="n"/>
      <c r="R516" s="15" t="n"/>
      <c r="S516" s="13" t="n"/>
      <c r="T516" s="13" t="n"/>
      <c r="U516" s="16">
        <f>IF(AND(ISNUMBER(O516),ISNUMBER(P516)),ROUND(SQRT(((P516-J516)*111320*COS(RADIANS(I516)))^2+((O516-I516)*110540)^2),0),"")</f>
        <v/>
      </c>
      <c r="V516" s="17">
        <f>IF(N516="","",IF(N516="Sửa vị trí",IF(OR(O516="",P516=""),"Thiếu vĩ độ / kinh độ mới",IF(OR(O516&lt;12.5,O516&gt;15,P516&lt;107,P516&gt;109.6),"Toạ độ ngoài Gia Lai (đảo vĩ/kinh độ?)",IF(Q516="","Chọn cách xác định",IF(U516&gt;20000,"Dời hơn 20 km – kiểm tra lại","OK")))),IF(AND(N516&lt;&gt;"Sửa vị trí",OR(O516&lt;&gt;"",P516&lt;&gt;"")),"Có toạ độ mới nhưng kết quả không phải Sửa vị trí","OK")))</f>
        <v/>
      </c>
    </row>
    <row r="517">
      <c r="A517" s="9" t="n">
        <v>513</v>
      </c>
      <c r="B517" s="9" t="inlineStr">
        <is>
          <t>d507d8d3-7958-3c27-a56f-d1dcc1bbebc2</t>
        </is>
      </c>
      <c r="C517" s="9" t="inlineStr">
        <is>
          <t>Thấp</t>
        </is>
      </c>
      <c r="D517" s="10" t="inlineStr">
        <is>
          <t>Vietcombank – Gia Lai - Trụ sở Chi nhánh</t>
        </is>
      </c>
      <c r="E517" s="9" t="inlineStr">
        <is>
          <t>Ngân hàng</t>
        </is>
      </c>
      <c r="F517" s="9" t="inlineStr">
        <is>
          <t>Website Vietcombank</t>
        </is>
      </c>
      <c r="G517" s="10" t="inlineStr">
        <is>
          <t>Số 33, đường Quang Trung, phường Pleiku, tỉnh Gia Lai, Phường Thống Nhất, Gia Lai</t>
        </is>
      </c>
      <c r="H517" s="9" t="inlineStr">
        <is>
          <t>Phường Thống Nhất</t>
        </is>
      </c>
      <c r="I517" s="11" t="n">
        <v>14.028142</v>
      </c>
      <c r="J517" s="11" t="n">
        <v>107.989501</v>
      </c>
      <c r="K517" s="9" t="inlineStr">
        <is>
          <t>Đã đối chiếu</t>
        </is>
      </c>
      <c r="L517" s="10" t="n"/>
      <c r="M517" s="12" t="inlineStr">
        <is>
          <t>Bản đồ</t>
        </is>
      </c>
      <c r="N517" s="13" t="n"/>
      <c r="O517" s="14" t="n"/>
      <c r="P517" s="14" t="n"/>
      <c r="Q517" s="13" t="n"/>
      <c r="R517" s="15" t="n"/>
      <c r="S517" s="13" t="n"/>
      <c r="T517" s="13" t="n"/>
      <c r="U517" s="16">
        <f>IF(AND(ISNUMBER(O517),ISNUMBER(P517)),ROUND(SQRT(((P517-J517)*111320*COS(RADIANS(I517)))^2+((O517-I517)*110540)^2),0),"")</f>
        <v/>
      </c>
      <c r="V517" s="17">
        <f>IF(N517="","",IF(N517="Sửa vị trí",IF(OR(O517="",P517=""),"Thiếu vĩ độ / kinh độ mới",IF(OR(O517&lt;12.5,O517&gt;15,P517&lt;107,P517&gt;109.6),"Toạ độ ngoài Gia Lai (đảo vĩ/kinh độ?)",IF(Q517="","Chọn cách xác định",IF(U517&gt;20000,"Dời hơn 20 km – kiểm tra lại","OK")))),IF(AND(N517&lt;&gt;"Sửa vị trí",OR(O517&lt;&gt;"",P517&lt;&gt;"")),"Có toạ độ mới nhưng kết quả không phải Sửa vị trí","OK")))</f>
        <v/>
      </c>
    </row>
    <row r="518">
      <c r="A518" s="9" t="n">
        <v>514</v>
      </c>
      <c r="B518" s="9" t="inlineStr">
        <is>
          <t>d533a27b-42be-ee53-5317-3d1c13dae071</t>
        </is>
      </c>
      <c r="C518" s="9" t="inlineStr">
        <is>
          <t>Thấp</t>
        </is>
      </c>
      <c r="D518" s="10" t="inlineStr">
        <is>
          <t>Vietcombank – Bình Định - PGD An Lão</t>
        </is>
      </c>
      <c r="E518" s="9" t="inlineStr">
        <is>
          <t>Ngân hàng</t>
        </is>
      </c>
      <c r="F518" s="9" t="inlineStr">
        <is>
          <t>Website Vietcombank</t>
        </is>
      </c>
      <c r="G518" s="10" t="inlineStr">
        <is>
          <t>Thôn Xuân Phong Bắc, xã An Hòa, tỉnh Gia Lai, Xã An Hòa, Gia Lai</t>
        </is>
      </c>
      <c r="H518" s="9" t="inlineStr">
        <is>
          <t>Xã An Hòa</t>
        </is>
      </c>
      <c r="I518" s="11" t="n">
        <v>14.557775</v>
      </c>
      <c r="J518" s="11" t="n">
        <v>108.90097</v>
      </c>
      <c r="K518" s="9" t="inlineStr">
        <is>
          <t>Đã đối chiếu</t>
        </is>
      </c>
      <c r="L518" s="10" t="n"/>
      <c r="M518" s="12" t="inlineStr">
        <is>
          <t>Bản đồ</t>
        </is>
      </c>
      <c r="N518" s="13" t="n"/>
      <c r="O518" s="14" t="n"/>
      <c r="P518" s="14" t="n"/>
      <c r="Q518" s="13" t="n"/>
      <c r="R518" s="15" t="n"/>
      <c r="S518" s="13" t="n"/>
      <c r="T518" s="13" t="n"/>
      <c r="U518" s="16">
        <f>IF(AND(ISNUMBER(O518),ISNUMBER(P518)),ROUND(SQRT(((P518-J518)*111320*COS(RADIANS(I518)))^2+((O518-I518)*110540)^2),0),"")</f>
        <v/>
      </c>
      <c r="V518" s="17">
        <f>IF(N518="","",IF(N518="Sửa vị trí",IF(OR(O518="",P518=""),"Thiếu vĩ độ / kinh độ mới",IF(OR(O518&lt;12.5,O518&gt;15,P518&lt;107,P518&gt;109.6),"Toạ độ ngoài Gia Lai (đảo vĩ/kinh độ?)",IF(Q518="","Chọn cách xác định",IF(U518&gt;20000,"Dời hơn 20 km – kiểm tra lại","OK")))),IF(AND(N518&lt;&gt;"Sửa vị trí",OR(O518&lt;&gt;"",P518&lt;&gt;"")),"Có toạ độ mới nhưng kết quả không phải Sửa vị trí","OK")))</f>
        <v/>
      </c>
    </row>
    <row r="519">
      <c r="A519" s="9" t="n">
        <v>515</v>
      </c>
      <c r="B519" s="9" t="inlineStr">
        <is>
          <t>47613c17-60f7-f947-3e91-48f332d51f48</t>
        </is>
      </c>
      <c r="C519" s="9" t="inlineStr">
        <is>
          <t>Thấp</t>
        </is>
      </c>
      <c r="D519" s="10" t="inlineStr">
        <is>
          <t>Vietcombank – Gia Lai - PGD Chư prông</t>
        </is>
      </c>
      <c r="E519" s="9" t="inlineStr">
        <is>
          <t>Ngân hàng</t>
        </is>
      </c>
      <c r="F519" s="9" t="inlineStr">
        <is>
          <t>Website Vietcombank</t>
        </is>
      </c>
      <c r="G519" s="10" t="inlineStr">
        <is>
          <t>Số 573 Hùng Vương, xã Chư Prông, tỉnh Gia Lai, Xã Chư Sê, Gia Lai</t>
        </is>
      </c>
      <c r="H519" s="9" t="inlineStr">
        <is>
          <t>Xã Chư Sê</t>
        </is>
      </c>
      <c r="I519" s="11" t="n">
        <v>13.69585</v>
      </c>
      <c r="J519" s="11" t="n">
        <v>108.076021</v>
      </c>
      <c r="K519" s="9" t="inlineStr">
        <is>
          <t>Đã đối chiếu</t>
        </is>
      </c>
      <c r="L519" s="10" t="n"/>
      <c r="M519" s="12" t="inlineStr">
        <is>
          <t>Bản đồ</t>
        </is>
      </c>
      <c r="N519" s="13" t="n"/>
      <c r="O519" s="14" t="n"/>
      <c r="P519" s="14" t="n"/>
      <c r="Q519" s="13" t="n"/>
      <c r="R519" s="15" t="n"/>
      <c r="S519" s="13" t="n"/>
      <c r="T519" s="13" t="n"/>
      <c r="U519" s="16">
        <f>IF(AND(ISNUMBER(O519),ISNUMBER(P519)),ROUND(SQRT(((P519-J519)*111320*COS(RADIANS(I519)))^2+((O519-I519)*110540)^2),0),"")</f>
        <v/>
      </c>
      <c r="V519" s="17">
        <f>IF(N519="","",IF(N519="Sửa vị trí",IF(OR(O519="",P519=""),"Thiếu vĩ độ / kinh độ mới",IF(OR(O519&lt;12.5,O519&gt;15,P519&lt;107,P519&gt;109.6),"Toạ độ ngoài Gia Lai (đảo vĩ/kinh độ?)",IF(Q519="","Chọn cách xác định",IF(U519&gt;20000,"Dời hơn 20 km – kiểm tra lại","OK")))),IF(AND(N519&lt;&gt;"Sửa vị trí",OR(O519&lt;&gt;"",P519&lt;&gt;"")),"Có toạ độ mới nhưng kết quả không phải Sửa vị trí","OK")))</f>
        <v/>
      </c>
    </row>
    <row r="520">
      <c r="A520" s="9" t="n">
        <v>516</v>
      </c>
      <c r="B520" s="9" t="inlineStr">
        <is>
          <t>55e7c5bb-9b68-9f4d-ebc1-a80c60ff9ba9</t>
        </is>
      </c>
      <c r="C520" s="9" t="inlineStr">
        <is>
          <t>Thấp</t>
        </is>
      </c>
      <c r="D520" s="10" t="inlineStr">
        <is>
          <t>Vietcombank – Bắc Gia Lai - PGD Ia Grai</t>
        </is>
      </c>
      <c r="E520" s="9" t="inlineStr">
        <is>
          <t>Ngân hàng</t>
        </is>
      </c>
      <c r="F520" s="9" t="inlineStr">
        <is>
          <t>Website Vietcombank</t>
        </is>
      </c>
      <c r="G520" s="10" t="inlineStr">
        <is>
          <t>269 Hùng Vương, Xã Ia Grai, Tỉnh Gia Lai, Xã Ia Grai, Gia Lai</t>
        </is>
      </c>
      <c r="H520" s="9" t="inlineStr">
        <is>
          <t>Xã Ia Grai</t>
        </is>
      </c>
      <c r="I520" s="11" t="n">
        <v>13.961335</v>
      </c>
      <c r="J520" s="11" t="n">
        <v>107.846486</v>
      </c>
      <c r="K520" s="9" t="inlineStr">
        <is>
          <t>Đã đối chiếu</t>
        </is>
      </c>
      <c r="L520" s="10" t="n"/>
      <c r="M520" s="12" t="inlineStr">
        <is>
          <t>Bản đồ</t>
        </is>
      </c>
      <c r="N520" s="13" t="n"/>
      <c r="O520" s="14" t="n"/>
      <c r="P520" s="14" t="n"/>
      <c r="Q520" s="13" t="n"/>
      <c r="R520" s="15" t="n"/>
      <c r="S520" s="13" t="n"/>
      <c r="T520" s="13" t="n"/>
      <c r="U520" s="16">
        <f>IF(AND(ISNUMBER(O520),ISNUMBER(P520)),ROUND(SQRT(((P520-J520)*111320*COS(RADIANS(I520)))^2+((O520-I520)*110540)^2),0),"")</f>
        <v/>
      </c>
      <c r="V520" s="17">
        <f>IF(N520="","",IF(N520="Sửa vị trí",IF(OR(O520="",P520=""),"Thiếu vĩ độ / kinh độ mới",IF(OR(O520&lt;12.5,O520&gt;15,P520&lt;107,P520&gt;109.6),"Toạ độ ngoài Gia Lai (đảo vĩ/kinh độ?)",IF(Q520="","Chọn cách xác định",IF(U520&gt;20000,"Dời hơn 20 km – kiểm tra lại","OK")))),IF(AND(N520&lt;&gt;"Sửa vị trí",OR(O520&lt;&gt;"",P520&lt;&gt;"")),"Có toạ độ mới nhưng kết quả không phải Sửa vị trí","OK")))</f>
        <v/>
      </c>
    </row>
    <row r="521">
      <c r="A521" s="9" t="n">
        <v>517</v>
      </c>
      <c r="B521" s="9" t="inlineStr">
        <is>
          <t>52cad41f-069f-0cfd-f3b1-68693d682dd8</t>
        </is>
      </c>
      <c r="C521" s="9" t="inlineStr">
        <is>
          <t>Thấp</t>
        </is>
      </c>
      <c r="D521" s="10" t="inlineStr">
        <is>
          <t>Vietcombank – Quy Nhơn - PGD Phù Cát</t>
        </is>
      </c>
      <c r="E521" s="9" t="inlineStr">
        <is>
          <t>Ngân hàng</t>
        </is>
      </c>
      <c r="F521" s="9" t="inlineStr">
        <is>
          <t>Website Vietcombank</t>
        </is>
      </c>
      <c r="G521" s="10" t="inlineStr">
        <is>
          <t>Thửa đất số 247, tờ bản đồ số 106, thôn Phú Kim, xã Phù Cát, tỉnh Gia Lai., Xã Phù Cát, Gia Lai</t>
        </is>
      </c>
      <c r="H521" s="9" t="inlineStr">
        <is>
          <t>Xã Phù Cát</t>
        </is>
      </c>
      <c r="I521" s="11" t="n">
        <v>14.011639</v>
      </c>
      <c r="J521" s="11" t="n">
        <v>109.056417</v>
      </c>
      <c r="K521" s="9" t="inlineStr">
        <is>
          <t>Đã đối chiếu</t>
        </is>
      </c>
      <c r="L521" s="10" t="n"/>
      <c r="M521" s="12" t="inlineStr">
        <is>
          <t>Bản đồ</t>
        </is>
      </c>
      <c r="N521" s="13" t="n"/>
      <c r="O521" s="14" t="n"/>
      <c r="P521" s="14" t="n"/>
      <c r="Q521" s="13" t="n"/>
      <c r="R521" s="15" t="n"/>
      <c r="S521" s="13" t="n"/>
      <c r="T521" s="13" t="n"/>
      <c r="U521" s="16">
        <f>IF(AND(ISNUMBER(O521),ISNUMBER(P521)),ROUND(SQRT(((P521-J521)*111320*COS(RADIANS(I521)))^2+((O521-I521)*110540)^2),0),"")</f>
        <v/>
      </c>
      <c r="V521" s="17">
        <f>IF(N521="","",IF(N521="Sửa vị trí",IF(OR(O521="",P521=""),"Thiếu vĩ độ / kinh độ mới",IF(OR(O521&lt;12.5,O521&gt;15,P521&lt;107,P521&gt;109.6),"Toạ độ ngoài Gia Lai (đảo vĩ/kinh độ?)",IF(Q521="","Chọn cách xác định",IF(U521&gt;20000,"Dời hơn 20 km – kiểm tra lại","OK")))),IF(AND(N521&lt;&gt;"Sửa vị trí",OR(O521&lt;&gt;"",P521&lt;&gt;"")),"Có toạ độ mới nhưng kết quả không phải Sửa vị trí","OK")))</f>
        <v/>
      </c>
    </row>
    <row r="522">
      <c r="A522" s="9" t="n">
        <v>518</v>
      </c>
      <c r="B522" s="9" t="inlineStr">
        <is>
          <t>25826e43-d6ff-1dbf-71b0-e506d00df78a</t>
        </is>
      </c>
      <c r="C522" s="9" t="inlineStr">
        <is>
          <t>Thấp</t>
        </is>
      </c>
      <c r="D522" s="10" t="inlineStr">
        <is>
          <t>Vietcombank – Quy Nhơn - PGD Diêu Trì</t>
        </is>
      </c>
      <c r="E522" s="9" t="inlineStr">
        <is>
          <t>Ngân hàng</t>
        </is>
      </c>
      <c r="F522" s="9" t="inlineStr">
        <is>
          <t>Website Vietcombank</t>
        </is>
      </c>
      <c r="G522" s="10" t="inlineStr">
        <is>
          <t>Số 60 Trần Phú, xã Tuy Phước, tỉnh Gia Lai, Xã Tuy Phước, Gia Lai</t>
        </is>
      </c>
      <c r="H522" s="9" t="inlineStr">
        <is>
          <t>Xã Tuy Phước</t>
        </is>
      </c>
      <c r="I522" s="11" t="n">
        <v>13.803286</v>
      </c>
      <c r="J522" s="11" t="n">
        <v>109.147701</v>
      </c>
      <c r="K522" s="9" t="inlineStr">
        <is>
          <t>Đã đối chiếu</t>
        </is>
      </c>
      <c r="L522" s="10" t="n"/>
      <c r="M522" s="12" t="inlineStr">
        <is>
          <t>Bản đồ</t>
        </is>
      </c>
      <c r="N522" s="13" t="n"/>
      <c r="O522" s="14" t="n"/>
      <c r="P522" s="14" t="n"/>
      <c r="Q522" s="13" t="n"/>
      <c r="R522" s="15" t="n"/>
      <c r="S522" s="13" t="n"/>
      <c r="T522" s="13" t="n"/>
      <c r="U522" s="16">
        <f>IF(AND(ISNUMBER(O522),ISNUMBER(P522)),ROUND(SQRT(((P522-J522)*111320*COS(RADIANS(I522)))^2+((O522-I522)*110540)^2),0),"")</f>
        <v/>
      </c>
      <c r="V522" s="17">
        <f>IF(N522="","",IF(N522="Sửa vị trí",IF(OR(O522="",P522=""),"Thiếu vĩ độ / kinh độ mới",IF(OR(O522&lt;12.5,O522&gt;15,P522&lt;107,P522&gt;109.6),"Toạ độ ngoài Gia Lai (đảo vĩ/kinh độ?)",IF(Q522="","Chọn cách xác định",IF(U522&gt;20000,"Dời hơn 20 km – kiểm tra lại","OK")))),IF(AND(N522&lt;&gt;"Sửa vị trí",OR(O522&lt;&gt;"",P522&lt;&gt;"")),"Có toạ độ mới nhưng kết quả không phải Sửa vị trí","OK")))</f>
        <v/>
      </c>
    </row>
    <row r="523">
      <c r="A523" s="9" t="n">
        <v>519</v>
      </c>
      <c r="B523" s="9" t="inlineStr">
        <is>
          <t>3e45820a-a9bf-9571-3eb1-4c470e2bb889</t>
        </is>
      </c>
      <c r="C523" s="9" t="inlineStr">
        <is>
          <t>Thấp</t>
        </is>
      </c>
      <c r="D523" s="10" t="inlineStr">
        <is>
          <t>Agribank – Chi nhánh Tây Sơn Bình Định</t>
        </is>
      </c>
      <c r="E523" s="9" t="inlineStr">
        <is>
          <t>Ngân hàng</t>
        </is>
      </c>
      <c r="F523" s="9" t="inlineStr">
        <is>
          <t>Website Agribank</t>
        </is>
      </c>
      <c r="G523" s="10" t="inlineStr">
        <is>
          <t>Số 09 Quang Trung, xã Tây Sơn, tỉnh Gia Lai, Việt Nam., Xã Tây Sơn, Gia Lai</t>
        </is>
      </c>
      <c r="H523" s="9" t="inlineStr">
        <is>
          <t>Xã Tây Sơn</t>
        </is>
      </c>
      <c r="I523" s="11" t="n">
        <v>13.910613</v>
      </c>
      <c r="J523" s="11" t="n">
        <v>108.913577</v>
      </c>
      <c r="K523" s="9" t="inlineStr">
        <is>
          <t>Đã đối chiếu</t>
        </is>
      </c>
      <c r="L523" s="10" t="n"/>
      <c r="M523" s="12" t="inlineStr">
        <is>
          <t>Bản đồ</t>
        </is>
      </c>
      <c r="N523" s="13" t="n"/>
      <c r="O523" s="14" t="n"/>
      <c r="P523" s="14" t="n"/>
      <c r="Q523" s="13" t="n"/>
      <c r="R523" s="15" t="n"/>
      <c r="S523" s="13" t="n"/>
      <c r="T523" s="13" t="n"/>
      <c r="U523" s="16">
        <f>IF(AND(ISNUMBER(O523),ISNUMBER(P523)),ROUND(SQRT(((P523-J523)*111320*COS(RADIANS(I523)))^2+((O523-I523)*110540)^2),0),"")</f>
        <v/>
      </c>
      <c r="V523" s="17">
        <f>IF(N523="","",IF(N523="Sửa vị trí",IF(OR(O523="",P523=""),"Thiếu vĩ độ / kinh độ mới",IF(OR(O523&lt;12.5,O523&gt;15,P523&lt;107,P523&gt;109.6),"Toạ độ ngoài Gia Lai (đảo vĩ/kinh độ?)",IF(Q523="","Chọn cách xác định",IF(U523&gt;20000,"Dời hơn 20 km – kiểm tra lại","OK")))),IF(AND(N523&lt;&gt;"Sửa vị trí",OR(O523&lt;&gt;"",P523&lt;&gt;"")),"Có toạ độ mới nhưng kết quả không phải Sửa vị trí","OK")))</f>
        <v/>
      </c>
    </row>
    <row r="524">
      <c r="A524" s="9" t="n">
        <v>520</v>
      </c>
      <c r="B524" s="9" t="inlineStr">
        <is>
          <t>6865d31a-99f7-4252-b544-a40f61145137</t>
        </is>
      </c>
      <c r="C524" s="9" t="inlineStr">
        <is>
          <t>Thấp</t>
        </is>
      </c>
      <c r="D524" s="10" t="inlineStr">
        <is>
          <t>Vietcombank – Quy Nhơn - PGD Quang Trung</t>
        </is>
      </c>
      <c r="E524" s="9" t="inlineStr">
        <is>
          <t>Ngân hàng</t>
        </is>
      </c>
      <c r="F524" s="9" t="inlineStr">
        <is>
          <t>Website Vietcombank</t>
        </is>
      </c>
      <c r="G524" s="10" t="inlineStr">
        <is>
          <t>Thôn 2, xã Tây Sơn, tỉnh Gia Lai, Xã Tây Sơn, Gia Lai</t>
        </is>
      </c>
      <c r="H524" s="9" t="inlineStr">
        <is>
          <t>Xã Tây Sơn</t>
        </is>
      </c>
      <c r="I524" s="11" t="n">
        <v>13.892818</v>
      </c>
      <c r="J524" s="11" t="n">
        <v>108.974205</v>
      </c>
      <c r="K524" s="9" t="inlineStr">
        <is>
          <t>Đã đối chiếu</t>
        </is>
      </c>
      <c r="L524" s="10" t="n"/>
      <c r="M524" s="12" t="inlineStr">
        <is>
          <t>Bản đồ</t>
        </is>
      </c>
      <c r="N524" s="13" t="n"/>
      <c r="O524" s="14" t="n"/>
      <c r="P524" s="14" t="n"/>
      <c r="Q524" s="13" t="n"/>
      <c r="R524" s="15" t="n"/>
      <c r="S524" s="13" t="n"/>
      <c r="T524" s="13" t="n"/>
      <c r="U524" s="16">
        <f>IF(AND(ISNUMBER(O524),ISNUMBER(P524)),ROUND(SQRT(((P524-J524)*111320*COS(RADIANS(I524)))^2+((O524-I524)*110540)^2),0),"")</f>
        <v/>
      </c>
      <c r="V524" s="17">
        <f>IF(N524="","",IF(N524="Sửa vị trí",IF(OR(O524="",P524=""),"Thiếu vĩ độ / kinh độ mới",IF(OR(O524&lt;12.5,O524&gt;15,P524&lt;107,P524&gt;109.6),"Toạ độ ngoài Gia Lai (đảo vĩ/kinh độ?)",IF(Q524="","Chọn cách xác định",IF(U524&gt;20000,"Dời hơn 20 km – kiểm tra lại","OK")))),IF(AND(N524&lt;&gt;"Sửa vị trí",OR(O524&lt;&gt;"",P524&lt;&gt;"")),"Có toạ độ mới nhưng kết quả không phải Sửa vị trí","OK")))</f>
        <v/>
      </c>
    </row>
    <row r="525">
      <c r="A525" s="9" t="n">
        <v>521</v>
      </c>
      <c r="B525" s="9" t="inlineStr">
        <is>
          <t>c0cfd883-d350-5fd1-1029-662106f45aed</t>
        </is>
      </c>
      <c r="C525" s="9" t="inlineStr">
        <is>
          <t>Thấp</t>
        </is>
      </c>
      <c r="D525" s="10" t="inlineStr">
        <is>
          <t>Agribank – Chi nhánh Vân Canh Bình Định</t>
        </is>
      </c>
      <c r="E525" s="9" t="inlineStr">
        <is>
          <t>Ngân hàng</t>
        </is>
      </c>
      <c r="F525" s="9" t="inlineStr">
        <is>
          <t>Website Agribank</t>
        </is>
      </c>
      <c r="G525" s="10" t="inlineStr">
        <is>
          <t>Số 485 đường Quang Trung, xã Vân Canh, tỉnh Gia Lai, Việt Nam., Xã Vân Canh, Gia Lai</t>
        </is>
      </c>
      <c r="H525" s="9" t="inlineStr">
        <is>
          <t>Xã Vân Canh</t>
        </is>
      </c>
      <c r="I525" s="11" t="n">
        <v>13.614802</v>
      </c>
      <c r="J525" s="11" t="n">
        <v>108.992216</v>
      </c>
      <c r="K525" s="9" t="inlineStr">
        <is>
          <t>Đã đối chiếu</t>
        </is>
      </c>
      <c r="L525" s="10" t="n"/>
      <c r="M525" s="12" t="inlineStr">
        <is>
          <t>Bản đồ</t>
        </is>
      </c>
      <c r="N525" s="13" t="n"/>
      <c r="O525" s="14" t="n"/>
      <c r="P525" s="14" t="n"/>
      <c r="Q525" s="13" t="n"/>
      <c r="R525" s="15" t="n"/>
      <c r="S525" s="13" t="n"/>
      <c r="T525" s="13" t="n"/>
      <c r="U525" s="16">
        <f>IF(AND(ISNUMBER(O525),ISNUMBER(P525)),ROUND(SQRT(((P525-J525)*111320*COS(RADIANS(I525)))^2+((O525-I525)*110540)^2),0),"")</f>
        <v/>
      </c>
      <c r="V525" s="17">
        <f>IF(N525="","",IF(N525="Sửa vị trí",IF(OR(O525="",P525=""),"Thiếu vĩ độ / kinh độ mới",IF(OR(O525&lt;12.5,O525&gt;15,P525&lt;107,P525&gt;109.6),"Toạ độ ngoài Gia Lai (đảo vĩ/kinh độ?)",IF(Q525="","Chọn cách xác định",IF(U525&gt;20000,"Dời hơn 20 km – kiểm tra lại","OK")))),IF(AND(N525&lt;&gt;"Sửa vị trí",OR(O525&lt;&gt;"",P525&lt;&gt;"")),"Có toạ độ mới nhưng kết quả không phải Sửa vị trí","OK")))</f>
        <v/>
      </c>
    </row>
    <row r="526">
      <c r="A526" s="9" t="n">
        <v>522</v>
      </c>
      <c r="B526" s="9" t="inlineStr">
        <is>
          <t>1686b901-aae3-d06b-6d16-aa95633f4573</t>
        </is>
      </c>
      <c r="C526" s="9" t="inlineStr">
        <is>
          <t>Thấp</t>
        </is>
      </c>
      <c r="D526" s="10" t="inlineStr">
        <is>
          <t>Agribank – Chi nhánh Vĩnh Thạnh Bình Định</t>
        </is>
      </c>
      <c r="E526" s="9" t="inlineStr">
        <is>
          <t>Ngân hàng</t>
        </is>
      </c>
      <c r="F526" s="9" t="inlineStr">
        <is>
          <t>Website Agribank</t>
        </is>
      </c>
      <c r="G526" s="10" t="inlineStr">
        <is>
          <t>Số 259 đường Nguyễn Huệ, xã Vĩnh Thạnh, tỉnh Gia Lai, Việt Nam., Xã Vĩnh Thạnh, Gia Lai</t>
        </is>
      </c>
      <c r="H526" s="9" t="inlineStr">
        <is>
          <t>Xã Vĩnh Thạnh</t>
        </is>
      </c>
      <c r="I526" s="11" t="n">
        <v>14.108173</v>
      </c>
      <c r="J526" s="11" t="n">
        <v>108.78449</v>
      </c>
      <c r="K526" s="9" t="inlineStr">
        <is>
          <t>Đã đối chiếu</t>
        </is>
      </c>
      <c r="L526" s="10" t="n"/>
      <c r="M526" s="12" t="inlineStr">
        <is>
          <t>Bản đồ</t>
        </is>
      </c>
      <c r="N526" s="13" t="n"/>
      <c r="O526" s="14" t="n"/>
      <c r="P526" s="14" t="n"/>
      <c r="Q526" s="13" t="n"/>
      <c r="R526" s="15" t="n"/>
      <c r="S526" s="13" t="n"/>
      <c r="T526" s="13" t="n"/>
      <c r="U526" s="16">
        <f>IF(AND(ISNUMBER(O526),ISNUMBER(P526)),ROUND(SQRT(((P526-J526)*111320*COS(RADIANS(I526)))^2+((O526-I526)*110540)^2),0),"")</f>
        <v/>
      </c>
      <c r="V526" s="17">
        <f>IF(N526="","",IF(N526="Sửa vị trí",IF(OR(O526="",P526=""),"Thiếu vĩ độ / kinh độ mới",IF(OR(O526&lt;12.5,O526&gt;15,P526&lt;107,P526&gt;109.6),"Toạ độ ngoài Gia Lai (đảo vĩ/kinh độ?)",IF(Q526="","Chọn cách xác định",IF(U526&gt;20000,"Dời hơn 20 km – kiểm tra lại","OK")))),IF(AND(N526&lt;&gt;"Sửa vị trí",OR(O526&lt;&gt;"",P526&lt;&gt;"")),"Có toạ độ mới nhưng kết quả không phải Sửa vị trí","OK")))</f>
        <v/>
      </c>
    </row>
    <row r="527">
      <c r="A527" s="9" t="n">
        <v>523</v>
      </c>
      <c r="B527" s="9" t="inlineStr">
        <is>
          <t>df305039-ae68-93ee-6521-c55b6ac2963e</t>
        </is>
      </c>
      <c r="C527" s="9" t="inlineStr">
        <is>
          <t>Thấp</t>
        </is>
      </c>
      <c r="D527" s="10" t="inlineStr">
        <is>
          <t>Vietcombank – Bắc Gia Lai - PGD Đăk Đoa</t>
        </is>
      </c>
      <c r="E527" s="9" t="inlineStr">
        <is>
          <t>Ngân hàng</t>
        </is>
      </c>
      <c r="F527" s="9" t="inlineStr">
        <is>
          <t>Website Vietcombank</t>
        </is>
      </c>
      <c r="G527" s="10" t="inlineStr">
        <is>
          <t>259 Nguyễn Huệ, Xã Đak Đoa, Tỉnh Gia Lai, Xã Đak Đoa, Gia Lai</t>
        </is>
      </c>
      <c r="H527" s="9" t="inlineStr">
        <is>
          <t>Xã Đak Đoa</t>
        </is>
      </c>
      <c r="I527" s="11" t="n">
        <v>13.994398</v>
      </c>
      <c r="J527" s="11" t="n">
        <v>108.112695</v>
      </c>
      <c r="K527" s="9" t="inlineStr">
        <is>
          <t>Đã đối chiếu</t>
        </is>
      </c>
      <c r="L527" s="10" t="n"/>
      <c r="M527" s="12" t="inlineStr">
        <is>
          <t>Bản đồ</t>
        </is>
      </c>
      <c r="N527" s="13" t="n"/>
      <c r="O527" s="14" t="n"/>
      <c r="P527" s="14" t="n"/>
      <c r="Q527" s="13" t="n"/>
      <c r="R527" s="15" t="n"/>
      <c r="S527" s="13" t="n"/>
      <c r="T527" s="13" t="n"/>
      <c r="U527" s="16">
        <f>IF(AND(ISNUMBER(O527),ISNUMBER(P527)),ROUND(SQRT(((P527-J527)*111320*COS(RADIANS(I527)))^2+((O527-I527)*110540)^2),0),"")</f>
        <v/>
      </c>
      <c r="V527" s="17">
        <f>IF(N527="","",IF(N527="Sửa vị trí",IF(OR(O527="",P527=""),"Thiếu vĩ độ / kinh độ mới",IF(OR(O527&lt;12.5,O527&gt;15,P527&lt;107,P527&gt;109.6),"Toạ độ ngoài Gia Lai (đảo vĩ/kinh độ?)",IF(Q527="","Chọn cách xác định",IF(U527&gt;20000,"Dời hơn 20 km – kiểm tra lại","OK")))),IF(AND(N527&lt;&gt;"Sửa vị trí",OR(O527&lt;&gt;"",P527&lt;&gt;"")),"Có toạ độ mới nhưng kết quả không phải Sửa vị trí","OK")))</f>
        <v/>
      </c>
    </row>
    <row r="528">
      <c r="A528" s="9" t="n">
        <v>524</v>
      </c>
      <c r="B528" s="9" t="inlineStr">
        <is>
          <t>ff592e4b-5446-b4db-a3d5-a7c740ce4d58</t>
        </is>
      </c>
      <c r="C528" s="9" t="inlineStr">
        <is>
          <t>Thấp</t>
        </is>
      </c>
      <c r="D528" s="10" t="inlineStr">
        <is>
          <t>Vietcombank – Gia Lai - PGD Chư Sê</t>
        </is>
      </c>
      <c r="E528" s="9" t="inlineStr">
        <is>
          <t>Ngân hàng</t>
        </is>
      </c>
      <c r="F528" s="9" t="inlineStr">
        <is>
          <t>Website Vietcombank</t>
        </is>
      </c>
      <c r="G528" s="10" t="inlineStr">
        <is>
          <t>Số 804 Hùng Vương, xã Chư Sê, tỉnh Gia Lai, Xã Đak Đoa, Gia Lai</t>
        </is>
      </c>
      <c r="H528" s="9" t="inlineStr">
        <is>
          <t>Xã Đak Đoa</t>
        </is>
      </c>
      <c r="I528" s="11" t="n">
        <v>13.994398</v>
      </c>
      <c r="J528" s="11" t="n">
        <v>108.112695</v>
      </c>
      <c r="K528" s="9" t="inlineStr">
        <is>
          <t>Đã đối chiếu</t>
        </is>
      </c>
      <c r="L528" s="10" t="n"/>
      <c r="M528" s="12" t="inlineStr">
        <is>
          <t>Bản đồ</t>
        </is>
      </c>
      <c r="N528" s="13" t="n"/>
      <c r="O528" s="14" t="n"/>
      <c r="P528" s="14" t="n"/>
      <c r="Q528" s="13" t="n"/>
      <c r="R528" s="15" t="n"/>
      <c r="S528" s="13" t="n"/>
      <c r="T528" s="13" t="n"/>
      <c r="U528" s="16">
        <f>IF(AND(ISNUMBER(O528),ISNUMBER(P528)),ROUND(SQRT(((P528-J528)*111320*COS(RADIANS(I528)))^2+((O528-I528)*110540)^2),0),"")</f>
        <v/>
      </c>
      <c r="V528" s="17">
        <f>IF(N528="","",IF(N528="Sửa vị trí",IF(OR(O528="",P528=""),"Thiếu vĩ độ / kinh độ mới",IF(OR(O528&lt;12.5,O528&gt;15,P528&lt;107,P528&gt;109.6),"Toạ độ ngoài Gia Lai (đảo vĩ/kinh độ?)",IF(Q528="","Chọn cách xác định",IF(U528&gt;20000,"Dời hơn 20 km – kiểm tra lại","OK")))),IF(AND(N528&lt;&gt;"Sửa vị trí",OR(O528&lt;&gt;"",P528&lt;&gt;"")),"Có toạ độ mới nhưng kết quả không phải Sửa vị trí","OK")))</f>
        <v/>
      </c>
    </row>
    <row r="529">
      <c r="A529" s="9" t="n">
        <v>525</v>
      </c>
      <c r="B529" s="9" t="inlineStr">
        <is>
          <t>48c9a934-fe96-3f97-2962-43a9f0f80941</t>
        </is>
      </c>
      <c r="C529" s="9" t="inlineStr">
        <is>
          <t>Thấp</t>
        </is>
      </c>
      <c r="D529" s="10" t="inlineStr">
        <is>
          <t>Vietcombank – Bắc Gia Lai - PGD Đức Cơ</t>
        </is>
      </c>
      <c r="E529" s="9" t="inlineStr">
        <is>
          <t>Ngân hàng</t>
        </is>
      </c>
      <c r="F529" s="9" t="inlineStr">
        <is>
          <t>Website Vietcombank</t>
        </is>
      </c>
      <c r="G529" s="10" t="inlineStr">
        <is>
          <t>667 Quang Trung, Xã Đức Cơ, Tỉnh Gia Lai, Xã Đức Cơ, Gia Lai</t>
        </is>
      </c>
      <c r="H529" s="9" t="inlineStr">
        <is>
          <t>Xã Đức Cơ</t>
        </is>
      </c>
      <c r="I529" s="11" t="n">
        <v>13.800252</v>
      </c>
      <c r="J529" s="11" t="n">
        <v>107.687026</v>
      </c>
      <c r="K529" s="9" t="inlineStr">
        <is>
          <t>Đã đối chiếu</t>
        </is>
      </c>
      <c r="L529" s="10" t="n"/>
      <c r="M529" s="12" t="inlineStr">
        <is>
          <t>Bản đồ</t>
        </is>
      </c>
      <c r="N529" s="13" t="n"/>
      <c r="O529" s="14" t="n"/>
      <c r="P529" s="14" t="n"/>
      <c r="Q529" s="13" t="n"/>
      <c r="R529" s="15" t="n"/>
      <c r="S529" s="13" t="n"/>
      <c r="T529" s="13" t="n"/>
      <c r="U529" s="16">
        <f>IF(AND(ISNUMBER(O529),ISNUMBER(P529)),ROUND(SQRT(((P529-J529)*111320*COS(RADIANS(I529)))^2+((O529-I529)*110540)^2),0),"")</f>
        <v/>
      </c>
      <c r="V529" s="17">
        <f>IF(N529="","",IF(N529="Sửa vị trí",IF(OR(O529="",P529=""),"Thiếu vĩ độ / kinh độ mới",IF(OR(O529&lt;12.5,O529&gt;15,P529&lt;107,P529&gt;109.6),"Toạ độ ngoài Gia Lai (đảo vĩ/kinh độ?)",IF(Q529="","Chọn cách xác định",IF(U529&gt;20000,"Dời hơn 20 km – kiểm tra lại","OK")))),IF(AND(N529&lt;&gt;"Sửa vị trí",OR(O529&lt;&gt;"",P529&lt;&gt;"")),"Có toạ độ mới nhưng kết quả không phải Sửa vị trí","OK")))</f>
        <v/>
      </c>
    </row>
    <row r="530">
      <c r="A530" s="9" t="n">
        <v>526</v>
      </c>
      <c r="B530" s="9" t="inlineStr">
        <is>
          <t>e7baad35-8b48-4ae5-8cd3-782062365bb2</t>
        </is>
      </c>
      <c r="C530" s="9" t="inlineStr">
        <is>
          <t>Thấp</t>
        </is>
      </c>
      <c r="D530" s="10" t="inlineStr">
        <is>
          <t>Bảo tàng Pleiku</t>
        </is>
      </c>
      <c r="E530" s="9" t="inlineStr">
        <is>
          <t>Địa danh văn hóa</t>
        </is>
      </c>
      <c r="F530" s="9" t="inlineStr">
        <is>
          <t>Dữ liệu gialai-travel</t>
        </is>
      </c>
      <c r="G530" s="10" t="inlineStr">
        <is>
          <t>6 Phan Đình Phùng, Phường Pleiku, Gia Lai</t>
        </is>
      </c>
      <c r="H530" s="9" t="inlineStr">
        <is>
          <t>Phường Pleiku</t>
        </is>
      </c>
      <c r="I530" s="11" t="n">
        <v>13.986153</v>
      </c>
      <c r="J530" s="11" t="n">
        <v>108.00597</v>
      </c>
      <c r="K530" s="9" t="inlineStr">
        <is>
          <t>Đã đối chiếu</t>
        </is>
      </c>
      <c r="L530" s="10" t="n"/>
      <c r="M530" s="12" t="inlineStr">
        <is>
          <t>Bản đồ</t>
        </is>
      </c>
      <c r="N530" s="13" t="n"/>
      <c r="O530" s="14" t="n"/>
      <c r="P530" s="14" t="n"/>
      <c r="Q530" s="13" t="n"/>
      <c r="R530" s="15" t="n"/>
      <c r="S530" s="13" t="n"/>
      <c r="T530" s="13" t="n"/>
      <c r="U530" s="16">
        <f>IF(AND(ISNUMBER(O530),ISNUMBER(P530)),ROUND(SQRT(((P530-J530)*111320*COS(RADIANS(I530)))^2+((O530-I530)*110540)^2),0),"")</f>
        <v/>
      </c>
      <c r="V530" s="17">
        <f>IF(N530="","",IF(N530="Sửa vị trí",IF(OR(O530="",P530=""),"Thiếu vĩ độ / kinh độ mới",IF(OR(O530&lt;12.5,O530&gt;15,P530&lt;107,P530&gt;109.6),"Toạ độ ngoài Gia Lai (đảo vĩ/kinh độ?)",IF(Q530="","Chọn cách xác định",IF(U530&gt;20000,"Dời hơn 20 km – kiểm tra lại","OK")))),IF(AND(N530&lt;&gt;"Sửa vị trí",OR(O530&lt;&gt;"",P530&lt;&gt;"")),"Có toạ độ mới nhưng kết quả không phải Sửa vị trí","OK")))</f>
        <v/>
      </c>
    </row>
  </sheetData>
  <autoFilter ref="A4:V530"/>
  <conditionalFormatting sqref="V5:V530">
    <cfRule type="expression" priority="1" dxfId="0">
      <formula>V5="OK"</formula>
    </cfRule>
    <cfRule type="expression" priority="2" dxfId="1">
      <formula>AND(V5&lt;&gt;"",V5&lt;&gt;"OK")</formula>
    </cfRule>
  </conditionalFormatting>
  <conditionalFormatting sqref="C5:C530">
    <cfRule type="expression" priority="3" dxfId="1">
      <formula>C5="Cao"</formula>
    </cfRule>
  </conditionalFormatting>
  <dataValidations count="5">
    <dataValidation sqref="N5:N530" showDropDown="0" showInputMessage="0" showErrorMessage="1" allowBlank="1" error="Chọn kết quả trong danh sách." type="list">
      <formula1>"Vị trí đúng,Sửa vị trí,Địa điểm không tồn tại,Đã chuyển đi (chưa rõ nơi mới)"</formula1>
    </dataValidation>
    <dataValidation sqref="O5:O530" showDropDown="0" showInputMessage="0" showErrorMessage="1" allowBlank="0" error="Vĩ độ Gia Lai: 12,5 – 15,0 (vd 13.981234)." type="decimal" operator="between">
      <formula1>12.5</formula1>
      <formula2>15</formula2>
    </dataValidation>
    <dataValidation sqref="P5:P530" showDropDown="0" showInputMessage="0" showErrorMessage="1" allowBlank="0" error="Kinh độ Gia Lai: 107,0 – 109,6 (vd 108.004567)." type="decimal" operator="between">
      <formula1>107</formula1>
      <formula2>109.6</formula2>
    </dataValidation>
    <dataValidation sqref="Q5:Q530" showDropDown="0" showInputMessage="0" showErrorMessage="0" allowBlank="1" type="list">
      <formula1>"Đo GPS tại chỗ,Chọn trên ảnh vệ tinh,Khác"</formula1>
    </dataValidation>
    <dataValidation sqref="R5:R530" showDropDown="0" showInputMessage="0" showErrorMessage="1" allowBlank="0" error="Nhập ngày dd/mm/yyyy." type="date" operator="between">
      <formula1>DATE(2025,1,1)</formula1>
      <formula2>DATE(2030,12,31)</formula2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  <hyperlink xmlns:r="http://schemas.openxmlformats.org/officeDocument/2006/relationships" ref="M78" r:id="rId74"/>
    <hyperlink xmlns:r="http://schemas.openxmlformats.org/officeDocument/2006/relationships" ref="M79" r:id="rId75"/>
    <hyperlink xmlns:r="http://schemas.openxmlformats.org/officeDocument/2006/relationships" ref="M80" r:id="rId76"/>
    <hyperlink xmlns:r="http://schemas.openxmlformats.org/officeDocument/2006/relationships" ref="M81" r:id="rId77"/>
    <hyperlink xmlns:r="http://schemas.openxmlformats.org/officeDocument/2006/relationships" ref="M82" r:id="rId78"/>
    <hyperlink xmlns:r="http://schemas.openxmlformats.org/officeDocument/2006/relationships" ref="M83" r:id="rId79"/>
    <hyperlink xmlns:r="http://schemas.openxmlformats.org/officeDocument/2006/relationships" ref="M84" r:id="rId80"/>
    <hyperlink xmlns:r="http://schemas.openxmlformats.org/officeDocument/2006/relationships" ref="M85" r:id="rId81"/>
    <hyperlink xmlns:r="http://schemas.openxmlformats.org/officeDocument/2006/relationships" ref="M86" r:id="rId82"/>
    <hyperlink xmlns:r="http://schemas.openxmlformats.org/officeDocument/2006/relationships" ref="M87" r:id="rId83"/>
    <hyperlink xmlns:r="http://schemas.openxmlformats.org/officeDocument/2006/relationships" ref="M88" r:id="rId84"/>
    <hyperlink xmlns:r="http://schemas.openxmlformats.org/officeDocument/2006/relationships" ref="M89" r:id="rId85"/>
    <hyperlink xmlns:r="http://schemas.openxmlformats.org/officeDocument/2006/relationships" ref="M90" r:id="rId86"/>
    <hyperlink xmlns:r="http://schemas.openxmlformats.org/officeDocument/2006/relationships" ref="M91" r:id="rId87"/>
    <hyperlink xmlns:r="http://schemas.openxmlformats.org/officeDocument/2006/relationships" ref="M92" r:id="rId88"/>
    <hyperlink xmlns:r="http://schemas.openxmlformats.org/officeDocument/2006/relationships" ref="M93" r:id="rId89"/>
    <hyperlink xmlns:r="http://schemas.openxmlformats.org/officeDocument/2006/relationships" ref="M94" r:id="rId90"/>
    <hyperlink xmlns:r="http://schemas.openxmlformats.org/officeDocument/2006/relationships" ref="M95" r:id="rId91"/>
    <hyperlink xmlns:r="http://schemas.openxmlformats.org/officeDocument/2006/relationships" ref="M96" r:id="rId92"/>
    <hyperlink xmlns:r="http://schemas.openxmlformats.org/officeDocument/2006/relationships" ref="M97" r:id="rId93"/>
    <hyperlink xmlns:r="http://schemas.openxmlformats.org/officeDocument/2006/relationships" ref="M98" r:id="rId94"/>
    <hyperlink xmlns:r="http://schemas.openxmlformats.org/officeDocument/2006/relationships" ref="M99" r:id="rId95"/>
    <hyperlink xmlns:r="http://schemas.openxmlformats.org/officeDocument/2006/relationships" ref="M100" r:id="rId96"/>
    <hyperlink xmlns:r="http://schemas.openxmlformats.org/officeDocument/2006/relationships" ref="M101" r:id="rId97"/>
    <hyperlink xmlns:r="http://schemas.openxmlformats.org/officeDocument/2006/relationships" ref="M102" r:id="rId98"/>
    <hyperlink xmlns:r="http://schemas.openxmlformats.org/officeDocument/2006/relationships" ref="M103" r:id="rId99"/>
    <hyperlink xmlns:r="http://schemas.openxmlformats.org/officeDocument/2006/relationships" ref="M104" r:id="rId100"/>
    <hyperlink xmlns:r="http://schemas.openxmlformats.org/officeDocument/2006/relationships" ref="M105" r:id="rId101"/>
    <hyperlink xmlns:r="http://schemas.openxmlformats.org/officeDocument/2006/relationships" ref="M106" r:id="rId102"/>
    <hyperlink xmlns:r="http://schemas.openxmlformats.org/officeDocument/2006/relationships" ref="M107" r:id="rId103"/>
    <hyperlink xmlns:r="http://schemas.openxmlformats.org/officeDocument/2006/relationships" ref="M108" r:id="rId104"/>
    <hyperlink xmlns:r="http://schemas.openxmlformats.org/officeDocument/2006/relationships" ref="M109" r:id="rId105"/>
    <hyperlink xmlns:r="http://schemas.openxmlformats.org/officeDocument/2006/relationships" ref="M110" r:id="rId106"/>
    <hyperlink xmlns:r="http://schemas.openxmlformats.org/officeDocument/2006/relationships" ref="M111" r:id="rId107"/>
    <hyperlink xmlns:r="http://schemas.openxmlformats.org/officeDocument/2006/relationships" ref="M112" r:id="rId108"/>
    <hyperlink xmlns:r="http://schemas.openxmlformats.org/officeDocument/2006/relationships" ref="M113" r:id="rId109"/>
    <hyperlink xmlns:r="http://schemas.openxmlformats.org/officeDocument/2006/relationships" ref="M114" r:id="rId110"/>
    <hyperlink xmlns:r="http://schemas.openxmlformats.org/officeDocument/2006/relationships" ref="M115" r:id="rId111"/>
    <hyperlink xmlns:r="http://schemas.openxmlformats.org/officeDocument/2006/relationships" ref="M116" r:id="rId112"/>
    <hyperlink xmlns:r="http://schemas.openxmlformats.org/officeDocument/2006/relationships" ref="M117" r:id="rId113"/>
    <hyperlink xmlns:r="http://schemas.openxmlformats.org/officeDocument/2006/relationships" ref="M118" r:id="rId114"/>
    <hyperlink xmlns:r="http://schemas.openxmlformats.org/officeDocument/2006/relationships" ref="M119" r:id="rId115"/>
    <hyperlink xmlns:r="http://schemas.openxmlformats.org/officeDocument/2006/relationships" ref="M120" r:id="rId116"/>
    <hyperlink xmlns:r="http://schemas.openxmlformats.org/officeDocument/2006/relationships" ref="M121" r:id="rId117"/>
    <hyperlink xmlns:r="http://schemas.openxmlformats.org/officeDocument/2006/relationships" ref="M122" r:id="rId118"/>
    <hyperlink xmlns:r="http://schemas.openxmlformats.org/officeDocument/2006/relationships" ref="M123" r:id="rId119"/>
    <hyperlink xmlns:r="http://schemas.openxmlformats.org/officeDocument/2006/relationships" ref="M124" r:id="rId120"/>
    <hyperlink xmlns:r="http://schemas.openxmlformats.org/officeDocument/2006/relationships" ref="M125" r:id="rId121"/>
    <hyperlink xmlns:r="http://schemas.openxmlformats.org/officeDocument/2006/relationships" ref="M126" r:id="rId122"/>
    <hyperlink xmlns:r="http://schemas.openxmlformats.org/officeDocument/2006/relationships" ref="M127" r:id="rId123"/>
    <hyperlink xmlns:r="http://schemas.openxmlformats.org/officeDocument/2006/relationships" ref="M128" r:id="rId124"/>
    <hyperlink xmlns:r="http://schemas.openxmlformats.org/officeDocument/2006/relationships" ref="M129" r:id="rId125"/>
    <hyperlink xmlns:r="http://schemas.openxmlformats.org/officeDocument/2006/relationships" ref="M130" r:id="rId126"/>
    <hyperlink xmlns:r="http://schemas.openxmlformats.org/officeDocument/2006/relationships" ref="M131" r:id="rId127"/>
    <hyperlink xmlns:r="http://schemas.openxmlformats.org/officeDocument/2006/relationships" ref="M132" r:id="rId128"/>
    <hyperlink xmlns:r="http://schemas.openxmlformats.org/officeDocument/2006/relationships" ref="M133" r:id="rId129"/>
    <hyperlink xmlns:r="http://schemas.openxmlformats.org/officeDocument/2006/relationships" ref="M134" r:id="rId130"/>
    <hyperlink xmlns:r="http://schemas.openxmlformats.org/officeDocument/2006/relationships" ref="M135" r:id="rId131"/>
    <hyperlink xmlns:r="http://schemas.openxmlformats.org/officeDocument/2006/relationships" ref="M136" r:id="rId132"/>
    <hyperlink xmlns:r="http://schemas.openxmlformats.org/officeDocument/2006/relationships" ref="M137" r:id="rId133"/>
    <hyperlink xmlns:r="http://schemas.openxmlformats.org/officeDocument/2006/relationships" ref="M138" r:id="rId134"/>
    <hyperlink xmlns:r="http://schemas.openxmlformats.org/officeDocument/2006/relationships" ref="M139" r:id="rId135"/>
    <hyperlink xmlns:r="http://schemas.openxmlformats.org/officeDocument/2006/relationships" ref="M140" r:id="rId136"/>
    <hyperlink xmlns:r="http://schemas.openxmlformats.org/officeDocument/2006/relationships" ref="M141" r:id="rId137"/>
    <hyperlink xmlns:r="http://schemas.openxmlformats.org/officeDocument/2006/relationships" ref="M142" r:id="rId138"/>
    <hyperlink xmlns:r="http://schemas.openxmlformats.org/officeDocument/2006/relationships" ref="M143" r:id="rId139"/>
    <hyperlink xmlns:r="http://schemas.openxmlformats.org/officeDocument/2006/relationships" ref="M144" r:id="rId140"/>
    <hyperlink xmlns:r="http://schemas.openxmlformats.org/officeDocument/2006/relationships" ref="M145" r:id="rId141"/>
    <hyperlink xmlns:r="http://schemas.openxmlformats.org/officeDocument/2006/relationships" ref="M146" r:id="rId142"/>
    <hyperlink xmlns:r="http://schemas.openxmlformats.org/officeDocument/2006/relationships" ref="M147" r:id="rId143"/>
    <hyperlink xmlns:r="http://schemas.openxmlformats.org/officeDocument/2006/relationships" ref="M148" r:id="rId144"/>
    <hyperlink xmlns:r="http://schemas.openxmlformats.org/officeDocument/2006/relationships" ref="M149" r:id="rId145"/>
    <hyperlink xmlns:r="http://schemas.openxmlformats.org/officeDocument/2006/relationships" ref="M150" r:id="rId146"/>
    <hyperlink xmlns:r="http://schemas.openxmlformats.org/officeDocument/2006/relationships" ref="M151" r:id="rId147"/>
    <hyperlink xmlns:r="http://schemas.openxmlformats.org/officeDocument/2006/relationships" ref="M152" r:id="rId148"/>
    <hyperlink xmlns:r="http://schemas.openxmlformats.org/officeDocument/2006/relationships" ref="M153" r:id="rId149"/>
    <hyperlink xmlns:r="http://schemas.openxmlformats.org/officeDocument/2006/relationships" ref="M154" r:id="rId150"/>
    <hyperlink xmlns:r="http://schemas.openxmlformats.org/officeDocument/2006/relationships" ref="M155" r:id="rId151"/>
    <hyperlink xmlns:r="http://schemas.openxmlformats.org/officeDocument/2006/relationships" ref="M156" r:id="rId152"/>
    <hyperlink xmlns:r="http://schemas.openxmlformats.org/officeDocument/2006/relationships" ref="M157" r:id="rId153"/>
    <hyperlink xmlns:r="http://schemas.openxmlformats.org/officeDocument/2006/relationships" ref="M158" r:id="rId154"/>
    <hyperlink xmlns:r="http://schemas.openxmlformats.org/officeDocument/2006/relationships" ref="M159" r:id="rId155"/>
    <hyperlink xmlns:r="http://schemas.openxmlformats.org/officeDocument/2006/relationships" ref="M160" r:id="rId156"/>
    <hyperlink xmlns:r="http://schemas.openxmlformats.org/officeDocument/2006/relationships" ref="M161" r:id="rId157"/>
    <hyperlink xmlns:r="http://schemas.openxmlformats.org/officeDocument/2006/relationships" ref="M162" r:id="rId158"/>
    <hyperlink xmlns:r="http://schemas.openxmlformats.org/officeDocument/2006/relationships" ref="M163" r:id="rId159"/>
    <hyperlink xmlns:r="http://schemas.openxmlformats.org/officeDocument/2006/relationships" ref="M164" r:id="rId160"/>
    <hyperlink xmlns:r="http://schemas.openxmlformats.org/officeDocument/2006/relationships" ref="M165" r:id="rId161"/>
    <hyperlink xmlns:r="http://schemas.openxmlformats.org/officeDocument/2006/relationships" ref="M166" r:id="rId162"/>
    <hyperlink xmlns:r="http://schemas.openxmlformats.org/officeDocument/2006/relationships" ref="M167" r:id="rId163"/>
    <hyperlink xmlns:r="http://schemas.openxmlformats.org/officeDocument/2006/relationships" ref="M168" r:id="rId164"/>
    <hyperlink xmlns:r="http://schemas.openxmlformats.org/officeDocument/2006/relationships" ref="M169" r:id="rId165"/>
    <hyperlink xmlns:r="http://schemas.openxmlformats.org/officeDocument/2006/relationships" ref="M170" r:id="rId166"/>
    <hyperlink xmlns:r="http://schemas.openxmlformats.org/officeDocument/2006/relationships" ref="M171" r:id="rId167"/>
    <hyperlink xmlns:r="http://schemas.openxmlformats.org/officeDocument/2006/relationships" ref="M172" r:id="rId168"/>
    <hyperlink xmlns:r="http://schemas.openxmlformats.org/officeDocument/2006/relationships" ref="M173" r:id="rId169"/>
    <hyperlink xmlns:r="http://schemas.openxmlformats.org/officeDocument/2006/relationships" ref="M174" r:id="rId170"/>
    <hyperlink xmlns:r="http://schemas.openxmlformats.org/officeDocument/2006/relationships" ref="M175" r:id="rId171"/>
    <hyperlink xmlns:r="http://schemas.openxmlformats.org/officeDocument/2006/relationships" ref="M176" r:id="rId172"/>
    <hyperlink xmlns:r="http://schemas.openxmlformats.org/officeDocument/2006/relationships" ref="M177" r:id="rId173"/>
    <hyperlink xmlns:r="http://schemas.openxmlformats.org/officeDocument/2006/relationships" ref="M178" r:id="rId174"/>
    <hyperlink xmlns:r="http://schemas.openxmlformats.org/officeDocument/2006/relationships" ref="M179" r:id="rId175"/>
    <hyperlink xmlns:r="http://schemas.openxmlformats.org/officeDocument/2006/relationships" ref="M180" r:id="rId176"/>
    <hyperlink xmlns:r="http://schemas.openxmlformats.org/officeDocument/2006/relationships" ref="M181" r:id="rId177"/>
    <hyperlink xmlns:r="http://schemas.openxmlformats.org/officeDocument/2006/relationships" ref="M182" r:id="rId178"/>
    <hyperlink xmlns:r="http://schemas.openxmlformats.org/officeDocument/2006/relationships" ref="M183" r:id="rId179"/>
    <hyperlink xmlns:r="http://schemas.openxmlformats.org/officeDocument/2006/relationships" ref="M184" r:id="rId180"/>
    <hyperlink xmlns:r="http://schemas.openxmlformats.org/officeDocument/2006/relationships" ref="M185" r:id="rId181"/>
    <hyperlink xmlns:r="http://schemas.openxmlformats.org/officeDocument/2006/relationships" ref="M186" r:id="rId182"/>
    <hyperlink xmlns:r="http://schemas.openxmlformats.org/officeDocument/2006/relationships" ref="M187" r:id="rId183"/>
    <hyperlink xmlns:r="http://schemas.openxmlformats.org/officeDocument/2006/relationships" ref="M188" r:id="rId184"/>
    <hyperlink xmlns:r="http://schemas.openxmlformats.org/officeDocument/2006/relationships" ref="M189" r:id="rId185"/>
    <hyperlink xmlns:r="http://schemas.openxmlformats.org/officeDocument/2006/relationships" ref="M190" r:id="rId186"/>
    <hyperlink xmlns:r="http://schemas.openxmlformats.org/officeDocument/2006/relationships" ref="M191" r:id="rId187"/>
    <hyperlink xmlns:r="http://schemas.openxmlformats.org/officeDocument/2006/relationships" ref="M192" r:id="rId188"/>
    <hyperlink xmlns:r="http://schemas.openxmlformats.org/officeDocument/2006/relationships" ref="M193" r:id="rId189"/>
    <hyperlink xmlns:r="http://schemas.openxmlformats.org/officeDocument/2006/relationships" ref="M194" r:id="rId190"/>
    <hyperlink xmlns:r="http://schemas.openxmlformats.org/officeDocument/2006/relationships" ref="M195" r:id="rId191"/>
    <hyperlink xmlns:r="http://schemas.openxmlformats.org/officeDocument/2006/relationships" ref="M196" r:id="rId192"/>
    <hyperlink xmlns:r="http://schemas.openxmlformats.org/officeDocument/2006/relationships" ref="M197" r:id="rId193"/>
    <hyperlink xmlns:r="http://schemas.openxmlformats.org/officeDocument/2006/relationships" ref="M198" r:id="rId194"/>
    <hyperlink xmlns:r="http://schemas.openxmlformats.org/officeDocument/2006/relationships" ref="M199" r:id="rId195"/>
    <hyperlink xmlns:r="http://schemas.openxmlformats.org/officeDocument/2006/relationships" ref="M200" r:id="rId196"/>
    <hyperlink xmlns:r="http://schemas.openxmlformats.org/officeDocument/2006/relationships" ref="M201" r:id="rId197"/>
    <hyperlink xmlns:r="http://schemas.openxmlformats.org/officeDocument/2006/relationships" ref="M202" r:id="rId198"/>
    <hyperlink xmlns:r="http://schemas.openxmlformats.org/officeDocument/2006/relationships" ref="M203" r:id="rId199"/>
    <hyperlink xmlns:r="http://schemas.openxmlformats.org/officeDocument/2006/relationships" ref="M204" r:id="rId200"/>
    <hyperlink xmlns:r="http://schemas.openxmlformats.org/officeDocument/2006/relationships" ref="M205" r:id="rId201"/>
    <hyperlink xmlns:r="http://schemas.openxmlformats.org/officeDocument/2006/relationships" ref="M206" r:id="rId202"/>
    <hyperlink xmlns:r="http://schemas.openxmlformats.org/officeDocument/2006/relationships" ref="M207" r:id="rId203"/>
    <hyperlink xmlns:r="http://schemas.openxmlformats.org/officeDocument/2006/relationships" ref="M208" r:id="rId204"/>
    <hyperlink xmlns:r="http://schemas.openxmlformats.org/officeDocument/2006/relationships" ref="M209" r:id="rId205"/>
    <hyperlink xmlns:r="http://schemas.openxmlformats.org/officeDocument/2006/relationships" ref="M210" r:id="rId206"/>
    <hyperlink xmlns:r="http://schemas.openxmlformats.org/officeDocument/2006/relationships" ref="M211" r:id="rId207"/>
    <hyperlink xmlns:r="http://schemas.openxmlformats.org/officeDocument/2006/relationships" ref="M212" r:id="rId208"/>
    <hyperlink xmlns:r="http://schemas.openxmlformats.org/officeDocument/2006/relationships" ref="M213" r:id="rId209"/>
    <hyperlink xmlns:r="http://schemas.openxmlformats.org/officeDocument/2006/relationships" ref="M214" r:id="rId210"/>
    <hyperlink xmlns:r="http://schemas.openxmlformats.org/officeDocument/2006/relationships" ref="M215" r:id="rId211"/>
    <hyperlink xmlns:r="http://schemas.openxmlformats.org/officeDocument/2006/relationships" ref="M216" r:id="rId212"/>
    <hyperlink xmlns:r="http://schemas.openxmlformats.org/officeDocument/2006/relationships" ref="M217" r:id="rId213"/>
    <hyperlink xmlns:r="http://schemas.openxmlformats.org/officeDocument/2006/relationships" ref="M218" r:id="rId214"/>
    <hyperlink xmlns:r="http://schemas.openxmlformats.org/officeDocument/2006/relationships" ref="M219" r:id="rId215"/>
    <hyperlink xmlns:r="http://schemas.openxmlformats.org/officeDocument/2006/relationships" ref="M220" r:id="rId216"/>
    <hyperlink xmlns:r="http://schemas.openxmlformats.org/officeDocument/2006/relationships" ref="M221" r:id="rId217"/>
    <hyperlink xmlns:r="http://schemas.openxmlformats.org/officeDocument/2006/relationships" ref="M222" r:id="rId218"/>
    <hyperlink xmlns:r="http://schemas.openxmlformats.org/officeDocument/2006/relationships" ref="M223" r:id="rId219"/>
    <hyperlink xmlns:r="http://schemas.openxmlformats.org/officeDocument/2006/relationships" ref="M224" r:id="rId220"/>
    <hyperlink xmlns:r="http://schemas.openxmlformats.org/officeDocument/2006/relationships" ref="M225" r:id="rId221"/>
    <hyperlink xmlns:r="http://schemas.openxmlformats.org/officeDocument/2006/relationships" ref="M226" r:id="rId222"/>
    <hyperlink xmlns:r="http://schemas.openxmlformats.org/officeDocument/2006/relationships" ref="M227" r:id="rId223"/>
    <hyperlink xmlns:r="http://schemas.openxmlformats.org/officeDocument/2006/relationships" ref="M228" r:id="rId224"/>
    <hyperlink xmlns:r="http://schemas.openxmlformats.org/officeDocument/2006/relationships" ref="M229" r:id="rId225"/>
    <hyperlink xmlns:r="http://schemas.openxmlformats.org/officeDocument/2006/relationships" ref="M230" r:id="rId226"/>
    <hyperlink xmlns:r="http://schemas.openxmlformats.org/officeDocument/2006/relationships" ref="M231" r:id="rId227"/>
    <hyperlink xmlns:r="http://schemas.openxmlformats.org/officeDocument/2006/relationships" ref="M232" r:id="rId228"/>
    <hyperlink xmlns:r="http://schemas.openxmlformats.org/officeDocument/2006/relationships" ref="M233" r:id="rId229"/>
    <hyperlink xmlns:r="http://schemas.openxmlformats.org/officeDocument/2006/relationships" ref="M234" r:id="rId230"/>
    <hyperlink xmlns:r="http://schemas.openxmlformats.org/officeDocument/2006/relationships" ref="M235" r:id="rId231"/>
    <hyperlink xmlns:r="http://schemas.openxmlformats.org/officeDocument/2006/relationships" ref="M236" r:id="rId232"/>
    <hyperlink xmlns:r="http://schemas.openxmlformats.org/officeDocument/2006/relationships" ref="M237" r:id="rId233"/>
    <hyperlink xmlns:r="http://schemas.openxmlformats.org/officeDocument/2006/relationships" ref="M238" r:id="rId234"/>
    <hyperlink xmlns:r="http://schemas.openxmlformats.org/officeDocument/2006/relationships" ref="M239" r:id="rId235"/>
    <hyperlink xmlns:r="http://schemas.openxmlformats.org/officeDocument/2006/relationships" ref="M240" r:id="rId236"/>
    <hyperlink xmlns:r="http://schemas.openxmlformats.org/officeDocument/2006/relationships" ref="M241" r:id="rId237"/>
    <hyperlink xmlns:r="http://schemas.openxmlformats.org/officeDocument/2006/relationships" ref="M242" r:id="rId238"/>
    <hyperlink xmlns:r="http://schemas.openxmlformats.org/officeDocument/2006/relationships" ref="M243" r:id="rId239"/>
    <hyperlink xmlns:r="http://schemas.openxmlformats.org/officeDocument/2006/relationships" ref="M244" r:id="rId240"/>
    <hyperlink xmlns:r="http://schemas.openxmlformats.org/officeDocument/2006/relationships" ref="M245" r:id="rId241"/>
    <hyperlink xmlns:r="http://schemas.openxmlformats.org/officeDocument/2006/relationships" ref="M246" r:id="rId242"/>
    <hyperlink xmlns:r="http://schemas.openxmlformats.org/officeDocument/2006/relationships" ref="M247" r:id="rId243"/>
    <hyperlink xmlns:r="http://schemas.openxmlformats.org/officeDocument/2006/relationships" ref="M248" r:id="rId244"/>
    <hyperlink xmlns:r="http://schemas.openxmlformats.org/officeDocument/2006/relationships" ref="M249" r:id="rId245"/>
    <hyperlink xmlns:r="http://schemas.openxmlformats.org/officeDocument/2006/relationships" ref="M250" r:id="rId246"/>
    <hyperlink xmlns:r="http://schemas.openxmlformats.org/officeDocument/2006/relationships" ref="M251" r:id="rId247"/>
    <hyperlink xmlns:r="http://schemas.openxmlformats.org/officeDocument/2006/relationships" ref="M252" r:id="rId248"/>
    <hyperlink xmlns:r="http://schemas.openxmlformats.org/officeDocument/2006/relationships" ref="M253" r:id="rId249"/>
    <hyperlink xmlns:r="http://schemas.openxmlformats.org/officeDocument/2006/relationships" ref="M254" r:id="rId250"/>
    <hyperlink xmlns:r="http://schemas.openxmlformats.org/officeDocument/2006/relationships" ref="M255" r:id="rId251"/>
    <hyperlink xmlns:r="http://schemas.openxmlformats.org/officeDocument/2006/relationships" ref="M256" r:id="rId252"/>
    <hyperlink xmlns:r="http://schemas.openxmlformats.org/officeDocument/2006/relationships" ref="M257" r:id="rId253"/>
    <hyperlink xmlns:r="http://schemas.openxmlformats.org/officeDocument/2006/relationships" ref="M258" r:id="rId254"/>
    <hyperlink xmlns:r="http://schemas.openxmlformats.org/officeDocument/2006/relationships" ref="M259" r:id="rId255"/>
    <hyperlink xmlns:r="http://schemas.openxmlformats.org/officeDocument/2006/relationships" ref="M260" r:id="rId256"/>
    <hyperlink xmlns:r="http://schemas.openxmlformats.org/officeDocument/2006/relationships" ref="M261" r:id="rId257"/>
    <hyperlink xmlns:r="http://schemas.openxmlformats.org/officeDocument/2006/relationships" ref="M262" r:id="rId258"/>
    <hyperlink xmlns:r="http://schemas.openxmlformats.org/officeDocument/2006/relationships" ref="M263" r:id="rId259"/>
    <hyperlink xmlns:r="http://schemas.openxmlformats.org/officeDocument/2006/relationships" ref="M264" r:id="rId260"/>
    <hyperlink xmlns:r="http://schemas.openxmlformats.org/officeDocument/2006/relationships" ref="M265" r:id="rId261"/>
    <hyperlink xmlns:r="http://schemas.openxmlformats.org/officeDocument/2006/relationships" ref="M266" r:id="rId262"/>
    <hyperlink xmlns:r="http://schemas.openxmlformats.org/officeDocument/2006/relationships" ref="M267" r:id="rId263"/>
    <hyperlink xmlns:r="http://schemas.openxmlformats.org/officeDocument/2006/relationships" ref="M268" r:id="rId264"/>
    <hyperlink xmlns:r="http://schemas.openxmlformats.org/officeDocument/2006/relationships" ref="M269" r:id="rId265"/>
    <hyperlink xmlns:r="http://schemas.openxmlformats.org/officeDocument/2006/relationships" ref="M270" r:id="rId266"/>
    <hyperlink xmlns:r="http://schemas.openxmlformats.org/officeDocument/2006/relationships" ref="M271" r:id="rId267"/>
    <hyperlink xmlns:r="http://schemas.openxmlformats.org/officeDocument/2006/relationships" ref="M272" r:id="rId268"/>
    <hyperlink xmlns:r="http://schemas.openxmlformats.org/officeDocument/2006/relationships" ref="M273" r:id="rId269"/>
    <hyperlink xmlns:r="http://schemas.openxmlformats.org/officeDocument/2006/relationships" ref="M274" r:id="rId270"/>
    <hyperlink xmlns:r="http://schemas.openxmlformats.org/officeDocument/2006/relationships" ref="M275" r:id="rId271"/>
    <hyperlink xmlns:r="http://schemas.openxmlformats.org/officeDocument/2006/relationships" ref="M276" r:id="rId272"/>
    <hyperlink xmlns:r="http://schemas.openxmlformats.org/officeDocument/2006/relationships" ref="M277" r:id="rId273"/>
    <hyperlink xmlns:r="http://schemas.openxmlformats.org/officeDocument/2006/relationships" ref="M278" r:id="rId274"/>
    <hyperlink xmlns:r="http://schemas.openxmlformats.org/officeDocument/2006/relationships" ref="M279" r:id="rId275"/>
    <hyperlink xmlns:r="http://schemas.openxmlformats.org/officeDocument/2006/relationships" ref="M280" r:id="rId276"/>
    <hyperlink xmlns:r="http://schemas.openxmlformats.org/officeDocument/2006/relationships" ref="M281" r:id="rId277"/>
    <hyperlink xmlns:r="http://schemas.openxmlformats.org/officeDocument/2006/relationships" ref="M282" r:id="rId278"/>
    <hyperlink xmlns:r="http://schemas.openxmlformats.org/officeDocument/2006/relationships" ref="M283" r:id="rId279"/>
    <hyperlink xmlns:r="http://schemas.openxmlformats.org/officeDocument/2006/relationships" ref="M284" r:id="rId280"/>
    <hyperlink xmlns:r="http://schemas.openxmlformats.org/officeDocument/2006/relationships" ref="M285" r:id="rId281"/>
    <hyperlink xmlns:r="http://schemas.openxmlformats.org/officeDocument/2006/relationships" ref="M286" r:id="rId282"/>
    <hyperlink xmlns:r="http://schemas.openxmlformats.org/officeDocument/2006/relationships" ref="M287" r:id="rId283"/>
    <hyperlink xmlns:r="http://schemas.openxmlformats.org/officeDocument/2006/relationships" ref="M288" r:id="rId284"/>
    <hyperlink xmlns:r="http://schemas.openxmlformats.org/officeDocument/2006/relationships" ref="M289" r:id="rId285"/>
    <hyperlink xmlns:r="http://schemas.openxmlformats.org/officeDocument/2006/relationships" ref="M290" r:id="rId286"/>
    <hyperlink xmlns:r="http://schemas.openxmlformats.org/officeDocument/2006/relationships" ref="M291" r:id="rId287"/>
    <hyperlink xmlns:r="http://schemas.openxmlformats.org/officeDocument/2006/relationships" ref="M292" r:id="rId288"/>
    <hyperlink xmlns:r="http://schemas.openxmlformats.org/officeDocument/2006/relationships" ref="M293" r:id="rId289"/>
    <hyperlink xmlns:r="http://schemas.openxmlformats.org/officeDocument/2006/relationships" ref="M294" r:id="rId290"/>
    <hyperlink xmlns:r="http://schemas.openxmlformats.org/officeDocument/2006/relationships" ref="M295" r:id="rId291"/>
    <hyperlink xmlns:r="http://schemas.openxmlformats.org/officeDocument/2006/relationships" ref="M296" r:id="rId292"/>
    <hyperlink xmlns:r="http://schemas.openxmlformats.org/officeDocument/2006/relationships" ref="M297" r:id="rId293"/>
    <hyperlink xmlns:r="http://schemas.openxmlformats.org/officeDocument/2006/relationships" ref="M298" r:id="rId294"/>
    <hyperlink xmlns:r="http://schemas.openxmlformats.org/officeDocument/2006/relationships" ref="M299" r:id="rId295"/>
    <hyperlink xmlns:r="http://schemas.openxmlformats.org/officeDocument/2006/relationships" ref="M300" r:id="rId296"/>
    <hyperlink xmlns:r="http://schemas.openxmlformats.org/officeDocument/2006/relationships" ref="M301" r:id="rId297"/>
    <hyperlink xmlns:r="http://schemas.openxmlformats.org/officeDocument/2006/relationships" ref="M302" r:id="rId298"/>
    <hyperlink xmlns:r="http://schemas.openxmlformats.org/officeDocument/2006/relationships" ref="M303" r:id="rId299"/>
    <hyperlink xmlns:r="http://schemas.openxmlformats.org/officeDocument/2006/relationships" ref="M304" r:id="rId300"/>
    <hyperlink xmlns:r="http://schemas.openxmlformats.org/officeDocument/2006/relationships" ref="M305" r:id="rId301"/>
    <hyperlink xmlns:r="http://schemas.openxmlformats.org/officeDocument/2006/relationships" ref="M306" r:id="rId302"/>
    <hyperlink xmlns:r="http://schemas.openxmlformats.org/officeDocument/2006/relationships" ref="M307" r:id="rId303"/>
    <hyperlink xmlns:r="http://schemas.openxmlformats.org/officeDocument/2006/relationships" ref="M308" r:id="rId304"/>
    <hyperlink xmlns:r="http://schemas.openxmlformats.org/officeDocument/2006/relationships" ref="M309" r:id="rId305"/>
    <hyperlink xmlns:r="http://schemas.openxmlformats.org/officeDocument/2006/relationships" ref="M310" r:id="rId306"/>
    <hyperlink xmlns:r="http://schemas.openxmlformats.org/officeDocument/2006/relationships" ref="M311" r:id="rId307"/>
    <hyperlink xmlns:r="http://schemas.openxmlformats.org/officeDocument/2006/relationships" ref="M312" r:id="rId308"/>
    <hyperlink xmlns:r="http://schemas.openxmlformats.org/officeDocument/2006/relationships" ref="M313" r:id="rId309"/>
    <hyperlink xmlns:r="http://schemas.openxmlformats.org/officeDocument/2006/relationships" ref="M314" r:id="rId310"/>
    <hyperlink xmlns:r="http://schemas.openxmlformats.org/officeDocument/2006/relationships" ref="M315" r:id="rId311"/>
    <hyperlink xmlns:r="http://schemas.openxmlformats.org/officeDocument/2006/relationships" ref="M316" r:id="rId312"/>
    <hyperlink xmlns:r="http://schemas.openxmlformats.org/officeDocument/2006/relationships" ref="M317" r:id="rId313"/>
    <hyperlink xmlns:r="http://schemas.openxmlformats.org/officeDocument/2006/relationships" ref="M318" r:id="rId314"/>
    <hyperlink xmlns:r="http://schemas.openxmlformats.org/officeDocument/2006/relationships" ref="M319" r:id="rId315"/>
    <hyperlink xmlns:r="http://schemas.openxmlformats.org/officeDocument/2006/relationships" ref="M320" r:id="rId316"/>
    <hyperlink xmlns:r="http://schemas.openxmlformats.org/officeDocument/2006/relationships" ref="M321" r:id="rId317"/>
    <hyperlink xmlns:r="http://schemas.openxmlformats.org/officeDocument/2006/relationships" ref="M322" r:id="rId318"/>
    <hyperlink xmlns:r="http://schemas.openxmlformats.org/officeDocument/2006/relationships" ref="M323" r:id="rId319"/>
    <hyperlink xmlns:r="http://schemas.openxmlformats.org/officeDocument/2006/relationships" ref="M324" r:id="rId320"/>
    <hyperlink xmlns:r="http://schemas.openxmlformats.org/officeDocument/2006/relationships" ref="M325" r:id="rId321"/>
    <hyperlink xmlns:r="http://schemas.openxmlformats.org/officeDocument/2006/relationships" ref="M326" r:id="rId322"/>
    <hyperlink xmlns:r="http://schemas.openxmlformats.org/officeDocument/2006/relationships" ref="M327" r:id="rId323"/>
    <hyperlink xmlns:r="http://schemas.openxmlformats.org/officeDocument/2006/relationships" ref="M328" r:id="rId324"/>
    <hyperlink xmlns:r="http://schemas.openxmlformats.org/officeDocument/2006/relationships" ref="M329" r:id="rId325"/>
    <hyperlink xmlns:r="http://schemas.openxmlformats.org/officeDocument/2006/relationships" ref="M330" r:id="rId326"/>
    <hyperlink xmlns:r="http://schemas.openxmlformats.org/officeDocument/2006/relationships" ref="M331" r:id="rId327"/>
    <hyperlink xmlns:r="http://schemas.openxmlformats.org/officeDocument/2006/relationships" ref="M332" r:id="rId328"/>
    <hyperlink xmlns:r="http://schemas.openxmlformats.org/officeDocument/2006/relationships" ref="M333" r:id="rId329"/>
    <hyperlink xmlns:r="http://schemas.openxmlformats.org/officeDocument/2006/relationships" ref="M334" r:id="rId330"/>
    <hyperlink xmlns:r="http://schemas.openxmlformats.org/officeDocument/2006/relationships" ref="M335" r:id="rId331"/>
    <hyperlink xmlns:r="http://schemas.openxmlformats.org/officeDocument/2006/relationships" ref="M336" r:id="rId332"/>
    <hyperlink xmlns:r="http://schemas.openxmlformats.org/officeDocument/2006/relationships" ref="M337" r:id="rId333"/>
    <hyperlink xmlns:r="http://schemas.openxmlformats.org/officeDocument/2006/relationships" ref="M338" r:id="rId334"/>
    <hyperlink xmlns:r="http://schemas.openxmlformats.org/officeDocument/2006/relationships" ref="M339" r:id="rId335"/>
    <hyperlink xmlns:r="http://schemas.openxmlformats.org/officeDocument/2006/relationships" ref="M340" r:id="rId336"/>
    <hyperlink xmlns:r="http://schemas.openxmlformats.org/officeDocument/2006/relationships" ref="M341" r:id="rId337"/>
    <hyperlink xmlns:r="http://schemas.openxmlformats.org/officeDocument/2006/relationships" ref="M342" r:id="rId338"/>
    <hyperlink xmlns:r="http://schemas.openxmlformats.org/officeDocument/2006/relationships" ref="M343" r:id="rId339"/>
    <hyperlink xmlns:r="http://schemas.openxmlformats.org/officeDocument/2006/relationships" ref="M344" r:id="rId340"/>
    <hyperlink xmlns:r="http://schemas.openxmlformats.org/officeDocument/2006/relationships" ref="M345" r:id="rId341"/>
    <hyperlink xmlns:r="http://schemas.openxmlformats.org/officeDocument/2006/relationships" ref="M346" r:id="rId342"/>
    <hyperlink xmlns:r="http://schemas.openxmlformats.org/officeDocument/2006/relationships" ref="M347" r:id="rId343"/>
    <hyperlink xmlns:r="http://schemas.openxmlformats.org/officeDocument/2006/relationships" ref="M348" r:id="rId344"/>
    <hyperlink xmlns:r="http://schemas.openxmlformats.org/officeDocument/2006/relationships" ref="M349" r:id="rId345"/>
    <hyperlink xmlns:r="http://schemas.openxmlformats.org/officeDocument/2006/relationships" ref="M350" r:id="rId346"/>
    <hyperlink xmlns:r="http://schemas.openxmlformats.org/officeDocument/2006/relationships" ref="M351" r:id="rId347"/>
    <hyperlink xmlns:r="http://schemas.openxmlformats.org/officeDocument/2006/relationships" ref="M352" r:id="rId348"/>
    <hyperlink xmlns:r="http://schemas.openxmlformats.org/officeDocument/2006/relationships" ref="M353" r:id="rId349"/>
    <hyperlink xmlns:r="http://schemas.openxmlformats.org/officeDocument/2006/relationships" ref="M354" r:id="rId350"/>
    <hyperlink xmlns:r="http://schemas.openxmlformats.org/officeDocument/2006/relationships" ref="M355" r:id="rId351"/>
    <hyperlink xmlns:r="http://schemas.openxmlformats.org/officeDocument/2006/relationships" ref="M356" r:id="rId352"/>
    <hyperlink xmlns:r="http://schemas.openxmlformats.org/officeDocument/2006/relationships" ref="M357" r:id="rId353"/>
    <hyperlink xmlns:r="http://schemas.openxmlformats.org/officeDocument/2006/relationships" ref="M358" r:id="rId354"/>
    <hyperlink xmlns:r="http://schemas.openxmlformats.org/officeDocument/2006/relationships" ref="M359" r:id="rId355"/>
    <hyperlink xmlns:r="http://schemas.openxmlformats.org/officeDocument/2006/relationships" ref="M360" r:id="rId356"/>
    <hyperlink xmlns:r="http://schemas.openxmlformats.org/officeDocument/2006/relationships" ref="M361" r:id="rId357"/>
    <hyperlink xmlns:r="http://schemas.openxmlformats.org/officeDocument/2006/relationships" ref="M362" r:id="rId358"/>
    <hyperlink xmlns:r="http://schemas.openxmlformats.org/officeDocument/2006/relationships" ref="M363" r:id="rId359"/>
    <hyperlink xmlns:r="http://schemas.openxmlformats.org/officeDocument/2006/relationships" ref="M364" r:id="rId360"/>
    <hyperlink xmlns:r="http://schemas.openxmlformats.org/officeDocument/2006/relationships" ref="M365" r:id="rId361"/>
    <hyperlink xmlns:r="http://schemas.openxmlformats.org/officeDocument/2006/relationships" ref="M366" r:id="rId362"/>
    <hyperlink xmlns:r="http://schemas.openxmlformats.org/officeDocument/2006/relationships" ref="M367" r:id="rId363"/>
    <hyperlink xmlns:r="http://schemas.openxmlformats.org/officeDocument/2006/relationships" ref="M368" r:id="rId364"/>
    <hyperlink xmlns:r="http://schemas.openxmlformats.org/officeDocument/2006/relationships" ref="M369" r:id="rId365"/>
    <hyperlink xmlns:r="http://schemas.openxmlformats.org/officeDocument/2006/relationships" ref="M370" r:id="rId366"/>
    <hyperlink xmlns:r="http://schemas.openxmlformats.org/officeDocument/2006/relationships" ref="M371" r:id="rId367"/>
    <hyperlink xmlns:r="http://schemas.openxmlformats.org/officeDocument/2006/relationships" ref="M372" r:id="rId368"/>
    <hyperlink xmlns:r="http://schemas.openxmlformats.org/officeDocument/2006/relationships" ref="M373" r:id="rId369"/>
    <hyperlink xmlns:r="http://schemas.openxmlformats.org/officeDocument/2006/relationships" ref="M374" r:id="rId370"/>
    <hyperlink xmlns:r="http://schemas.openxmlformats.org/officeDocument/2006/relationships" ref="M375" r:id="rId371"/>
    <hyperlink xmlns:r="http://schemas.openxmlformats.org/officeDocument/2006/relationships" ref="M376" r:id="rId372"/>
    <hyperlink xmlns:r="http://schemas.openxmlformats.org/officeDocument/2006/relationships" ref="M377" r:id="rId373"/>
    <hyperlink xmlns:r="http://schemas.openxmlformats.org/officeDocument/2006/relationships" ref="M378" r:id="rId374"/>
    <hyperlink xmlns:r="http://schemas.openxmlformats.org/officeDocument/2006/relationships" ref="M379" r:id="rId375"/>
    <hyperlink xmlns:r="http://schemas.openxmlformats.org/officeDocument/2006/relationships" ref="M380" r:id="rId376"/>
    <hyperlink xmlns:r="http://schemas.openxmlformats.org/officeDocument/2006/relationships" ref="M381" r:id="rId377"/>
    <hyperlink xmlns:r="http://schemas.openxmlformats.org/officeDocument/2006/relationships" ref="M382" r:id="rId378"/>
    <hyperlink xmlns:r="http://schemas.openxmlformats.org/officeDocument/2006/relationships" ref="M383" r:id="rId379"/>
    <hyperlink xmlns:r="http://schemas.openxmlformats.org/officeDocument/2006/relationships" ref="M384" r:id="rId380"/>
    <hyperlink xmlns:r="http://schemas.openxmlformats.org/officeDocument/2006/relationships" ref="M385" r:id="rId381"/>
    <hyperlink xmlns:r="http://schemas.openxmlformats.org/officeDocument/2006/relationships" ref="M386" r:id="rId382"/>
    <hyperlink xmlns:r="http://schemas.openxmlformats.org/officeDocument/2006/relationships" ref="M387" r:id="rId383"/>
    <hyperlink xmlns:r="http://schemas.openxmlformats.org/officeDocument/2006/relationships" ref="M388" r:id="rId384"/>
    <hyperlink xmlns:r="http://schemas.openxmlformats.org/officeDocument/2006/relationships" ref="M389" r:id="rId385"/>
    <hyperlink xmlns:r="http://schemas.openxmlformats.org/officeDocument/2006/relationships" ref="M390" r:id="rId386"/>
    <hyperlink xmlns:r="http://schemas.openxmlformats.org/officeDocument/2006/relationships" ref="M391" r:id="rId387"/>
    <hyperlink xmlns:r="http://schemas.openxmlformats.org/officeDocument/2006/relationships" ref="M392" r:id="rId388"/>
    <hyperlink xmlns:r="http://schemas.openxmlformats.org/officeDocument/2006/relationships" ref="M393" r:id="rId389"/>
    <hyperlink xmlns:r="http://schemas.openxmlformats.org/officeDocument/2006/relationships" ref="M394" r:id="rId390"/>
    <hyperlink xmlns:r="http://schemas.openxmlformats.org/officeDocument/2006/relationships" ref="M395" r:id="rId391"/>
    <hyperlink xmlns:r="http://schemas.openxmlformats.org/officeDocument/2006/relationships" ref="M396" r:id="rId392"/>
    <hyperlink xmlns:r="http://schemas.openxmlformats.org/officeDocument/2006/relationships" ref="M397" r:id="rId393"/>
    <hyperlink xmlns:r="http://schemas.openxmlformats.org/officeDocument/2006/relationships" ref="M398" r:id="rId394"/>
    <hyperlink xmlns:r="http://schemas.openxmlformats.org/officeDocument/2006/relationships" ref="M399" r:id="rId395"/>
    <hyperlink xmlns:r="http://schemas.openxmlformats.org/officeDocument/2006/relationships" ref="M400" r:id="rId396"/>
    <hyperlink xmlns:r="http://schemas.openxmlformats.org/officeDocument/2006/relationships" ref="M401" r:id="rId397"/>
    <hyperlink xmlns:r="http://schemas.openxmlformats.org/officeDocument/2006/relationships" ref="M402" r:id="rId398"/>
    <hyperlink xmlns:r="http://schemas.openxmlformats.org/officeDocument/2006/relationships" ref="M403" r:id="rId399"/>
    <hyperlink xmlns:r="http://schemas.openxmlformats.org/officeDocument/2006/relationships" ref="M404" r:id="rId400"/>
    <hyperlink xmlns:r="http://schemas.openxmlformats.org/officeDocument/2006/relationships" ref="M405" r:id="rId401"/>
    <hyperlink xmlns:r="http://schemas.openxmlformats.org/officeDocument/2006/relationships" ref="M406" r:id="rId402"/>
    <hyperlink xmlns:r="http://schemas.openxmlformats.org/officeDocument/2006/relationships" ref="M407" r:id="rId403"/>
    <hyperlink xmlns:r="http://schemas.openxmlformats.org/officeDocument/2006/relationships" ref="M408" r:id="rId404"/>
    <hyperlink xmlns:r="http://schemas.openxmlformats.org/officeDocument/2006/relationships" ref="M409" r:id="rId405"/>
    <hyperlink xmlns:r="http://schemas.openxmlformats.org/officeDocument/2006/relationships" ref="M410" r:id="rId406"/>
    <hyperlink xmlns:r="http://schemas.openxmlformats.org/officeDocument/2006/relationships" ref="M411" r:id="rId407"/>
    <hyperlink xmlns:r="http://schemas.openxmlformats.org/officeDocument/2006/relationships" ref="M412" r:id="rId408"/>
    <hyperlink xmlns:r="http://schemas.openxmlformats.org/officeDocument/2006/relationships" ref="M413" r:id="rId409"/>
    <hyperlink xmlns:r="http://schemas.openxmlformats.org/officeDocument/2006/relationships" ref="M414" r:id="rId410"/>
    <hyperlink xmlns:r="http://schemas.openxmlformats.org/officeDocument/2006/relationships" ref="M415" r:id="rId411"/>
    <hyperlink xmlns:r="http://schemas.openxmlformats.org/officeDocument/2006/relationships" ref="M416" r:id="rId412"/>
    <hyperlink xmlns:r="http://schemas.openxmlformats.org/officeDocument/2006/relationships" ref="M417" r:id="rId413"/>
    <hyperlink xmlns:r="http://schemas.openxmlformats.org/officeDocument/2006/relationships" ref="M418" r:id="rId414"/>
    <hyperlink xmlns:r="http://schemas.openxmlformats.org/officeDocument/2006/relationships" ref="M419" r:id="rId415"/>
    <hyperlink xmlns:r="http://schemas.openxmlformats.org/officeDocument/2006/relationships" ref="M420" r:id="rId416"/>
    <hyperlink xmlns:r="http://schemas.openxmlformats.org/officeDocument/2006/relationships" ref="M421" r:id="rId417"/>
    <hyperlink xmlns:r="http://schemas.openxmlformats.org/officeDocument/2006/relationships" ref="M422" r:id="rId418"/>
    <hyperlink xmlns:r="http://schemas.openxmlformats.org/officeDocument/2006/relationships" ref="M423" r:id="rId419"/>
    <hyperlink xmlns:r="http://schemas.openxmlformats.org/officeDocument/2006/relationships" ref="M424" r:id="rId420"/>
    <hyperlink xmlns:r="http://schemas.openxmlformats.org/officeDocument/2006/relationships" ref="M425" r:id="rId421"/>
    <hyperlink xmlns:r="http://schemas.openxmlformats.org/officeDocument/2006/relationships" ref="M426" r:id="rId422"/>
    <hyperlink xmlns:r="http://schemas.openxmlformats.org/officeDocument/2006/relationships" ref="M427" r:id="rId423"/>
    <hyperlink xmlns:r="http://schemas.openxmlformats.org/officeDocument/2006/relationships" ref="M428" r:id="rId424"/>
    <hyperlink xmlns:r="http://schemas.openxmlformats.org/officeDocument/2006/relationships" ref="M429" r:id="rId425"/>
    <hyperlink xmlns:r="http://schemas.openxmlformats.org/officeDocument/2006/relationships" ref="M430" r:id="rId426"/>
    <hyperlink xmlns:r="http://schemas.openxmlformats.org/officeDocument/2006/relationships" ref="M431" r:id="rId427"/>
    <hyperlink xmlns:r="http://schemas.openxmlformats.org/officeDocument/2006/relationships" ref="M432" r:id="rId428"/>
    <hyperlink xmlns:r="http://schemas.openxmlformats.org/officeDocument/2006/relationships" ref="M433" r:id="rId429"/>
    <hyperlink xmlns:r="http://schemas.openxmlformats.org/officeDocument/2006/relationships" ref="M434" r:id="rId430"/>
    <hyperlink xmlns:r="http://schemas.openxmlformats.org/officeDocument/2006/relationships" ref="M435" r:id="rId431"/>
    <hyperlink xmlns:r="http://schemas.openxmlformats.org/officeDocument/2006/relationships" ref="M436" r:id="rId432"/>
    <hyperlink xmlns:r="http://schemas.openxmlformats.org/officeDocument/2006/relationships" ref="M437" r:id="rId433"/>
    <hyperlink xmlns:r="http://schemas.openxmlformats.org/officeDocument/2006/relationships" ref="M438" r:id="rId434"/>
    <hyperlink xmlns:r="http://schemas.openxmlformats.org/officeDocument/2006/relationships" ref="M439" r:id="rId435"/>
    <hyperlink xmlns:r="http://schemas.openxmlformats.org/officeDocument/2006/relationships" ref="M440" r:id="rId436"/>
    <hyperlink xmlns:r="http://schemas.openxmlformats.org/officeDocument/2006/relationships" ref="M441" r:id="rId437"/>
    <hyperlink xmlns:r="http://schemas.openxmlformats.org/officeDocument/2006/relationships" ref="M442" r:id="rId438"/>
    <hyperlink xmlns:r="http://schemas.openxmlformats.org/officeDocument/2006/relationships" ref="M443" r:id="rId439"/>
    <hyperlink xmlns:r="http://schemas.openxmlformats.org/officeDocument/2006/relationships" ref="M444" r:id="rId440"/>
    <hyperlink xmlns:r="http://schemas.openxmlformats.org/officeDocument/2006/relationships" ref="M445" r:id="rId441"/>
    <hyperlink xmlns:r="http://schemas.openxmlformats.org/officeDocument/2006/relationships" ref="M446" r:id="rId442"/>
    <hyperlink xmlns:r="http://schemas.openxmlformats.org/officeDocument/2006/relationships" ref="M447" r:id="rId443"/>
    <hyperlink xmlns:r="http://schemas.openxmlformats.org/officeDocument/2006/relationships" ref="M448" r:id="rId444"/>
    <hyperlink xmlns:r="http://schemas.openxmlformats.org/officeDocument/2006/relationships" ref="M449" r:id="rId445"/>
    <hyperlink xmlns:r="http://schemas.openxmlformats.org/officeDocument/2006/relationships" ref="M450" r:id="rId446"/>
    <hyperlink xmlns:r="http://schemas.openxmlformats.org/officeDocument/2006/relationships" ref="M451" r:id="rId447"/>
    <hyperlink xmlns:r="http://schemas.openxmlformats.org/officeDocument/2006/relationships" ref="M452" r:id="rId448"/>
    <hyperlink xmlns:r="http://schemas.openxmlformats.org/officeDocument/2006/relationships" ref="M453" r:id="rId449"/>
    <hyperlink xmlns:r="http://schemas.openxmlformats.org/officeDocument/2006/relationships" ref="M454" r:id="rId450"/>
    <hyperlink xmlns:r="http://schemas.openxmlformats.org/officeDocument/2006/relationships" ref="M455" r:id="rId451"/>
    <hyperlink xmlns:r="http://schemas.openxmlformats.org/officeDocument/2006/relationships" ref="M456" r:id="rId452"/>
    <hyperlink xmlns:r="http://schemas.openxmlformats.org/officeDocument/2006/relationships" ref="M457" r:id="rId453"/>
    <hyperlink xmlns:r="http://schemas.openxmlformats.org/officeDocument/2006/relationships" ref="M458" r:id="rId454"/>
    <hyperlink xmlns:r="http://schemas.openxmlformats.org/officeDocument/2006/relationships" ref="M459" r:id="rId455"/>
    <hyperlink xmlns:r="http://schemas.openxmlformats.org/officeDocument/2006/relationships" ref="M460" r:id="rId456"/>
    <hyperlink xmlns:r="http://schemas.openxmlformats.org/officeDocument/2006/relationships" ref="M461" r:id="rId457"/>
    <hyperlink xmlns:r="http://schemas.openxmlformats.org/officeDocument/2006/relationships" ref="M462" r:id="rId458"/>
    <hyperlink xmlns:r="http://schemas.openxmlformats.org/officeDocument/2006/relationships" ref="M463" r:id="rId459"/>
    <hyperlink xmlns:r="http://schemas.openxmlformats.org/officeDocument/2006/relationships" ref="M464" r:id="rId460"/>
    <hyperlink xmlns:r="http://schemas.openxmlformats.org/officeDocument/2006/relationships" ref="M465" r:id="rId461"/>
    <hyperlink xmlns:r="http://schemas.openxmlformats.org/officeDocument/2006/relationships" ref="M466" r:id="rId462"/>
    <hyperlink xmlns:r="http://schemas.openxmlformats.org/officeDocument/2006/relationships" ref="M467" r:id="rId463"/>
    <hyperlink xmlns:r="http://schemas.openxmlformats.org/officeDocument/2006/relationships" ref="M468" r:id="rId464"/>
    <hyperlink xmlns:r="http://schemas.openxmlformats.org/officeDocument/2006/relationships" ref="M469" r:id="rId465"/>
    <hyperlink xmlns:r="http://schemas.openxmlformats.org/officeDocument/2006/relationships" ref="M470" r:id="rId466"/>
    <hyperlink xmlns:r="http://schemas.openxmlformats.org/officeDocument/2006/relationships" ref="M471" r:id="rId467"/>
    <hyperlink xmlns:r="http://schemas.openxmlformats.org/officeDocument/2006/relationships" ref="M472" r:id="rId468"/>
    <hyperlink xmlns:r="http://schemas.openxmlformats.org/officeDocument/2006/relationships" ref="M473" r:id="rId469"/>
    <hyperlink xmlns:r="http://schemas.openxmlformats.org/officeDocument/2006/relationships" ref="M474" r:id="rId470"/>
    <hyperlink xmlns:r="http://schemas.openxmlformats.org/officeDocument/2006/relationships" ref="M475" r:id="rId471"/>
    <hyperlink xmlns:r="http://schemas.openxmlformats.org/officeDocument/2006/relationships" ref="M476" r:id="rId472"/>
    <hyperlink xmlns:r="http://schemas.openxmlformats.org/officeDocument/2006/relationships" ref="M477" r:id="rId473"/>
    <hyperlink xmlns:r="http://schemas.openxmlformats.org/officeDocument/2006/relationships" ref="M478" r:id="rId474"/>
    <hyperlink xmlns:r="http://schemas.openxmlformats.org/officeDocument/2006/relationships" ref="M479" r:id="rId475"/>
    <hyperlink xmlns:r="http://schemas.openxmlformats.org/officeDocument/2006/relationships" ref="M480" r:id="rId476"/>
    <hyperlink xmlns:r="http://schemas.openxmlformats.org/officeDocument/2006/relationships" ref="M481" r:id="rId477"/>
    <hyperlink xmlns:r="http://schemas.openxmlformats.org/officeDocument/2006/relationships" ref="M482" r:id="rId478"/>
    <hyperlink xmlns:r="http://schemas.openxmlformats.org/officeDocument/2006/relationships" ref="M483" r:id="rId479"/>
    <hyperlink xmlns:r="http://schemas.openxmlformats.org/officeDocument/2006/relationships" ref="M484" r:id="rId480"/>
    <hyperlink xmlns:r="http://schemas.openxmlformats.org/officeDocument/2006/relationships" ref="M485" r:id="rId481"/>
    <hyperlink xmlns:r="http://schemas.openxmlformats.org/officeDocument/2006/relationships" ref="M486" r:id="rId482"/>
    <hyperlink xmlns:r="http://schemas.openxmlformats.org/officeDocument/2006/relationships" ref="M487" r:id="rId483"/>
    <hyperlink xmlns:r="http://schemas.openxmlformats.org/officeDocument/2006/relationships" ref="M488" r:id="rId484"/>
    <hyperlink xmlns:r="http://schemas.openxmlformats.org/officeDocument/2006/relationships" ref="M489" r:id="rId485"/>
    <hyperlink xmlns:r="http://schemas.openxmlformats.org/officeDocument/2006/relationships" ref="M490" r:id="rId486"/>
    <hyperlink xmlns:r="http://schemas.openxmlformats.org/officeDocument/2006/relationships" ref="M491" r:id="rId487"/>
    <hyperlink xmlns:r="http://schemas.openxmlformats.org/officeDocument/2006/relationships" ref="M492" r:id="rId488"/>
    <hyperlink xmlns:r="http://schemas.openxmlformats.org/officeDocument/2006/relationships" ref="M493" r:id="rId489"/>
    <hyperlink xmlns:r="http://schemas.openxmlformats.org/officeDocument/2006/relationships" ref="M494" r:id="rId490"/>
    <hyperlink xmlns:r="http://schemas.openxmlformats.org/officeDocument/2006/relationships" ref="M495" r:id="rId491"/>
    <hyperlink xmlns:r="http://schemas.openxmlformats.org/officeDocument/2006/relationships" ref="M496" r:id="rId492"/>
    <hyperlink xmlns:r="http://schemas.openxmlformats.org/officeDocument/2006/relationships" ref="M497" r:id="rId493"/>
    <hyperlink xmlns:r="http://schemas.openxmlformats.org/officeDocument/2006/relationships" ref="M498" r:id="rId494"/>
    <hyperlink xmlns:r="http://schemas.openxmlformats.org/officeDocument/2006/relationships" ref="M499" r:id="rId495"/>
    <hyperlink xmlns:r="http://schemas.openxmlformats.org/officeDocument/2006/relationships" ref="M500" r:id="rId496"/>
    <hyperlink xmlns:r="http://schemas.openxmlformats.org/officeDocument/2006/relationships" ref="M501" r:id="rId497"/>
    <hyperlink xmlns:r="http://schemas.openxmlformats.org/officeDocument/2006/relationships" ref="M502" r:id="rId498"/>
    <hyperlink xmlns:r="http://schemas.openxmlformats.org/officeDocument/2006/relationships" ref="M503" r:id="rId499"/>
    <hyperlink xmlns:r="http://schemas.openxmlformats.org/officeDocument/2006/relationships" ref="M504" r:id="rId500"/>
    <hyperlink xmlns:r="http://schemas.openxmlformats.org/officeDocument/2006/relationships" ref="M505" r:id="rId501"/>
    <hyperlink xmlns:r="http://schemas.openxmlformats.org/officeDocument/2006/relationships" ref="M506" r:id="rId502"/>
    <hyperlink xmlns:r="http://schemas.openxmlformats.org/officeDocument/2006/relationships" ref="M507" r:id="rId503"/>
    <hyperlink xmlns:r="http://schemas.openxmlformats.org/officeDocument/2006/relationships" ref="M508" r:id="rId504"/>
    <hyperlink xmlns:r="http://schemas.openxmlformats.org/officeDocument/2006/relationships" ref="M509" r:id="rId505"/>
    <hyperlink xmlns:r="http://schemas.openxmlformats.org/officeDocument/2006/relationships" ref="M510" r:id="rId506"/>
    <hyperlink xmlns:r="http://schemas.openxmlformats.org/officeDocument/2006/relationships" ref="M511" r:id="rId507"/>
    <hyperlink xmlns:r="http://schemas.openxmlformats.org/officeDocument/2006/relationships" ref="M512" r:id="rId508"/>
    <hyperlink xmlns:r="http://schemas.openxmlformats.org/officeDocument/2006/relationships" ref="M513" r:id="rId509"/>
    <hyperlink xmlns:r="http://schemas.openxmlformats.org/officeDocument/2006/relationships" ref="M514" r:id="rId510"/>
    <hyperlink xmlns:r="http://schemas.openxmlformats.org/officeDocument/2006/relationships" ref="M515" r:id="rId511"/>
    <hyperlink xmlns:r="http://schemas.openxmlformats.org/officeDocument/2006/relationships" ref="M516" r:id="rId512"/>
    <hyperlink xmlns:r="http://schemas.openxmlformats.org/officeDocument/2006/relationships" ref="M517" r:id="rId513"/>
    <hyperlink xmlns:r="http://schemas.openxmlformats.org/officeDocument/2006/relationships" ref="M518" r:id="rId514"/>
    <hyperlink xmlns:r="http://schemas.openxmlformats.org/officeDocument/2006/relationships" ref="M519" r:id="rId515"/>
    <hyperlink xmlns:r="http://schemas.openxmlformats.org/officeDocument/2006/relationships" ref="M520" r:id="rId516"/>
    <hyperlink xmlns:r="http://schemas.openxmlformats.org/officeDocument/2006/relationships" ref="M521" r:id="rId517"/>
    <hyperlink xmlns:r="http://schemas.openxmlformats.org/officeDocument/2006/relationships" ref="M522" r:id="rId518"/>
    <hyperlink xmlns:r="http://schemas.openxmlformats.org/officeDocument/2006/relationships" ref="M523" r:id="rId519"/>
    <hyperlink xmlns:r="http://schemas.openxmlformats.org/officeDocument/2006/relationships" ref="M524" r:id="rId520"/>
    <hyperlink xmlns:r="http://schemas.openxmlformats.org/officeDocument/2006/relationships" ref="M525" r:id="rId521"/>
    <hyperlink xmlns:r="http://schemas.openxmlformats.org/officeDocument/2006/relationships" ref="M526" r:id="rId522"/>
    <hyperlink xmlns:r="http://schemas.openxmlformats.org/officeDocument/2006/relationships" ref="M527" r:id="rId523"/>
    <hyperlink xmlns:r="http://schemas.openxmlformats.org/officeDocument/2006/relationships" ref="M528" r:id="rId524"/>
    <hyperlink xmlns:r="http://schemas.openxmlformats.org/officeDocument/2006/relationships" ref="M529" r:id="rId525"/>
    <hyperlink xmlns:r="http://schemas.openxmlformats.org/officeDocument/2006/relationships" ref="M530" r:id="rId526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1" customWidth="1" min="4" max="4"/>
    <col width="11" customWidth="1" min="5" max="5"/>
    <col width="10" customWidth="1" min="6" max="6"/>
    <col width="16" customWidth="1" min="7" max="7"/>
    <col width="9" customWidth="1" min="8" max="8"/>
    <col width="12" customWidth="1" min="9" max="9"/>
  </cols>
  <sheetData>
    <row r="1">
      <c r="A1" s="18" t="inlineStr">
        <is>
          <t>TIẾN ĐỘ KIỂM TRA THEO DANH MỤC</t>
        </is>
      </c>
    </row>
    <row r="3">
      <c r="A3" s="6" t="inlineStr">
        <is>
          <t>Danh mục</t>
        </is>
      </c>
      <c r="B3" s="6" t="inlineStr">
        <is>
          <t>Tổng</t>
        </is>
      </c>
      <c r="C3" s="6" t="inlineStr">
        <is>
          <t>Ưu tiên Cao</t>
        </is>
      </c>
      <c r="D3" s="6" t="inlineStr">
        <is>
          <t>Đã kiểm tra</t>
        </is>
      </c>
      <c r="E3" s="6" t="inlineStr">
        <is>
          <t>Vị trí đúng</t>
        </is>
      </c>
      <c r="F3" s="6" t="inlineStr">
        <is>
          <t>Sửa vị trí</t>
        </is>
      </c>
      <c r="G3" s="6" t="inlineStr">
        <is>
          <t>Không tồn tại / chuyển đi</t>
        </is>
      </c>
      <c r="H3" s="6" t="inlineStr">
        <is>
          <t>Dòng lỗi</t>
        </is>
      </c>
      <c r="I3" s="6" t="inlineStr">
        <is>
          <t>% đã kiểm tra</t>
        </is>
      </c>
    </row>
    <row r="4">
      <c r="A4" s="19" t="inlineStr">
        <is>
          <t>Cây xăng</t>
        </is>
      </c>
      <c r="B4" s="19">
        <f>COUNTIF('Danh sách kiểm tra'!$E$5:$E$530,A4)</f>
        <v/>
      </c>
      <c r="C4" s="19">
        <f>COUNTIFS('Danh sách kiểm tra'!$E$5:$E$530,A4,'Danh sách kiểm tra'!$C$5:$C$530,"Cao")</f>
        <v/>
      </c>
      <c r="D4" s="19">
        <f>COUNTIFS('Danh sách kiểm tra'!$E$5:$E$530,A4,'Danh sách kiểm tra'!$N$5:$N$530,"&lt;&gt;")</f>
        <v/>
      </c>
      <c r="E4" s="19">
        <f>COUNTIFS('Danh sách kiểm tra'!$E$5:$E$530,A4,'Danh sách kiểm tra'!$N$5:$N$530,"Vị trí đúng")</f>
        <v/>
      </c>
      <c r="F4" s="19">
        <f>COUNTIFS('Danh sách kiểm tra'!$E$5:$E$530,A4,'Danh sách kiểm tra'!$N$5:$N$530,"Sửa vị trí")</f>
        <v/>
      </c>
      <c r="G4" s="19">
        <f>COUNTIFS('Danh sách kiểm tra'!$E$5:$E$530,A4,'Danh sách kiểm tra'!$N$5:$N$530,"Địa điểm không tồn tại")+COUNTIFS('Danh sách kiểm tra'!$E$5:$E$530,A4,'Danh sách kiểm tra'!$N$5:$N$530,"Đã chuyển đi (chưa rõ nơi mới)")</f>
        <v/>
      </c>
      <c r="H4" s="19">
        <f>COUNTIFS('Danh sách kiểm tra'!$E$5:$E$530,A4,'Danh sách kiểm tra'!$V$5:$V$530,"&lt;&gt;OK",'Danh sách kiểm tra'!$N$5:$N$530,"&lt;&gt;")</f>
        <v/>
      </c>
      <c r="I4" s="20">
        <f>IF(B4=0,0,D4/B4)</f>
        <v/>
      </c>
    </row>
    <row r="5">
      <c r="A5" s="19" t="inlineStr">
        <is>
          <t>ATM</t>
        </is>
      </c>
      <c r="B5" s="19">
        <f>COUNTIF('Danh sách kiểm tra'!$E$5:$E$530,A5)</f>
        <v/>
      </c>
      <c r="C5" s="19">
        <f>COUNTIFS('Danh sách kiểm tra'!$E$5:$E$530,A5,'Danh sách kiểm tra'!$C$5:$C$530,"Cao")</f>
        <v/>
      </c>
      <c r="D5" s="19">
        <f>COUNTIFS('Danh sách kiểm tra'!$E$5:$E$530,A5,'Danh sách kiểm tra'!$N$5:$N$530,"&lt;&gt;")</f>
        <v/>
      </c>
      <c r="E5" s="19">
        <f>COUNTIFS('Danh sách kiểm tra'!$E$5:$E$530,A5,'Danh sách kiểm tra'!$N$5:$N$530,"Vị trí đúng")</f>
        <v/>
      </c>
      <c r="F5" s="19">
        <f>COUNTIFS('Danh sách kiểm tra'!$E$5:$E$530,A5,'Danh sách kiểm tra'!$N$5:$N$530,"Sửa vị trí")</f>
        <v/>
      </c>
      <c r="G5" s="19">
        <f>COUNTIFS('Danh sách kiểm tra'!$E$5:$E$530,A5,'Danh sách kiểm tra'!$N$5:$N$530,"Địa điểm không tồn tại")+COUNTIFS('Danh sách kiểm tra'!$E$5:$E$530,A5,'Danh sách kiểm tra'!$N$5:$N$530,"Đã chuyển đi (chưa rõ nơi mới)")</f>
        <v/>
      </c>
      <c r="H5" s="19">
        <f>COUNTIFS('Danh sách kiểm tra'!$E$5:$E$530,A5,'Danh sách kiểm tra'!$V$5:$V$530,"&lt;&gt;OK",'Danh sách kiểm tra'!$N$5:$N$530,"&lt;&gt;")</f>
        <v/>
      </c>
      <c r="I5" s="20">
        <f>IF(B5=0,0,D5/B5)</f>
        <v/>
      </c>
    </row>
    <row r="6">
      <c r="A6" s="19" t="inlineStr">
        <is>
          <t>Ngân hàng</t>
        </is>
      </c>
      <c r="B6" s="19">
        <f>COUNTIF('Danh sách kiểm tra'!$E$5:$E$530,A6)</f>
        <v/>
      </c>
      <c r="C6" s="19">
        <f>COUNTIFS('Danh sách kiểm tra'!$E$5:$E$530,A6,'Danh sách kiểm tra'!$C$5:$C$530,"Cao")</f>
        <v/>
      </c>
      <c r="D6" s="19">
        <f>COUNTIFS('Danh sách kiểm tra'!$E$5:$E$530,A6,'Danh sách kiểm tra'!$N$5:$N$530,"&lt;&gt;")</f>
        <v/>
      </c>
      <c r="E6" s="19">
        <f>COUNTIFS('Danh sách kiểm tra'!$E$5:$E$530,A6,'Danh sách kiểm tra'!$N$5:$N$530,"Vị trí đúng")</f>
        <v/>
      </c>
      <c r="F6" s="19">
        <f>COUNTIFS('Danh sách kiểm tra'!$E$5:$E$530,A6,'Danh sách kiểm tra'!$N$5:$N$530,"Sửa vị trí")</f>
        <v/>
      </c>
      <c r="G6" s="19">
        <f>COUNTIFS('Danh sách kiểm tra'!$E$5:$E$530,A6,'Danh sách kiểm tra'!$N$5:$N$530,"Địa điểm không tồn tại")+COUNTIFS('Danh sách kiểm tra'!$E$5:$E$530,A6,'Danh sách kiểm tra'!$N$5:$N$530,"Đã chuyển đi (chưa rõ nơi mới)")</f>
        <v/>
      </c>
      <c r="H6" s="19">
        <f>COUNTIFS('Danh sách kiểm tra'!$E$5:$E$530,A6,'Danh sách kiểm tra'!$V$5:$V$530,"&lt;&gt;OK",'Danh sách kiểm tra'!$N$5:$N$530,"&lt;&gt;")</f>
        <v/>
      </c>
      <c r="I6" s="20">
        <f>IF(B6=0,0,D6/B6)</f>
        <v/>
      </c>
    </row>
    <row r="7">
      <c r="A7" s="19" t="inlineStr">
        <is>
          <t>Khách sạn</t>
        </is>
      </c>
      <c r="B7" s="19">
        <f>COUNTIF('Danh sách kiểm tra'!$E$5:$E$530,A7)</f>
        <v/>
      </c>
      <c r="C7" s="19">
        <f>COUNTIFS('Danh sách kiểm tra'!$E$5:$E$530,A7,'Danh sách kiểm tra'!$C$5:$C$530,"Cao")</f>
        <v/>
      </c>
      <c r="D7" s="19">
        <f>COUNTIFS('Danh sách kiểm tra'!$E$5:$E$530,A7,'Danh sách kiểm tra'!$N$5:$N$530,"&lt;&gt;")</f>
        <v/>
      </c>
      <c r="E7" s="19">
        <f>COUNTIFS('Danh sách kiểm tra'!$E$5:$E$530,A7,'Danh sách kiểm tra'!$N$5:$N$530,"Vị trí đúng")</f>
        <v/>
      </c>
      <c r="F7" s="19">
        <f>COUNTIFS('Danh sách kiểm tra'!$E$5:$E$530,A7,'Danh sách kiểm tra'!$N$5:$N$530,"Sửa vị trí")</f>
        <v/>
      </c>
      <c r="G7" s="19">
        <f>COUNTIFS('Danh sách kiểm tra'!$E$5:$E$530,A7,'Danh sách kiểm tra'!$N$5:$N$530,"Địa điểm không tồn tại")+COUNTIFS('Danh sách kiểm tra'!$E$5:$E$530,A7,'Danh sách kiểm tra'!$N$5:$N$530,"Đã chuyển đi (chưa rõ nơi mới)")</f>
        <v/>
      </c>
      <c r="H7" s="19">
        <f>COUNTIFS('Danh sách kiểm tra'!$E$5:$E$530,A7,'Danh sách kiểm tra'!$V$5:$V$530,"&lt;&gt;OK",'Danh sách kiểm tra'!$N$5:$N$530,"&lt;&gt;")</f>
        <v/>
      </c>
      <c r="I7" s="20">
        <f>IF(B7=0,0,D7/B7)</f>
        <v/>
      </c>
    </row>
    <row r="8">
      <c r="A8" s="19" t="inlineStr">
        <is>
          <t>Nhà nghỉ</t>
        </is>
      </c>
      <c r="B8" s="19">
        <f>COUNTIF('Danh sách kiểm tra'!$E$5:$E$530,A8)</f>
        <v/>
      </c>
      <c r="C8" s="19">
        <f>COUNTIFS('Danh sách kiểm tra'!$E$5:$E$530,A8,'Danh sách kiểm tra'!$C$5:$C$530,"Cao")</f>
        <v/>
      </c>
      <c r="D8" s="19">
        <f>COUNTIFS('Danh sách kiểm tra'!$E$5:$E$530,A8,'Danh sách kiểm tra'!$N$5:$N$530,"&lt;&gt;")</f>
        <v/>
      </c>
      <c r="E8" s="19">
        <f>COUNTIFS('Danh sách kiểm tra'!$E$5:$E$530,A8,'Danh sách kiểm tra'!$N$5:$N$530,"Vị trí đúng")</f>
        <v/>
      </c>
      <c r="F8" s="19">
        <f>COUNTIFS('Danh sách kiểm tra'!$E$5:$E$530,A8,'Danh sách kiểm tra'!$N$5:$N$530,"Sửa vị trí")</f>
        <v/>
      </c>
      <c r="G8" s="19">
        <f>COUNTIFS('Danh sách kiểm tra'!$E$5:$E$530,A8,'Danh sách kiểm tra'!$N$5:$N$530,"Địa điểm không tồn tại")+COUNTIFS('Danh sách kiểm tra'!$E$5:$E$530,A8,'Danh sách kiểm tra'!$N$5:$N$530,"Đã chuyển đi (chưa rõ nơi mới)")</f>
        <v/>
      </c>
      <c r="H8" s="19">
        <f>COUNTIFS('Danh sách kiểm tra'!$E$5:$E$530,A8,'Danh sách kiểm tra'!$V$5:$V$530,"&lt;&gt;OK",'Danh sách kiểm tra'!$N$5:$N$530,"&lt;&gt;")</f>
        <v/>
      </c>
      <c r="I8" s="20">
        <f>IF(B8=0,0,D8/B8)</f>
        <v/>
      </c>
    </row>
    <row r="9">
      <c r="A9" s="19" t="inlineStr">
        <is>
          <t>Chợ</t>
        </is>
      </c>
      <c r="B9" s="19">
        <f>COUNTIF('Danh sách kiểm tra'!$E$5:$E$530,A9)</f>
        <v/>
      </c>
      <c r="C9" s="19">
        <f>COUNTIFS('Danh sách kiểm tra'!$E$5:$E$530,A9,'Danh sách kiểm tra'!$C$5:$C$530,"Cao")</f>
        <v/>
      </c>
      <c r="D9" s="19">
        <f>COUNTIFS('Danh sách kiểm tra'!$E$5:$E$530,A9,'Danh sách kiểm tra'!$N$5:$N$530,"&lt;&gt;")</f>
        <v/>
      </c>
      <c r="E9" s="19">
        <f>COUNTIFS('Danh sách kiểm tra'!$E$5:$E$530,A9,'Danh sách kiểm tra'!$N$5:$N$530,"Vị trí đúng")</f>
        <v/>
      </c>
      <c r="F9" s="19">
        <f>COUNTIFS('Danh sách kiểm tra'!$E$5:$E$530,A9,'Danh sách kiểm tra'!$N$5:$N$530,"Sửa vị trí")</f>
        <v/>
      </c>
      <c r="G9" s="19">
        <f>COUNTIFS('Danh sách kiểm tra'!$E$5:$E$530,A9,'Danh sách kiểm tra'!$N$5:$N$530,"Địa điểm không tồn tại")+COUNTIFS('Danh sách kiểm tra'!$E$5:$E$530,A9,'Danh sách kiểm tra'!$N$5:$N$530,"Đã chuyển đi (chưa rõ nơi mới)")</f>
        <v/>
      </c>
      <c r="H9" s="19">
        <f>COUNTIFS('Danh sách kiểm tra'!$E$5:$E$530,A9,'Danh sách kiểm tra'!$V$5:$V$530,"&lt;&gt;OK",'Danh sách kiểm tra'!$N$5:$N$530,"&lt;&gt;")</f>
        <v/>
      </c>
      <c r="I9" s="20">
        <f>IF(B9=0,0,D9/B9)</f>
        <v/>
      </c>
    </row>
    <row r="10">
      <c r="A10" s="19" t="inlineStr">
        <is>
          <t>Danh lam thắng cảnh</t>
        </is>
      </c>
      <c r="B10" s="19">
        <f>COUNTIF('Danh sách kiểm tra'!$E$5:$E$530,A10)</f>
        <v/>
      </c>
      <c r="C10" s="19">
        <f>COUNTIFS('Danh sách kiểm tra'!$E$5:$E$530,A10,'Danh sách kiểm tra'!$C$5:$C$530,"Cao")</f>
        <v/>
      </c>
      <c r="D10" s="19">
        <f>COUNTIFS('Danh sách kiểm tra'!$E$5:$E$530,A10,'Danh sách kiểm tra'!$N$5:$N$530,"&lt;&gt;")</f>
        <v/>
      </c>
      <c r="E10" s="19">
        <f>COUNTIFS('Danh sách kiểm tra'!$E$5:$E$530,A10,'Danh sách kiểm tra'!$N$5:$N$530,"Vị trí đúng")</f>
        <v/>
      </c>
      <c r="F10" s="19">
        <f>COUNTIFS('Danh sách kiểm tra'!$E$5:$E$530,A10,'Danh sách kiểm tra'!$N$5:$N$530,"Sửa vị trí")</f>
        <v/>
      </c>
      <c r="G10" s="19">
        <f>COUNTIFS('Danh sách kiểm tra'!$E$5:$E$530,A10,'Danh sách kiểm tra'!$N$5:$N$530,"Địa điểm không tồn tại")+COUNTIFS('Danh sách kiểm tra'!$E$5:$E$530,A10,'Danh sách kiểm tra'!$N$5:$N$530,"Đã chuyển đi (chưa rõ nơi mới)")</f>
        <v/>
      </c>
      <c r="H10" s="19">
        <f>COUNTIFS('Danh sách kiểm tra'!$E$5:$E$530,A10,'Danh sách kiểm tra'!$V$5:$V$530,"&lt;&gt;OK",'Danh sách kiểm tra'!$N$5:$N$530,"&lt;&gt;")</f>
        <v/>
      </c>
      <c r="I10" s="20">
        <f>IF(B10=0,0,D10/B10)</f>
        <v/>
      </c>
    </row>
    <row r="11">
      <c r="A11" s="19" t="inlineStr">
        <is>
          <t>Địa danh văn hóa</t>
        </is>
      </c>
      <c r="B11" s="19">
        <f>COUNTIF('Danh sách kiểm tra'!$E$5:$E$530,A11)</f>
        <v/>
      </c>
      <c r="C11" s="19">
        <f>COUNTIFS('Danh sách kiểm tra'!$E$5:$E$530,A11,'Danh sách kiểm tra'!$C$5:$C$530,"Cao")</f>
        <v/>
      </c>
      <c r="D11" s="19">
        <f>COUNTIFS('Danh sách kiểm tra'!$E$5:$E$530,A11,'Danh sách kiểm tra'!$N$5:$N$530,"&lt;&gt;")</f>
        <v/>
      </c>
      <c r="E11" s="19">
        <f>COUNTIFS('Danh sách kiểm tra'!$E$5:$E$530,A11,'Danh sách kiểm tra'!$N$5:$N$530,"Vị trí đúng")</f>
        <v/>
      </c>
      <c r="F11" s="19">
        <f>COUNTIFS('Danh sách kiểm tra'!$E$5:$E$530,A11,'Danh sách kiểm tra'!$N$5:$N$530,"Sửa vị trí")</f>
        <v/>
      </c>
      <c r="G11" s="19">
        <f>COUNTIFS('Danh sách kiểm tra'!$E$5:$E$530,A11,'Danh sách kiểm tra'!$N$5:$N$530,"Địa điểm không tồn tại")+COUNTIFS('Danh sách kiểm tra'!$E$5:$E$530,A11,'Danh sách kiểm tra'!$N$5:$N$530,"Đã chuyển đi (chưa rõ nơi mới)")</f>
        <v/>
      </c>
      <c r="H11" s="19">
        <f>COUNTIFS('Danh sách kiểm tra'!$E$5:$E$530,A11,'Danh sách kiểm tra'!$V$5:$V$530,"&lt;&gt;OK",'Danh sách kiểm tra'!$N$5:$N$530,"&lt;&gt;")</f>
        <v/>
      </c>
      <c r="I11" s="20">
        <f>IF(B11=0,0,D11/B11)</f>
        <v/>
      </c>
    </row>
    <row r="12">
      <c r="A12" s="19" t="inlineStr">
        <is>
          <t>Địa điểm check-in</t>
        </is>
      </c>
      <c r="B12" s="19">
        <f>COUNTIF('Danh sách kiểm tra'!$E$5:$E$530,A12)</f>
        <v/>
      </c>
      <c r="C12" s="19">
        <f>COUNTIFS('Danh sách kiểm tra'!$E$5:$E$530,A12,'Danh sách kiểm tra'!$C$5:$C$530,"Cao")</f>
        <v/>
      </c>
      <c r="D12" s="19">
        <f>COUNTIFS('Danh sách kiểm tra'!$E$5:$E$530,A12,'Danh sách kiểm tra'!$N$5:$N$530,"&lt;&gt;")</f>
        <v/>
      </c>
      <c r="E12" s="19">
        <f>COUNTIFS('Danh sách kiểm tra'!$E$5:$E$530,A12,'Danh sách kiểm tra'!$N$5:$N$530,"Vị trí đúng")</f>
        <v/>
      </c>
      <c r="F12" s="19">
        <f>COUNTIFS('Danh sách kiểm tra'!$E$5:$E$530,A12,'Danh sách kiểm tra'!$N$5:$N$530,"Sửa vị trí")</f>
        <v/>
      </c>
      <c r="G12" s="19">
        <f>COUNTIFS('Danh sách kiểm tra'!$E$5:$E$530,A12,'Danh sách kiểm tra'!$N$5:$N$530,"Địa điểm không tồn tại")+COUNTIFS('Danh sách kiểm tra'!$E$5:$E$530,A12,'Danh sách kiểm tra'!$N$5:$N$530,"Đã chuyển đi (chưa rõ nơi mới)")</f>
        <v/>
      </c>
      <c r="H12" s="19">
        <f>COUNTIFS('Danh sách kiểm tra'!$E$5:$E$530,A12,'Danh sách kiểm tra'!$V$5:$V$530,"&lt;&gt;OK",'Danh sách kiểm tra'!$N$5:$N$530,"&lt;&gt;")</f>
        <v/>
      </c>
      <c r="I12" s="20">
        <f>IF(B12=0,0,D12/B12)</f>
        <v/>
      </c>
    </row>
    <row r="13">
      <c r="A13" s="19" t="inlineStr">
        <is>
          <t>Homestay</t>
        </is>
      </c>
      <c r="B13" s="19">
        <f>COUNTIF('Danh sách kiểm tra'!$E$5:$E$530,A13)</f>
        <v/>
      </c>
      <c r="C13" s="19">
        <f>COUNTIFS('Danh sách kiểm tra'!$E$5:$E$530,A13,'Danh sách kiểm tra'!$C$5:$C$530,"Cao")</f>
        <v/>
      </c>
      <c r="D13" s="19">
        <f>COUNTIFS('Danh sách kiểm tra'!$E$5:$E$530,A13,'Danh sách kiểm tra'!$N$5:$N$530,"&lt;&gt;")</f>
        <v/>
      </c>
      <c r="E13" s="19">
        <f>COUNTIFS('Danh sách kiểm tra'!$E$5:$E$530,A13,'Danh sách kiểm tra'!$N$5:$N$530,"Vị trí đúng")</f>
        <v/>
      </c>
      <c r="F13" s="19">
        <f>COUNTIFS('Danh sách kiểm tra'!$E$5:$E$530,A13,'Danh sách kiểm tra'!$N$5:$N$530,"Sửa vị trí")</f>
        <v/>
      </c>
      <c r="G13" s="19">
        <f>COUNTIFS('Danh sách kiểm tra'!$E$5:$E$530,A13,'Danh sách kiểm tra'!$N$5:$N$530,"Địa điểm không tồn tại")+COUNTIFS('Danh sách kiểm tra'!$E$5:$E$530,A13,'Danh sách kiểm tra'!$N$5:$N$530,"Đã chuyển đi (chưa rõ nơi mới)")</f>
        <v/>
      </c>
      <c r="H13" s="19">
        <f>COUNTIFS('Danh sách kiểm tra'!$E$5:$E$530,A13,'Danh sách kiểm tra'!$V$5:$V$530,"&lt;&gt;OK",'Danh sách kiểm tra'!$N$5:$N$530,"&lt;&gt;")</f>
        <v/>
      </c>
      <c r="I13" s="20">
        <f>IF(B13=0,0,D13/B13)</f>
        <v/>
      </c>
    </row>
    <row r="14">
      <c r="A14" s="19" t="inlineStr">
        <is>
          <t>Trạm sạc</t>
        </is>
      </c>
      <c r="B14" s="19">
        <f>COUNTIF('Danh sách kiểm tra'!$E$5:$E$530,A14)</f>
        <v/>
      </c>
      <c r="C14" s="19">
        <f>COUNTIFS('Danh sách kiểm tra'!$E$5:$E$530,A14,'Danh sách kiểm tra'!$C$5:$C$530,"Cao")</f>
        <v/>
      </c>
      <c r="D14" s="19">
        <f>COUNTIFS('Danh sách kiểm tra'!$E$5:$E$530,A14,'Danh sách kiểm tra'!$N$5:$N$530,"&lt;&gt;")</f>
        <v/>
      </c>
      <c r="E14" s="19">
        <f>COUNTIFS('Danh sách kiểm tra'!$E$5:$E$530,A14,'Danh sách kiểm tra'!$N$5:$N$530,"Vị trí đúng")</f>
        <v/>
      </c>
      <c r="F14" s="19">
        <f>COUNTIFS('Danh sách kiểm tra'!$E$5:$E$530,A14,'Danh sách kiểm tra'!$N$5:$N$530,"Sửa vị trí")</f>
        <v/>
      </c>
      <c r="G14" s="19">
        <f>COUNTIFS('Danh sách kiểm tra'!$E$5:$E$530,A14,'Danh sách kiểm tra'!$N$5:$N$530,"Địa điểm không tồn tại")+COUNTIFS('Danh sách kiểm tra'!$E$5:$E$530,A14,'Danh sách kiểm tra'!$N$5:$N$530,"Đã chuyển đi (chưa rõ nơi mới)")</f>
        <v/>
      </c>
      <c r="H14" s="19">
        <f>COUNTIFS('Danh sách kiểm tra'!$E$5:$E$530,A14,'Danh sách kiểm tra'!$V$5:$V$530,"&lt;&gt;OK",'Danh sách kiểm tra'!$N$5:$N$530,"&lt;&gt;")</f>
        <v/>
      </c>
      <c r="I14" s="20">
        <f>IF(B14=0,0,D14/B14)</f>
        <v/>
      </c>
    </row>
    <row r="15">
      <c r="A15" s="17" t="inlineStr">
        <is>
          <t>Tổng</t>
        </is>
      </c>
      <c r="B15" s="17">
        <f>SUM(B4:B14)</f>
        <v/>
      </c>
      <c r="C15" s="17">
        <f>SUM(C4:C14)</f>
        <v/>
      </c>
      <c r="D15" s="17">
        <f>SUM(D4:D14)</f>
        <v/>
      </c>
      <c r="E15" s="17">
        <f>SUM(E4:E14)</f>
        <v/>
      </c>
      <c r="F15" s="17">
        <f>SUM(F4:F14)</f>
        <v/>
      </c>
      <c r="G15" s="17">
        <f>SUM(G4:G14)</f>
        <v/>
      </c>
      <c r="H15" s="17">
        <f>SUM(H4:H14)</f>
        <v/>
      </c>
      <c r="I15" s="21">
        <f>IF(B15=0,0,D15/B15)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2026-10-17T03:50:33Z</dcterms:created>
  <dcterms:modified xmlns:dcterms="http://purl.org/dc/terms/" xmlns:xsi="http://www.w3.org/2001/XMLSchema-instance" xsi:type="dcterms:W3CDTF">2026-10-17T03:50:34Z</dcterms:modified>
</cp:coreProperties>
</file>