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ướng dẫn" sheetId="1" state="visible" r:id="rId1"/>
    <sheet xmlns:r="http://schemas.openxmlformats.org/officeDocument/2006/relationships" name="Danh sách khảo sát" sheetId="2" state="visible" r:id="rId2"/>
    <sheet xmlns:r="http://schemas.openxmlformats.org/officeDocument/2006/relationships" name="Quán phát hiện thêm" sheetId="3" state="visible" r:id="rId3"/>
    <sheet xmlns:r="http://schemas.openxmlformats.org/officeDocument/2006/relationships" name="Tiến độ" sheetId="4" state="visible" r:id="rId4"/>
    <sheet xmlns:r="http://schemas.openxmlformats.org/officeDocument/2006/relationships" name="Phiếu cung cấp thông tin" sheetId="5" state="visible" r:id="rId5"/>
    <sheet xmlns:r="http://schemas.openxmlformats.org/officeDocument/2006/relationships" name="Đã loại" sheetId="6" state="visible" r:id="rId6"/>
  </sheets>
  <definedNames>
    <definedName name="_xlnm._FilterDatabase" localSheetId="1" hidden="1">'Danh sách khảo sát'!$A$4:$R$388</definedName>
    <definedName name="_xlnm.Print_Titles" localSheetId="1">'Danh sách khảo sát'!$4:$4</definedName>
    <definedName name="_xlnm.Print_Titles" localSheetId="2">'Quán phát hiện thêm'!$4:$4</definedName>
    <definedName name="_xlnm.Print_Area" localSheetId="4">'Phiếu cung cấp thông tin'!$A$1:$H$39</definedName>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b val="1"/>
      <color rgb="000F766E"/>
      <sz val="14"/>
    </font>
    <font>
      <name val="Arial"/>
      <i val="1"/>
      <color rgb="00475569"/>
      <sz val="9"/>
    </font>
    <font>
      <name val="Arial"/>
      <b val="1"/>
      <color rgb="00FFFFFF"/>
      <sz val="10"/>
    </font>
    <font>
      <name val="Arial"/>
      <sz val="10"/>
    </font>
    <font>
      <name val="Arial"/>
      <color rgb="001D4ED8"/>
      <sz val="10"/>
      <u val="single"/>
    </font>
    <font>
      <name val="Arial"/>
      <b val="1"/>
      <color rgb="000F766E"/>
      <sz val="13"/>
    </font>
    <font>
      <name val="Arial"/>
      <b val="1"/>
      <sz val="10"/>
    </font>
    <font>
      <name val="Arial"/>
      <b val="1"/>
      <color rgb="000F766E"/>
      <sz val="11"/>
    </font>
  </fonts>
  <fills count="6">
    <fill>
      <patternFill/>
    </fill>
    <fill>
      <patternFill patternType="gray125"/>
    </fill>
    <fill>
      <patternFill patternType="solid">
        <fgColor rgb="000F766E"/>
      </patternFill>
    </fill>
    <fill>
      <patternFill patternType="solid">
        <fgColor rgb="00B45309"/>
      </patternFill>
    </fill>
    <fill>
      <patternFill patternType="solid">
        <fgColor rgb="00FEF3C7"/>
      </patternFill>
    </fill>
    <fill>
      <patternFill patternType="solid">
        <fgColor rgb="00FFFBEB"/>
      </patternFill>
    </fill>
  </fills>
  <borders count="11">
    <border>
      <left/>
      <right/>
      <top/>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94A3B8"/>
      </left>
      <right/>
      <top/>
      <bottom/>
      <diagonal/>
    </border>
    <border>
      <left/>
      <right style="thin">
        <color rgb="0094A3B8"/>
      </right>
      <top/>
      <bottom/>
      <diagonal/>
    </border>
    <border>
      <left style="thin">
        <color rgb="0094A3B8"/>
      </left>
      <right/>
      <top/>
      <bottom style="thin">
        <color rgb="0094A3B8"/>
      </bottom>
      <diagonal/>
    </border>
    <border>
      <left/>
      <right/>
      <top/>
      <bottom style="thin">
        <color rgb="0094A3B8"/>
      </bottom>
      <diagonal/>
    </border>
    <border>
      <left/>
      <right style="thin">
        <color rgb="0094A3B8"/>
      </right>
      <top/>
      <bottom style="thin">
        <color rgb="0094A3B8"/>
      </bottom>
      <diagonal/>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xf numFmtId="0" fontId="8"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vertical="top" wrapText="1"/>
    </xf>
    <xf numFmtId="0" fontId="5" fillId="0" borderId="1" applyAlignment="1" pivotButton="0" quotePrefix="0" xfId="0">
      <alignment vertical="top"/>
    </xf>
    <xf numFmtId="164" fontId="4" fillId="5" borderId="1" pivotButton="0" quotePrefix="0" xfId="0"/>
    <xf numFmtId="0" fontId="4" fillId="5" borderId="1" pivotButton="0" quotePrefix="0" xfId="0"/>
    <xf numFmtId="0" fontId="6" fillId="0" borderId="0" pivotButton="0" quotePrefix="0" xfId="0"/>
    <xf numFmtId="0" fontId="4" fillId="0" borderId="1" pivotButton="0" quotePrefix="0" xfId="0"/>
    <xf numFmtId="9" fontId="4" fillId="0" borderId="1" pivotButton="0" quotePrefix="0" xfId="0"/>
    <xf numFmtId="0" fontId="7" fillId="0" borderId="1" pivotButton="0" quotePrefix="0" xfId="0"/>
    <xf numFmtId="9" fontId="7" fillId="0" borderId="1" pivotButton="0" quotePrefix="0" xfId="0"/>
    <xf numFmtId="0" fontId="1" fillId="0" borderId="0" applyAlignment="1" pivotButton="0" quotePrefix="0" xfId="0">
      <alignment horizontal="center" vertical="center"/>
    </xf>
    <xf numFmtId="0" fontId="4" fillId="0" borderId="0" pivotButton="0" quotePrefix="0" xfId="0"/>
    <xf numFmtId="0" fontId="8" fillId="0" borderId="0" applyAlignment="1" pivotButton="0" quotePrefix="0" xfId="0">
      <alignment horizontal="left" vertical="center"/>
    </xf>
    <xf numFmtId="0" fontId="7" fillId="0" borderId="1" applyAlignment="1" pivotButton="0" quotePrefix="0" xfId="0">
      <alignment vertical="center" wrapText="1"/>
    </xf>
    <xf numFmtId="0" fontId="0" fillId="0" borderId="1" pivotButton="0" quotePrefix="0" xfId="0"/>
    <xf numFmtId="0" fontId="4" fillId="0" borderId="1" applyAlignment="1" pivotButton="0" quotePrefix="0" xfId="0">
      <alignment vertical="center" wrapText="1"/>
    </xf>
    <xf numFmtId="0" fontId="7" fillId="0" borderId="1" applyAlignment="1" pivotButton="0" quotePrefix="0" xfId="0">
      <alignment horizontal="center"/>
    </xf>
    <xf numFmtId="0" fontId="7" fillId="0" borderId="0" pivotButton="0" quotePrefix="0" xfId="0"/>
    <xf numFmtId="0" fontId="0" fillId="0" borderId="5" pivotButton="0" quotePrefix="0" xfId="0"/>
    <xf numFmtId="0" fontId="0" fillId="0" borderId="4"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dxfs count="2">
    <dxf>
      <font>
        <name val="Arial"/>
        <b val="1"/>
        <color rgb="0015803D"/>
      </font>
      <fill>
        <patternFill patternType="solid">
          <fgColor rgb="00DCFCE7"/>
        </patternFill>
      </fill>
    </dxf>
    <dxf>
      <font>
        <name val="Arial"/>
        <color rgb="00B91C1C"/>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openstreetmap.org/?mlat=13.978421&amp;mlon=108.009942#map=19/13.978421/108.009942" TargetMode="External" Id="rId1"/><Relationship Type="http://schemas.openxmlformats.org/officeDocument/2006/relationships/hyperlink" Target="https://www.openstreetmap.org/?mlat=13.978556&amp;mlon=108.009966#map=19/13.978556/108.009966" TargetMode="External" Id="rId2"/><Relationship Type="http://schemas.openxmlformats.org/officeDocument/2006/relationships/hyperlink" Target="https://www.openstreetmap.org/?mlat=13.969257&amp;mlon=108.005156#map=19/13.969257/108.005156" TargetMode="External" Id="rId3"/><Relationship Type="http://schemas.openxmlformats.org/officeDocument/2006/relationships/hyperlink" Target="https://www.openstreetmap.org/?mlat=13.974681&amp;mlon=108.010085#map=19/13.974681/108.010085" TargetMode="External" Id="rId4"/><Relationship Type="http://schemas.openxmlformats.org/officeDocument/2006/relationships/hyperlink" Target="https://www.openstreetmap.org/?mlat=13.977063&amp;mlon=108.010390#map=19/13.977063/108.010390" TargetMode="External" Id="rId5"/><Relationship Type="http://schemas.openxmlformats.org/officeDocument/2006/relationships/hyperlink" Target="https://www.openstreetmap.org/?mlat=13.976456&amp;mlon=108.010139#map=19/13.976456/108.010139" TargetMode="External" Id="rId6"/><Relationship Type="http://schemas.openxmlformats.org/officeDocument/2006/relationships/hyperlink" Target="https://www.openstreetmap.org/?mlat=13.966799&amp;mlon=108.003920#map=19/13.966799/108.003920" TargetMode="External" Id="rId7"/><Relationship Type="http://schemas.openxmlformats.org/officeDocument/2006/relationships/hyperlink" Target="https://www.openstreetmap.org/?mlat=13.968439&amp;mlon=108.005009#map=19/13.968439/108.005009" TargetMode="External" Id="rId8"/><Relationship Type="http://schemas.openxmlformats.org/officeDocument/2006/relationships/hyperlink" Target="https://www.openstreetmap.org/?mlat=13.976786&amp;mlon=108.010216#map=19/13.976786/108.010216" TargetMode="External" Id="rId9"/><Relationship Type="http://schemas.openxmlformats.org/officeDocument/2006/relationships/hyperlink" Target="https://www.openstreetmap.org/?mlat=13.978543&amp;mlon=108.010002#map=19/13.978543/108.010002" TargetMode="External" Id="rId10"/><Relationship Type="http://schemas.openxmlformats.org/officeDocument/2006/relationships/hyperlink" Target="https://www.openstreetmap.org/?mlat=13.977784&amp;mlon=108.010916#map=19/13.977784/108.010916" TargetMode="External" Id="rId11"/><Relationship Type="http://schemas.openxmlformats.org/officeDocument/2006/relationships/hyperlink" Target="https://www.openstreetmap.org/?mlat=13.975497&amp;mlon=108.010085#map=19/13.975497/108.010085" TargetMode="External" Id="rId12"/><Relationship Type="http://schemas.openxmlformats.org/officeDocument/2006/relationships/hyperlink" Target="https://www.openstreetmap.org/?mlat=13.977961&amp;mlon=108.010949#map=19/13.977961/108.010949" TargetMode="External" Id="rId13"/><Relationship Type="http://schemas.openxmlformats.org/officeDocument/2006/relationships/hyperlink" Target="https://www.openstreetmap.org/?mlat=13.977831&amp;mlon=108.009714#map=19/13.977831/108.009714" TargetMode="External" Id="rId14"/><Relationship Type="http://schemas.openxmlformats.org/officeDocument/2006/relationships/hyperlink" Target="https://www.openstreetmap.org/?mlat=13.992810&amp;mlon=108.015800#map=19/13.992810/108.015800" TargetMode="External" Id="rId15"/><Relationship Type="http://schemas.openxmlformats.org/officeDocument/2006/relationships/hyperlink" Target="https://www.openstreetmap.org/?mlat=13.992769&amp;mlon=108.015970#map=19/13.992769/108.015970" TargetMode="External" Id="rId16"/><Relationship Type="http://schemas.openxmlformats.org/officeDocument/2006/relationships/hyperlink" Target="https://www.openstreetmap.org/?mlat=13.993375&amp;mlon=108.016533#map=19/13.993375/108.016533" TargetMode="External" Id="rId17"/><Relationship Type="http://schemas.openxmlformats.org/officeDocument/2006/relationships/hyperlink" Target="https://www.openstreetmap.org/?mlat=13.990079&amp;mlon=108.021927#map=19/13.990079/108.021927" TargetMode="External" Id="rId18"/><Relationship Type="http://schemas.openxmlformats.org/officeDocument/2006/relationships/hyperlink" Target="https://www.openstreetmap.org/?mlat=13.979126&amp;mlon=108.000280#map=19/13.979126/108.000280" TargetMode="External" Id="rId19"/><Relationship Type="http://schemas.openxmlformats.org/officeDocument/2006/relationships/hyperlink" Target="https://www.openstreetmap.org/?mlat=13.987381&amp;mlon=108.008105#map=19/13.987381/108.008105" TargetMode="External" Id="rId20"/><Relationship Type="http://schemas.openxmlformats.org/officeDocument/2006/relationships/hyperlink" Target="https://www.openstreetmap.org/?mlat=13.987931&amp;mlon=108.013291#map=19/13.987931/108.013291" TargetMode="External" Id="rId21"/><Relationship Type="http://schemas.openxmlformats.org/officeDocument/2006/relationships/hyperlink" Target="https://www.openstreetmap.org/?mlat=13.987143&amp;mlon=108.015244#map=19/13.987143/108.015244" TargetMode="External" Id="rId22"/><Relationship Type="http://schemas.openxmlformats.org/officeDocument/2006/relationships/hyperlink" Target="https://www.openstreetmap.org/?mlat=13.987039&amp;mlon=108.017244#map=19/13.987039/108.017244" TargetMode="External" Id="rId23"/><Relationship Type="http://schemas.openxmlformats.org/officeDocument/2006/relationships/hyperlink" Target="https://www.openstreetmap.org/?mlat=13.987190&amp;mlon=108.027392#map=19/13.987190/108.027392" TargetMode="External" Id="rId24"/><Relationship Type="http://schemas.openxmlformats.org/officeDocument/2006/relationships/hyperlink" Target="https://www.openstreetmap.org/?mlat=13.985914&amp;mlon=108.024779#map=19/13.985914/108.024779" TargetMode="External" Id="rId25"/><Relationship Type="http://schemas.openxmlformats.org/officeDocument/2006/relationships/hyperlink" Target="https://www.openstreetmap.org/?mlat=13.986790&amp;mlon=108.027977#map=19/13.986790/108.027977" TargetMode="External" Id="rId26"/><Relationship Type="http://schemas.openxmlformats.org/officeDocument/2006/relationships/hyperlink" Target="https://www.openstreetmap.org/?mlat=13.973624&amp;mlon=108.013999#map=19/13.973624/108.013999" TargetMode="External" Id="rId27"/><Relationship Type="http://schemas.openxmlformats.org/officeDocument/2006/relationships/hyperlink" Target="https://www.openstreetmap.org/?mlat=13.979530&amp;mlon=108.005863#map=19/13.979530/108.005863" TargetMode="External" Id="rId28"/><Relationship Type="http://schemas.openxmlformats.org/officeDocument/2006/relationships/hyperlink" Target="https://www.openstreetmap.org/?mlat=13.982603&amp;mlon=108.009120#map=19/13.982603/108.009120" TargetMode="External" Id="rId29"/><Relationship Type="http://schemas.openxmlformats.org/officeDocument/2006/relationships/hyperlink" Target="https://www.openstreetmap.org/?mlat=13.978142&amp;mlon=108.004993#map=19/13.978142/108.004993" TargetMode="External" Id="rId30"/><Relationship Type="http://schemas.openxmlformats.org/officeDocument/2006/relationships/hyperlink" Target="https://www.openstreetmap.org/?mlat=13.975901&amp;mlon=108.007150#map=19/13.975901/108.007150" TargetMode="External" Id="rId31"/><Relationship Type="http://schemas.openxmlformats.org/officeDocument/2006/relationships/hyperlink" Target="https://www.openstreetmap.org/?mlat=13.976654&amp;mlon=108.004401#map=19/13.976654/108.004401" TargetMode="External" Id="rId32"/><Relationship Type="http://schemas.openxmlformats.org/officeDocument/2006/relationships/hyperlink" Target="https://www.openstreetmap.org/?mlat=13.975903&amp;mlon=108.007155#map=19/13.975903/108.007155" TargetMode="External" Id="rId33"/><Relationship Type="http://schemas.openxmlformats.org/officeDocument/2006/relationships/hyperlink" Target="https://www.openstreetmap.org/?mlat=13.975202&amp;mlon=108.008160#map=19/13.975202/108.008160" TargetMode="External" Id="rId34"/><Relationship Type="http://schemas.openxmlformats.org/officeDocument/2006/relationships/hyperlink" Target="https://www.openstreetmap.org/?mlat=13.989950&amp;mlon=107.997022#map=19/13.989950/107.997022" TargetMode="External" Id="rId35"/><Relationship Type="http://schemas.openxmlformats.org/officeDocument/2006/relationships/hyperlink" Target="https://www.openstreetmap.org/?mlat=13.975259&amp;mlon=108.012808#map=19/13.975259/108.012808" TargetMode="External" Id="rId36"/><Relationship Type="http://schemas.openxmlformats.org/officeDocument/2006/relationships/hyperlink" Target="https://www.openstreetmap.org/?mlat=13.969606&amp;mlon=108.005048#map=19/13.969606/108.005048" TargetMode="External" Id="rId37"/><Relationship Type="http://schemas.openxmlformats.org/officeDocument/2006/relationships/hyperlink" Target="https://www.openstreetmap.org/?mlat=13.988107&amp;mlon=108.019225#map=19/13.988107/108.019225" TargetMode="External" Id="rId38"/><Relationship Type="http://schemas.openxmlformats.org/officeDocument/2006/relationships/hyperlink" Target="https://www.openstreetmap.org/?mlat=13.972749&amp;mlon=108.017294#map=19/13.972749/108.017294" TargetMode="External" Id="rId39"/><Relationship Type="http://schemas.openxmlformats.org/officeDocument/2006/relationships/hyperlink" Target="https://www.openstreetmap.org/?mlat=13.987801&amp;mlon=108.039076#map=19/13.987801/108.039076" TargetMode="External" Id="rId40"/><Relationship Type="http://schemas.openxmlformats.org/officeDocument/2006/relationships/hyperlink" Target="https://www.openstreetmap.org/?mlat=13.993757&amp;mlon=108.021311#map=19/13.993757/108.021311" TargetMode="External" Id="rId41"/><Relationship Type="http://schemas.openxmlformats.org/officeDocument/2006/relationships/hyperlink" Target="https://www.openstreetmap.org/?mlat=13.978085&amp;mlon=108.011104#map=19/13.978085/108.011104" TargetMode="External" Id="rId42"/><Relationship Type="http://schemas.openxmlformats.org/officeDocument/2006/relationships/hyperlink" Target="https://www.openstreetmap.org/?mlat=13.973579&amp;mlon=108.012074#map=19/13.973579/108.012074" TargetMode="External" Id="rId43"/><Relationship Type="http://schemas.openxmlformats.org/officeDocument/2006/relationships/hyperlink" Target="https://www.openstreetmap.org/?mlat=13.972477&amp;mlon=108.012903#map=19/13.972477/108.012903" TargetMode="External" Id="rId44"/><Relationship Type="http://schemas.openxmlformats.org/officeDocument/2006/relationships/hyperlink" Target="https://www.openstreetmap.org/?mlat=13.980406&amp;mlon=108.014590#map=19/13.980406/108.014590" TargetMode="External" Id="rId45"/><Relationship Type="http://schemas.openxmlformats.org/officeDocument/2006/relationships/hyperlink" Target="https://www.openstreetmap.org/?mlat=13.985984&amp;mlon=108.014415#map=19/13.985984/108.014415" TargetMode="External" Id="rId46"/><Relationship Type="http://schemas.openxmlformats.org/officeDocument/2006/relationships/hyperlink" Target="https://www.openstreetmap.org/?mlat=13.994226&amp;mlon=108.022078#map=19/13.994226/108.022078" TargetMode="External" Id="rId47"/><Relationship Type="http://schemas.openxmlformats.org/officeDocument/2006/relationships/hyperlink" Target="https://www.openstreetmap.org/?mlat=13.986970&amp;mlon=108.020461#map=19/13.986970/108.020461" TargetMode="External" Id="rId48"/><Relationship Type="http://schemas.openxmlformats.org/officeDocument/2006/relationships/hyperlink" Target="https://www.openstreetmap.org/?mlat=13.977911&amp;mlon=108.000943#map=19/13.977911/108.000943" TargetMode="External" Id="rId49"/><Relationship Type="http://schemas.openxmlformats.org/officeDocument/2006/relationships/hyperlink" Target="https://www.openstreetmap.org/?mlat=13.982848&amp;mlon=108.002414#map=19/13.982848/108.002414" TargetMode="External" Id="rId50"/><Relationship Type="http://schemas.openxmlformats.org/officeDocument/2006/relationships/hyperlink" Target="https://www.openstreetmap.org/?mlat=13.988344&amp;mlon=108.010735#map=19/13.988344/108.010735" TargetMode="External" Id="rId51"/><Relationship Type="http://schemas.openxmlformats.org/officeDocument/2006/relationships/hyperlink" Target="https://www.openstreetmap.org/?mlat=13.972071&amp;mlon=108.016394#map=19/13.972071/108.016394" TargetMode="External" Id="rId52"/><Relationship Type="http://schemas.openxmlformats.org/officeDocument/2006/relationships/hyperlink" Target="https://www.openstreetmap.org/?mlat=13.971772&amp;mlon=108.016762#map=19/13.971772/108.016762" TargetMode="External" Id="rId53"/><Relationship Type="http://schemas.openxmlformats.org/officeDocument/2006/relationships/hyperlink" Target="https://www.openstreetmap.org/?mlat=13.970020&amp;mlon=108.020468#map=19/13.970020/108.020468" TargetMode="External" Id="rId54"/><Relationship Type="http://schemas.openxmlformats.org/officeDocument/2006/relationships/hyperlink" Target="https://www.openstreetmap.org/?mlat=13.977125&amp;mlon=108.008129#map=19/13.977125/108.008129" TargetMode="External" Id="rId55"/><Relationship Type="http://schemas.openxmlformats.org/officeDocument/2006/relationships/hyperlink" Target="https://www.openstreetmap.org/?mlat=13.982989&amp;mlon=108.007375#map=19/13.982989/108.007375" TargetMode="External" Id="rId56"/><Relationship Type="http://schemas.openxmlformats.org/officeDocument/2006/relationships/hyperlink" Target="https://www.openstreetmap.org/?mlat=13.974519&amp;mlon=108.016321#map=19/13.974519/108.016321" TargetMode="External" Id="rId57"/><Relationship Type="http://schemas.openxmlformats.org/officeDocument/2006/relationships/hyperlink" Target="https://www.openstreetmap.org/?mlat=13.969356&amp;mlon=108.018626#map=19/13.969356/108.018626" TargetMode="External" Id="rId58"/><Relationship Type="http://schemas.openxmlformats.org/officeDocument/2006/relationships/hyperlink" Target="https://www.openstreetmap.org/?mlat=13.983591&amp;mlon=108.004392#map=19/13.983591/108.004392" TargetMode="External" Id="rId59"/><Relationship Type="http://schemas.openxmlformats.org/officeDocument/2006/relationships/hyperlink" Target="https://www.openstreetmap.org/?mlat=13.984971&amp;mlon=108.004237#map=19/13.984971/108.004237" TargetMode="External" Id="rId60"/><Relationship Type="http://schemas.openxmlformats.org/officeDocument/2006/relationships/hyperlink" Target="https://www.openstreetmap.org/?mlat=14.008647&amp;mlon=108.045789#map=19/14.008647/108.045789" TargetMode="External" Id="rId61"/><Relationship Type="http://schemas.openxmlformats.org/officeDocument/2006/relationships/hyperlink" Target="https://www.openstreetmap.org/?mlat=14.008351&amp;mlon=108.045851#map=19/14.008351/108.045851" TargetMode="External" Id="rId62"/><Relationship Type="http://schemas.openxmlformats.org/officeDocument/2006/relationships/hyperlink" Target="https://www.openstreetmap.org/?mlat=13.972298&amp;mlon=108.024491#map=19/13.972298/108.024491" TargetMode="External" Id="rId63"/><Relationship Type="http://schemas.openxmlformats.org/officeDocument/2006/relationships/hyperlink" Target="https://www.openstreetmap.org/?mlat=13.980419&amp;mlon=108.023724#map=19/13.980419/108.023724" TargetMode="External" Id="rId64"/><Relationship Type="http://schemas.openxmlformats.org/officeDocument/2006/relationships/hyperlink" Target="https://www.openstreetmap.org/?mlat=13.988532&amp;mlon=108.010329#map=19/13.988532/108.010329" TargetMode="External" Id="rId65"/><Relationship Type="http://schemas.openxmlformats.org/officeDocument/2006/relationships/hyperlink" Target="https://www.openstreetmap.org/?mlat=13.982208&amp;mlon=108.002967#map=19/13.982208/108.002967" TargetMode="External" Id="rId66"/><Relationship Type="http://schemas.openxmlformats.org/officeDocument/2006/relationships/hyperlink" Target="https://www.openstreetmap.org/?mlat=13.981563&amp;mlon=108.002225#map=19/13.981563/108.002225" TargetMode="External" Id="rId67"/><Relationship Type="http://schemas.openxmlformats.org/officeDocument/2006/relationships/hyperlink" Target="https://www.openstreetmap.org/?mlat=13.981807&amp;mlon=108.002318#map=19/13.981807/108.002318" TargetMode="External" Id="rId68"/><Relationship Type="http://schemas.openxmlformats.org/officeDocument/2006/relationships/hyperlink" Target="https://www.openstreetmap.org/?mlat=13.981990&amp;mlon=108.002756#map=19/13.981990/108.002756" TargetMode="External" Id="rId69"/><Relationship Type="http://schemas.openxmlformats.org/officeDocument/2006/relationships/hyperlink" Target="https://www.openstreetmap.org/?mlat=13.982296&amp;mlon=108.002344#map=19/13.982296/108.002344" TargetMode="External" Id="rId70"/><Relationship Type="http://schemas.openxmlformats.org/officeDocument/2006/relationships/hyperlink" Target="https://www.openstreetmap.org/?mlat=13.982599&amp;mlon=108.002450#map=19/13.982599/108.002450" TargetMode="External" Id="rId71"/><Relationship Type="http://schemas.openxmlformats.org/officeDocument/2006/relationships/hyperlink" Target="https://www.openstreetmap.org/?mlat=13.980077&amp;mlon=108.004564#map=19/13.980077/108.004564" TargetMode="External" Id="rId72"/><Relationship Type="http://schemas.openxmlformats.org/officeDocument/2006/relationships/hyperlink" Target="https://www.openstreetmap.org/?mlat=13.979648&amp;mlon=108.005752#map=19/13.979648/108.005752" TargetMode="External" Id="rId73"/><Relationship Type="http://schemas.openxmlformats.org/officeDocument/2006/relationships/hyperlink" Target="https://www.openstreetmap.org/?mlat=13.979292&amp;mlon=108.005814#map=19/13.979292/108.005814" TargetMode="External" Id="rId74"/><Relationship Type="http://schemas.openxmlformats.org/officeDocument/2006/relationships/hyperlink" Target="https://www.openstreetmap.org/?mlat=13.979550&amp;mlon=108.010654#map=19/13.979550/108.010654" TargetMode="External" Id="rId75"/><Relationship Type="http://schemas.openxmlformats.org/officeDocument/2006/relationships/hyperlink" Target="https://www.openstreetmap.org/?mlat=13.983631&amp;mlon=108.008264#map=19/13.983631/108.008264" TargetMode="External" Id="rId76"/><Relationship Type="http://schemas.openxmlformats.org/officeDocument/2006/relationships/hyperlink" Target="https://www.openstreetmap.org/?mlat=13.979908&amp;mlon=108.011610#map=19/13.979908/108.011610" TargetMode="External" Id="rId77"/><Relationship Type="http://schemas.openxmlformats.org/officeDocument/2006/relationships/hyperlink" Target="https://www.openstreetmap.org/?mlat=13.977136&amp;mlon=108.012907#map=19/13.977136/108.012907" TargetMode="External" Id="rId78"/><Relationship Type="http://schemas.openxmlformats.org/officeDocument/2006/relationships/hyperlink" Target="https://www.openstreetmap.org/?mlat=13.977036&amp;mlon=108.003765#map=19/13.977036/108.003765" TargetMode="External" Id="rId79"/><Relationship Type="http://schemas.openxmlformats.org/officeDocument/2006/relationships/hyperlink" Target="https://www.openstreetmap.org/?mlat=13.977185&amp;mlon=108.003828#map=19/13.977185/108.003828" TargetMode="External" Id="rId80"/><Relationship Type="http://schemas.openxmlformats.org/officeDocument/2006/relationships/hyperlink" Target="https://www.openstreetmap.org/?mlat=13.977011&amp;mlon=108.003749#map=19/13.977011/108.003749" TargetMode="External" Id="rId81"/><Relationship Type="http://schemas.openxmlformats.org/officeDocument/2006/relationships/hyperlink" Target="https://www.openstreetmap.org/?mlat=13.976214&amp;mlon=108.003616#map=19/13.976214/108.003616" TargetMode="External" Id="rId82"/><Relationship Type="http://schemas.openxmlformats.org/officeDocument/2006/relationships/hyperlink" Target="https://www.openstreetmap.org/?mlat=13.976062&amp;mlon=108.003622#map=19/13.976062/108.003622" TargetMode="External" Id="rId83"/><Relationship Type="http://schemas.openxmlformats.org/officeDocument/2006/relationships/hyperlink" Target="https://www.openstreetmap.org/?mlat=13.974590&amp;mlon=108.003743#map=19/13.974590/108.003743" TargetMode="External" Id="rId84"/><Relationship Type="http://schemas.openxmlformats.org/officeDocument/2006/relationships/hyperlink" Target="https://www.openstreetmap.org/?mlat=13.973388&amp;mlon=108.003985#map=19/13.973388/108.003985" TargetMode="External" Id="rId85"/><Relationship Type="http://schemas.openxmlformats.org/officeDocument/2006/relationships/hyperlink" Target="https://www.openstreetmap.org/?mlat=13.972611&amp;mlon=108.022329#map=19/13.972611/108.022329" TargetMode="External" Id="rId86"/><Relationship Type="http://schemas.openxmlformats.org/officeDocument/2006/relationships/hyperlink" Target="https://www.openstreetmap.org/?mlat=13.985500&amp;mlon=108.016500#map=19/13.985500/108.016500" TargetMode="External" Id="rId87"/><Relationship Type="http://schemas.openxmlformats.org/officeDocument/2006/relationships/hyperlink" Target="https://www.openstreetmap.org/?mlat=13.972886&amp;mlon=108.006034#map=19/13.972886/108.006034" TargetMode="External" Id="rId88"/><Relationship Type="http://schemas.openxmlformats.org/officeDocument/2006/relationships/hyperlink" Target="https://www.openstreetmap.org/?mlat=13.977777&amp;mlon=108.002852#map=19/13.977777/108.002852" TargetMode="External" Id="rId89"/><Relationship Type="http://schemas.openxmlformats.org/officeDocument/2006/relationships/hyperlink" Target="https://www.openstreetmap.org/?mlat=13.977777&amp;mlon=108.002852#map=19/13.977777/108.002852" TargetMode="External" Id="rId90"/><Relationship Type="http://schemas.openxmlformats.org/officeDocument/2006/relationships/hyperlink" Target="https://www.openstreetmap.org/?mlat=13.977906&amp;mlon=108.003812#map=19/13.977906/108.003812" TargetMode="External" Id="rId91"/><Relationship Type="http://schemas.openxmlformats.org/officeDocument/2006/relationships/hyperlink" Target="https://www.openstreetmap.org/?mlat=13.977754&amp;mlon=108.003133#map=19/13.977754/108.003133" TargetMode="External" Id="rId92"/><Relationship Type="http://schemas.openxmlformats.org/officeDocument/2006/relationships/hyperlink" Target="https://www.openstreetmap.org/?mlat=13.977795&amp;mlon=108.003192#map=19/13.977795/108.003192" TargetMode="External" Id="rId93"/><Relationship Type="http://schemas.openxmlformats.org/officeDocument/2006/relationships/hyperlink" Target="https://www.openstreetmap.org/?mlat=13.986589&amp;mlon=108.006857#map=19/13.986589/108.006857" TargetMode="External" Id="rId94"/><Relationship Type="http://schemas.openxmlformats.org/officeDocument/2006/relationships/hyperlink" Target="https://www.openstreetmap.org/?mlat=13.991942&amp;mlon=108.011408#map=19/13.991942/108.011408" TargetMode="External" Id="rId95"/><Relationship Type="http://schemas.openxmlformats.org/officeDocument/2006/relationships/hyperlink" Target="https://www.openstreetmap.org/?mlat=13.991416&amp;mlon=108.006049#map=19/13.991416/108.006049" TargetMode="External" Id="rId96"/><Relationship Type="http://schemas.openxmlformats.org/officeDocument/2006/relationships/hyperlink" Target="https://www.openstreetmap.org/?mlat=13.977550&amp;mlon=108.005212#map=19/13.977550/108.005212" TargetMode="External" Id="rId97"/><Relationship Type="http://schemas.openxmlformats.org/officeDocument/2006/relationships/hyperlink" Target="https://www.openstreetmap.org/?mlat=13.977258&amp;mlon=108.005151#map=19/13.977258/108.005151" TargetMode="External" Id="rId98"/><Relationship Type="http://schemas.openxmlformats.org/officeDocument/2006/relationships/hyperlink" Target="https://www.openstreetmap.org/?mlat=13.976789&amp;mlon=108.005096#map=19/13.976789/108.005096" TargetMode="External" Id="rId99"/><Relationship Type="http://schemas.openxmlformats.org/officeDocument/2006/relationships/hyperlink" Target="https://www.openstreetmap.org/?mlat=13.974458&amp;mlon=108.005108#map=19/13.974458/108.005108" TargetMode="External" Id="rId100"/><Relationship Type="http://schemas.openxmlformats.org/officeDocument/2006/relationships/hyperlink" Target="https://www.openstreetmap.org/?mlat=13.985577&amp;mlon=108.008452#map=19/13.985577/108.008452" TargetMode="External" Id="rId101"/><Relationship Type="http://schemas.openxmlformats.org/officeDocument/2006/relationships/hyperlink" Target="https://www.openstreetmap.org/?mlat=13.987863&amp;mlon=108.008619#map=19/13.987863/108.008619" TargetMode="External" Id="rId102"/><Relationship Type="http://schemas.openxmlformats.org/officeDocument/2006/relationships/hyperlink" Target="https://www.openstreetmap.org/?mlat=13.982221&amp;mlon=108.008529#map=19/13.982221/108.008529" TargetMode="External" Id="rId103"/><Relationship Type="http://schemas.openxmlformats.org/officeDocument/2006/relationships/hyperlink" Target="https://www.openstreetmap.org/?mlat=13.988619&amp;mlon=108.011210#map=19/13.988619/108.011210" TargetMode="External" Id="rId104"/><Relationship Type="http://schemas.openxmlformats.org/officeDocument/2006/relationships/hyperlink" Target="https://www.openstreetmap.org/?mlat=13.985935&amp;mlon=108.005264#map=19/13.985935/108.005264" TargetMode="External" Id="rId105"/><Relationship Type="http://schemas.openxmlformats.org/officeDocument/2006/relationships/hyperlink" Target="https://www.openstreetmap.org/?mlat=13.985499&amp;mlon=108.004689#map=19/13.985499/108.004689" TargetMode="External" Id="rId106"/><Relationship Type="http://schemas.openxmlformats.org/officeDocument/2006/relationships/hyperlink" Target="https://www.openstreetmap.org/?mlat=13.984841&amp;mlon=108.002847#map=19/13.984841/108.002847" TargetMode="External" Id="rId107"/><Relationship Type="http://schemas.openxmlformats.org/officeDocument/2006/relationships/hyperlink" Target="https://www.openstreetmap.org/?mlat=13.983057&amp;mlon=108.001207#map=19/13.983057/108.001207" TargetMode="External" Id="rId108"/><Relationship Type="http://schemas.openxmlformats.org/officeDocument/2006/relationships/hyperlink" Target="https://www.openstreetmap.org/?mlat=13.983057&amp;mlon=108.001207#map=19/13.983057/108.001207" TargetMode="External" Id="rId109"/><Relationship Type="http://schemas.openxmlformats.org/officeDocument/2006/relationships/hyperlink" Target="https://www.openstreetmap.org/?mlat=13.985331&amp;mlon=108.002752#map=19/13.985331/108.002752" TargetMode="External" Id="rId110"/><Relationship Type="http://schemas.openxmlformats.org/officeDocument/2006/relationships/hyperlink" Target="https://www.openstreetmap.org/?mlat=13.983627&amp;mlon=107.999804#map=19/13.983627/107.999804" TargetMode="External" Id="rId111"/><Relationship Type="http://schemas.openxmlformats.org/officeDocument/2006/relationships/hyperlink" Target="https://www.openstreetmap.org/?mlat=13.981971&amp;mlon=107.999581#map=19/13.981971/107.999581" TargetMode="External" Id="rId112"/><Relationship Type="http://schemas.openxmlformats.org/officeDocument/2006/relationships/hyperlink" Target="https://www.openstreetmap.org/?mlat=13.981656&amp;mlon=107.998833#map=19/13.981656/107.998833" TargetMode="External" Id="rId113"/><Relationship Type="http://schemas.openxmlformats.org/officeDocument/2006/relationships/hyperlink" Target="https://www.openstreetmap.org/?mlat=13.981535&amp;mlon=107.997856#map=19/13.981535/107.997856" TargetMode="External" Id="rId114"/><Relationship Type="http://schemas.openxmlformats.org/officeDocument/2006/relationships/hyperlink" Target="https://www.openstreetmap.org/?mlat=13.973656&amp;mlon=108.014532#map=19/13.973656/108.014532" TargetMode="External" Id="rId115"/><Relationship Type="http://schemas.openxmlformats.org/officeDocument/2006/relationships/hyperlink" Target="https://www.openstreetmap.org/?mlat=13.977036&amp;mlon=108.014766#map=19/13.977036/108.014766" TargetMode="External" Id="rId116"/><Relationship Type="http://schemas.openxmlformats.org/officeDocument/2006/relationships/hyperlink" Target="https://www.openstreetmap.org/?mlat=13.977358&amp;mlon=108.014748#map=19/13.977358/108.014748" TargetMode="External" Id="rId117"/><Relationship Type="http://schemas.openxmlformats.org/officeDocument/2006/relationships/hyperlink" Target="https://www.openstreetmap.org/?mlat=13.977873&amp;mlon=108.014572#map=19/13.977873/108.014572" TargetMode="External" Id="rId118"/><Relationship Type="http://schemas.openxmlformats.org/officeDocument/2006/relationships/hyperlink" Target="https://www.openstreetmap.org/?mlat=13.977879&amp;mlon=108.014758#map=19/13.977879/108.014758" TargetMode="External" Id="rId119"/><Relationship Type="http://schemas.openxmlformats.org/officeDocument/2006/relationships/hyperlink" Target="https://www.openstreetmap.org/?mlat=13.977877&amp;mlon=108.014710#map=19/13.977877/108.014710" TargetMode="External" Id="rId120"/><Relationship Type="http://schemas.openxmlformats.org/officeDocument/2006/relationships/hyperlink" Target="https://www.openstreetmap.org/?mlat=13.978516&amp;mlon=108.014713#map=19/13.978516/108.014713" TargetMode="External" Id="rId121"/><Relationship Type="http://schemas.openxmlformats.org/officeDocument/2006/relationships/hyperlink" Target="https://www.openstreetmap.org/?mlat=13.976087&amp;mlon=108.014988#map=19/13.976087/108.014988" TargetMode="External" Id="rId122"/><Relationship Type="http://schemas.openxmlformats.org/officeDocument/2006/relationships/hyperlink" Target="https://www.openstreetmap.org/?mlat=13.978812&amp;mlon=108.014680#map=19/13.978812/108.014680" TargetMode="External" Id="rId123"/><Relationship Type="http://schemas.openxmlformats.org/officeDocument/2006/relationships/hyperlink" Target="https://www.openstreetmap.org/?mlat=13.978406&amp;mlon=108.014916#map=19/13.978406/108.014916" TargetMode="External" Id="rId124"/><Relationship Type="http://schemas.openxmlformats.org/officeDocument/2006/relationships/hyperlink" Target="https://www.openstreetmap.org/?mlat=13.984203&amp;mlon=108.014623#map=19/13.984203/108.014623" TargetMode="External" Id="rId125"/><Relationship Type="http://schemas.openxmlformats.org/officeDocument/2006/relationships/hyperlink" Target="https://www.openstreetmap.org/?mlat=13.986194&amp;mlon=108.014099#map=19/13.986194/108.014099" TargetMode="External" Id="rId126"/><Relationship Type="http://schemas.openxmlformats.org/officeDocument/2006/relationships/hyperlink" Target="https://www.openstreetmap.org/?mlat=13.979565&amp;mlon=108.006838#map=19/13.979565/108.006838" TargetMode="External" Id="rId127"/><Relationship Type="http://schemas.openxmlformats.org/officeDocument/2006/relationships/hyperlink" Target="https://www.openstreetmap.org/?mlat=13.979801&amp;mlon=108.006648#map=19/13.979801/108.006648" TargetMode="External" Id="rId128"/><Relationship Type="http://schemas.openxmlformats.org/officeDocument/2006/relationships/hyperlink" Target="https://www.openstreetmap.org/?mlat=13.979436&amp;mlon=108.006742#map=19/13.979436/108.006742" TargetMode="External" Id="rId129"/><Relationship Type="http://schemas.openxmlformats.org/officeDocument/2006/relationships/hyperlink" Target="https://www.openstreetmap.org/?mlat=13.979748&amp;mlon=108.007029#map=19/13.979748/108.007029" TargetMode="External" Id="rId130"/><Relationship Type="http://schemas.openxmlformats.org/officeDocument/2006/relationships/hyperlink" Target="https://www.openstreetmap.org/?mlat=13.978188&amp;mlon=108.009776#map=19/13.978188/108.009776" TargetMode="External" Id="rId131"/><Relationship Type="http://schemas.openxmlformats.org/officeDocument/2006/relationships/hyperlink" Target="https://www.openstreetmap.org/?mlat=13.977078&amp;mlon=108.005652#map=19/13.977078/108.005652" TargetMode="External" Id="rId132"/><Relationship Type="http://schemas.openxmlformats.org/officeDocument/2006/relationships/hyperlink" Target="https://www.openstreetmap.org/?mlat=13.978014&amp;mlon=108.005134#map=19/13.978014/108.005134" TargetMode="External" Id="rId133"/><Relationship Type="http://schemas.openxmlformats.org/officeDocument/2006/relationships/hyperlink" Target="https://www.openstreetmap.org/?mlat=13.978115&amp;mlon=108.004943#map=19/13.978115/108.004943" TargetMode="External" Id="rId134"/><Relationship Type="http://schemas.openxmlformats.org/officeDocument/2006/relationships/hyperlink" Target="https://www.openstreetmap.org/?mlat=13.978386&amp;mlon=108.004029#map=19/13.978386/108.004029" TargetMode="External" Id="rId135"/><Relationship Type="http://schemas.openxmlformats.org/officeDocument/2006/relationships/hyperlink" Target="https://www.openstreetmap.org/?mlat=13.978547&amp;mlon=108.003870#map=19/13.978547/108.003870" TargetMode="External" Id="rId136"/><Relationship Type="http://schemas.openxmlformats.org/officeDocument/2006/relationships/hyperlink" Target="https://www.openstreetmap.org/?mlat=13.967230&amp;mlon=108.003736#map=19/13.967230/108.003736" TargetMode="External" Id="rId137"/><Relationship Type="http://schemas.openxmlformats.org/officeDocument/2006/relationships/hyperlink" Target="https://www.openstreetmap.org/?mlat=13.972550&amp;mlon=108.005012#map=19/13.972550/108.005012" TargetMode="External" Id="rId138"/><Relationship Type="http://schemas.openxmlformats.org/officeDocument/2006/relationships/hyperlink" Target="https://www.openstreetmap.org/?mlat=13.975780&amp;mlon=108.010052#map=19/13.975780/108.010052" TargetMode="External" Id="rId139"/><Relationship Type="http://schemas.openxmlformats.org/officeDocument/2006/relationships/hyperlink" Target="https://www.openstreetmap.org/?mlat=13.982172&amp;mlon=108.011378#map=19/13.982172/108.011378" TargetMode="External" Id="rId140"/><Relationship Type="http://schemas.openxmlformats.org/officeDocument/2006/relationships/hyperlink" Target="https://www.openstreetmap.org/?mlat=13.981523&amp;mlon=108.011132#map=19/13.981523/108.011132" TargetMode="External" Id="rId141"/><Relationship Type="http://schemas.openxmlformats.org/officeDocument/2006/relationships/hyperlink" Target="https://www.openstreetmap.org/?mlat=13.981964&amp;mlon=108.011938#map=19/13.981964/108.011938" TargetMode="External" Id="rId142"/><Relationship Type="http://schemas.openxmlformats.org/officeDocument/2006/relationships/hyperlink" Target="https://www.openstreetmap.org/?mlat=13.976104&amp;mlon=108.001401#map=19/13.976104/108.001401" TargetMode="External" Id="rId143"/><Relationship Type="http://schemas.openxmlformats.org/officeDocument/2006/relationships/hyperlink" Target="https://www.openstreetmap.org/?mlat=13.976002&amp;mlon=108.001258#map=19/13.976002/108.001258" TargetMode="External" Id="rId144"/><Relationship Type="http://schemas.openxmlformats.org/officeDocument/2006/relationships/hyperlink" Target="https://www.openstreetmap.org/?mlat=13.975686&amp;mlon=108.000982#map=19/13.975686/108.000982" TargetMode="External" Id="rId145"/><Relationship Type="http://schemas.openxmlformats.org/officeDocument/2006/relationships/hyperlink" Target="https://www.openstreetmap.org/?mlat=13.975560&amp;mlon=108.000794#map=19/13.975560/108.000794" TargetMode="External" Id="rId146"/><Relationship Type="http://schemas.openxmlformats.org/officeDocument/2006/relationships/hyperlink" Target="https://www.openstreetmap.org/?mlat=13.975188&amp;mlon=108.000085#map=19/13.975188/108.000085" TargetMode="External" Id="rId147"/><Relationship Type="http://schemas.openxmlformats.org/officeDocument/2006/relationships/hyperlink" Target="https://www.openstreetmap.org/?mlat=14.001352&amp;mlon=108.020792#map=19/14.001352/108.020792" TargetMode="External" Id="rId148"/><Relationship Type="http://schemas.openxmlformats.org/officeDocument/2006/relationships/hyperlink" Target="https://www.openstreetmap.org/?mlat=13.989382&amp;mlon=108.008381#map=19/13.989382/108.008381" TargetMode="External" Id="rId149"/><Relationship Type="http://schemas.openxmlformats.org/officeDocument/2006/relationships/hyperlink" Target="https://www.openstreetmap.org/?mlat=13.989404&amp;mlon=108.010155#map=19/13.989404/108.010155" TargetMode="External" Id="rId150"/><Relationship Type="http://schemas.openxmlformats.org/officeDocument/2006/relationships/hyperlink" Target="https://www.openstreetmap.org/?mlat=13.989980&amp;mlon=108.012981#map=19/13.989980/108.012981" TargetMode="External" Id="rId151"/><Relationship Type="http://schemas.openxmlformats.org/officeDocument/2006/relationships/hyperlink" Target="https://www.openstreetmap.org/?mlat=13.989043&amp;mlon=108.017142#map=19/13.989043/108.017142" TargetMode="External" Id="rId152"/><Relationship Type="http://schemas.openxmlformats.org/officeDocument/2006/relationships/hyperlink" Target="https://www.openstreetmap.org/?mlat=13.972561&amp;mlon=108.025444#map=19/13.972561/108.025444" TargetMode="External" Id="rId153"/><Relationship Type="http://schemas.openxmlformats.org/officeDocument/2006/relationships/hyperlink" Target="https://www.openstreetmap.org/?mlat=13.973392&amp;mlon=108.025590#map=19/13.973392/108.025590" TargetMode="External" Id="rId154"/><Relationship Type="http://schemas.openxmlformats.org/officeDocument/2006/relationships/hyperlink" Target="https://www.openstreetmap.org/?mlat=13.973409&amp;mlon=108.025708#map=19/13.973409/108.025708" TargetMode="External" Id="rId155"/><Relationship Type="http://schemas.openxmlformats.org/officeDocument/2006/relationships/hyperlink" Target="https://www.openstreetmap.org/?mlat=13.975152&amp;mlon=108.025600#map=19/13.975152/108.025600" TargetMode="External" Id="rId156"/><Relationship Type="http://schemas.openxmlformats.org/officeDocument/2006/relationships/hyperlink" Target="https://www.openstreetmap.org/?mlat=13.978159&amp;mlon=107.999396#map=19/13.978159/107.999396" TargetMode="External" Id="rId157"/><Relationship Type="http://schemas.openxmlformats.org/officeDocument/2006/relationships/hyperlink" Target="https://www.openstreetmap.org/?mlat=13.984094&amp;mlon=107.996000#map=19/13.984094/107.996000" TargetMode="External" Id="rId158"/><Relationship Type="http://schemas.openxmlformats.org/officeDocument/2006/relationships/hyperlink" Target="https://www.openstreetmap.org/?mlat=13.972897&amp;mlon=108.026181#map=19/13.972897/108.026181" TargetMode="External" Id="rId159"/><Relationship Type="http://schemas.openxmlformats.org/officeDocument/2006/relationships/hyperlink" Target="https://www.openstreetmap.org/?mlat=13.978746&amp;mlon=108.027262#map=19/13.978746/108.027262" TargetMode="External" Id="rId160"/><Relationship Type="http://schemas.openxmlformats.org/officeDocument/2006/relationships/hyperlink" Target="https://www.openstreetmap.org/?mlat=13.969876&amp;mlon=108.015533#map=19/13.969876/108.015533" TargetMode="External" Id="rId161"/><Relationship Type="http://schemas.openxmlformats.org/officeDocument/2006/relationships/hyperlink" Target="https://www.openstreetmap.org/?mlat=13.974510&amp;mlon=108.003151#map=19/13.974510/108.003151" TargetMode="External" Id="rId162"/><Relationship Type="http://schemas.openxmlformats.org/officeDocument/2006/relationships/hyperlink" Target="https://www.openstreetmap.org/?mlat=13.974787&amp;mlon=108.003183#map=19/13.974787/108.003183" TargetMode="External" Id="rId163"/><Relationship Type="http://schemas.openxmlformats.org/officeDocument/2006/relationships/hyperlink" Target="https://www.openstreetmap.org/?mlat=13.970726&amp;mlon=108.013753#map=19/13.970726/108.013753" TargetMode="External" Id="rId164"/><Relationship Type="http://schemas.openxmlformats.org/officeDocument/2006/relationships/hyperlink" Target="https://www.openstreetmap.org/?mlat=13.978477&amp;mlon=108.009967#map=19/13.978477/108.009967" TargetMode="External" Id="rId165"/><Relationship Type="http://schemas.openxmlformats.org/officeDocument/2006/relationships/hyperlink" Target="https://www.openstreetmap.org/?mlat=13.988266&amp;mlon=108.011451#map=19/13.988266/108.011451" TargetMode="External" Id="rId166"/><Relationship Type="http://schemas.openxmlformats.org/officeDocument/2006/relationships/hyperlink" Target="https://www.openstreetmap.org/?mlat=13.990427&amp;mlon=108.009057#map=19/13.990427/108.009057" TargetMode="External" Id="rId167"/><Relationship Type="http://schemas.openxmlformats.org/officeDocument/2006/relationships/hyperlink" Target="https://www.openstreetmap.org/?mlat=13.992904&amp;mlon=108.020522#map=19/13.992904/108.020522" TargetMode="External" Id="rId168"/><Relationship Type="http://schemas.openxmlformats.org/officeDocument/2006/relationships/hyperlink" Target="https://www.openstreetmap.org/?mlat=13.996257&amp;mlon=108.016462#map=19/13.996257/108.016462" TargetMode="External" Id="rId169"/><Relationship Type="http://schemas.openxmlformats.org/officeDocument/2006/relationships/hyperlink" Target="https://www.openstreetmap.org/?mlat=13.989860&amp;mlon=107.997213#map=19/13.989860/107.997213" TargetMode="External" Id="rId170"/><Relationship Type="http://schemas.openxmlformats.org/officeDocument/2006/relationships/hyperlink" Target="https://www.openstreetmap.org/?mlat=13.980112&amp;mlon=107.992583#map=19/13.980112/107.992583" TargetMode="External" Id="rId171"/><Relationship Type="http://schemas.openxmlformats.org/officeDocument/2006/relationships/hyperlink" Target="https://www.openstreetmap.org/?mlat=13.982259&amp;mlon=107.993913#map=19/13.982259/107.993913" TargetMode="External" Id="rId172"/><Relationship Type="http://schemas.openxmlformats.org/officeDocument/2006/relationships/hyperlink" Target="https://www.openstreetmap.org/?mlat=13.982050&amp;mlon=107.992695#map=19/13.982050/107.992695" TargetMode="External" Id="rId173"/><Relationship Type="http://schemas.openxmlformats.org/officeDocument/2006/relationships/hyperlink" Target="https://www.openstreetmap.org/?mlat=13.980553&amp;mlon=107.991981#map=19/13.980553/107.991981" TargetMode="External" Id="rId174"/><Relationship Type="http://schemas.openxmlformats.org/officeDocument/2006/relationships/hyperlink" Target="https://www.openstreetmap.org/?mlat=13.966503&amp;mlon=107.996156#map=19/13.966503/107.996156" TargetMode="External" Id="rId175"/><Relationship Type="http://schemas.openxmlformats.org/officeDocument/2006/relationships/hyperlink" Target="https://www.openstreetmap.org/?mlat=13.972339&amp;mlon=107.999734#map=19/13.972339/107.999734" TargetMode="External" Id="rId176"/><Relationship Type="http://schemas.openxmlformats.org/officeDocument/2006/relationships/hyperlink" Target="https://www.openstreetmap.org/?mlat=13.979711&amp;mlon=107.986060#map=19/13.979711/107.986060" TargetMode="External" Id="rId177"/><Relationship Type="http://schemas.openxmlformats.org/officeDocument/2006/relationships/hyperlink" Target="https://www.openstreetmap.org/?mlat=13.980293&amp;mlon=107.994294#map=19/13.980293/107.994294" TargetMode="External" Id="rId178"/><Relationship Type="http://schemas.openxmlformats.org/officeDocument/2006/relationships/hyperlink" Target="https://www.openstreetmap.org/?mlat=13.972954&amp;mlon=107.996572#map=19/13.972954/107.996572" TargetMode="External" Id="rId179"/><Relationship Type="http://schemas.openxmlformats.org/officeDocument/2006/relationships/hyperlink" Target="https://www.openstreetmap.org/?mlat=13.979625&amp;mlon=107.995085#map=19/13.979625/107.995085" TargetMode="External" Id="rId180"/><Relationship Type="http://schemas.openxmlformats.org/officeDocument/2006/relationships/hyperlink" Target="https://www.openstreetmap.org/?mlat=13.976139&amp;mlon=107.990352#map=19/13.976139/107.990352" TargetMode="External" Id="rId181"/><Relationship Type="http://schemas.openxmlformats.org/officeDocument/2006/relationships/hyperlink" Target="https://www.openstreetmap.org/?mlat=13.967309&amp;mlon=107.992850#map=19/13.967309/107.992850" TargetMode="External" Id="rId182"/><Relationship Type="http://schemas.openxmlformats.org/officeDocument/2006/relationships/hyperlink" Target="https://www.openstreetmap.org/?mlat=13.961363&amp;mlon=107.984130#map=19/13.961363/107.984130" TargetMode="External" Id="rId183"/><Relationship Type="http://schemas.openxmlformats.org/officeDocument/2006/relationships/hyperlink" Target="https://www.openstreetmap.org/?mlat=13.974489&amp;mlon=108.000941#map=19/13.974489/108.000941" TargetMode="External" Id="rId184"/><Relationship Type="http://schemas.openxmlformats.org/officeDocument/2006/relationships/hyperlink" Target="https://www.openstreetmap.org/?mlat=13.976243&amp;mlon=107.999826#map=19/13.976243/107.999826" TargetMode="External" Id="rId185"/><Relationship Type="http://schemas.openxmlformats.org/officeDocument/2006/relationships/hyperlink" Target="https://www.openstreetmap.org/?mlat=13.965618&amp;mlon=107.991774#map=19/13.965618/107.991774" TargetMode="External" Id="rId186"/><Relationship Type="http://schemas.openxmlformats.org/officeDocument/2006/relationships/hyperlink" Target="https://www.openstreetmap.org/?mlat=13.972203&amp;mlon=107.999546#map=19/13.972203/107.999546" TargetMode="External" Id="rId187"/><Relationship Type="http://schemas.openxmlformats.org/officeDocument/2006/relationships/hyperlink" Target="https://www.openstreetmap.org/?mlat=13.968003&amp;mlon=107.993955#map=19/13.968003/107.993955" TargetMode="External" Id="rId188"/><Relationship Type="http://schemas.openxmlformats.org/officeDocument/2006/relationships/hyperlink" Target="https://www.openstreetmap.org/?mlat=13.964864&amp;mlon=107.991657#map=19/13.964864/107.991657" TargetMode="External" Id="rId189"/><Relationship Type="http://schemas.openxmlformats.org/officeDocument/2006/relationships/hyperlink" Target="https://www.openstreetmap.org/?mlat=13.964659&amp;mlon=107.991899#map=19/13.964659/107.991899" TargetMode="External" Id="rId190"/><Relationship Type="http://schemas.openxmlformats.org/officeDocument/2006/relationships/hyperlink" Target="https://www.openstreetmap.org/?mlat=13.964547&amp;mlon=107.991657#map=19/13.964547/107.991657" TargetMode="External" Id="rId191"/><Relationship Type="http://schemas.openxmlformats.org/officeDocument/2006/relationships/hyperlink" Target="https://www.openstreetmap.org/?mlat=13.978175&amp;mlon=107.987219#map=19/13.978175/107.987219" TargetMode="External" Id="rId192"/><Relationship Type="http://schemas.openxmlformats.org/officeDocument/2006/relationships/hyperlink" Target="https://www.openstreetmap.org/?mlat=13.979939&amp;mlon=107.987301#map=19/13.979939/107.987301" TargetMode="External" Id="rId193"/><Relationship Type="http://schemas.openxmlformats.org/officeDocument/2006/relationships/hyperlink" Target="https://www.openstreetmap.org/?mlat=13.977971&amp;mlon=107.993189#map=19/13.977971/107.993189" TargetMode="External" Id="rId194"/><Relationship Type="http://schemas.openxmlformats.org/officeDocument/2006/relationships/hyperlink" Target="https://www.openstreetmap.org/?mlat=13.976068&amp;mlon=107.988347#map=19/13.976068/107.988347" TargetMode="External" Id="rId195"/><Relationship Type="http://schemas.openxmlformats.org/officeDocument/2006/relationships/hyperlink" Target="https://www.openstreetmap.org/?mlat=13.976274&amp;mlon=107.988556#map=19/13.976274/107.988556" TargetMode="External" Id="rId196"/><Relationship Type="http://schemas.openxmlformats.org/officeDocument/2006/relationships/hyperlink" Target="https://www.openstreetmap.org/?mlat=13.976333&amp;mlon=107.988771#map=19/13.976333/107.988771" TargetMode="External" Id="rId197"/><Relationship Type="http://schemas.openxmlformats.org/officeDocument/2006/relationships/hyperlink" Target="https://www.openstreetmap.org/?mlat=13.968331&amp;mlon=107.994140#map=19/13.968331/107.994140" TargetMode="External" Id="rId198"/><Relationship Type="http://schemas.openxmlformats.org/officeDocument/2006/relationships/hyperlink" Target="https://www.openstreetmap.org/?mlat=13.979675&amp;mlon=107.994228#map=19/13.979675/107.994228" TargetMode="External" Id="rId199"/><Relationship Type="http://schemas.openxmlformats.org/officeDocument/2006/relationships/hyperlink" Target="https://www.openstreetmap.org/?mlat=13.968495&amp;mlon=107.987697#map=19/13.968495/107.987697" TargetMode="External" Id="rId200"/><Relationship Type="http://schemas.openxmlformats.org/officeDocument/2006/relationships/hyperlink" Target="https://www.openstreetmap.org/?mlat=13.965535&amp;mlon=107.994837#map=19/13.965535/107.994837" TargetMode="External" Id="rId201"/><Relationship Type="http://schemas.openxmlformats.org/officeDocument/2006/relationships/hyperlink" Target="https://www.openstreetmap.org/?mlat=13.962444&amp;mlon=107.983521#map=19/13.962444/107.983521" TargetMode="External" Id="rId202"/><Relationship Type="http://schemas.openxmlformats.org/officeDocument/2006/relationships/hyperlink" Target="https://www.openstreetmap.org/?mlat=13.977216&amp;mlon=107.993484#map=19/13.977216/107.993484" TargetMode="External" Id="rId203"/><Relationship Type="http://schemas.openxmlformats.org/officeDocument/2006/relationships/hyperlink" Target="https://www.openstreetmap.org/?mlat=13.963524&amp;mlon=107.991459#map=19/13.963524/107.991459" TargetMode="External" Id="rId204"/><Relationship Type="http://schemas.openxmlformats.org/officeDocument/2006/relationships/hyperlink" Target="https://www.openstreetmap.org/?mlat=13.967414&amp;mlon=108.000520#map=19/13.967414/108.000520" TargetMode="External" Id="rId205"/><Relationship Type="http://schemas.openxmlformats.org/officeDocument/2006/relationships/hyperlink" Target="https://www.openstreetmap.org/?mlat=13.980337&amp;mlon=107.989718#map=19/13.980337/107.989718" TargetMode="External" Id="rId206"/><Relationship Type="http://schemas.openxmlformats.org/officeDocument/2006/relationships/hyperlink" Target="https://www.openstreetmap.org/?mlat=13.970556&amp;mlon=107.988577#map=19/13.970556/107.988577" TargetMode="External" Id="rId207"/><Relationship Type="http://schemas.openxmlformats.org/officeDocument/2006/relationships/hyperlink" Target="https://www.openstreetmap.org/?mlat=13.976758&amp;mlon=107.998758#map=19/13.976758/107.998758" TargetMode="External" Id="rId208"/><Relationship Type="http://schemas.openxmlformats.org/officeDocument/2006/relationships/hyperlink" Target="https://www.openstreetmap.org/?mlat=13.966719&amp;mlon=107.996095#map=19/13.966719/107.996095" TargetMode="External" Id="rId209"/><Relationship Type="http://schemas.openxmlformats.org/officeDocument/2006/relationships/hyperlink" Target="https://www.openstreetmap.org/?mlat=13.980913&amp;mlon=107.995027#map=19/13.980913/107.995027" TargetMode="External" Id="rId210"/><Relationship Type="http://schemas.openxmlformats.org/officeDocument/2006/relationships/hyperlink" Target="https://www.openstreetmap.org/?mlat=13.979576&amp;mlon=107.984508#map=19/13.979576/107.984508" TargetMode="External" Id="rId211"/><Relationship Type="http://schemas.openxmlformats.org/officeDocument/2006/relationships/hyperlink" Target="https://www.openstreetmap.org/?mlat=13.968105&amp;mlon=107.993353#map=19/13.968105/107.993353" TargetMode="External" Id="rId212"/><Relationship Type="http://schemas.openxmlformats.org/officeDocument/2006/relationships/hyperlink" Target="https://www.openstreetmap.org/?mlat=13.978516&amp;mlon=107.983922#map=19/13.978516/107.983922" TargetMode="External" Id="rId213"/><Relationship Type="http://schemas.openxmlformats.org/officeDocument/2006/relationships/hyperlink" Target="https://www.openstreetmap.org/?mlat=13.965879&amp;mlon=107.991789#map=19/13.965879/107.991789" TargetMode="External" Id="rId214"/><Relationship Type="http://schemas.openxmlformats.org/officeDocument/2006/relationships/hyperlink" Target="https://www.openstreetmap.org/?mlat=13.972499&amp;mlon=108.000233#map=19/13.972499/108.000233" TargetMode="External" Id="rId215"/><Relationship Type="http://schemas.openxmlformats.org/officeDocument/2006/relationships/hyperlink" Target="https://www.openstreetmap.org/?mlat=13.970472&amp;mlon=107.988698#map=19/13.970472/107.988698" TargetMode="External" Id="rId216"/><Relationship Type="http://schemas.openxmlformats.org/officeDocument/2006/relationships/hyperlink" Target="https://www.openstreetmap.org/?mlat=13.976986&amp;mlon=107.993018#map=19/13.976986/107.993018" TargetMode="External" Id="rId217"/><Relationship Type="http://schemas.openxmlformats.org/officeDocument/2006/relationships/hyperlink" Target="https://www.openstreetmap.org/?mlat=13.964208&amp;mlon=107.991781#map=19/13.964208/107.991781" TargetMode="External" Id="rId218"/><Relationship Type="http://schemas.openxmlformats.org/officeDocument/2006/relationships/hyperlink" Target="https://www.openstreetmap.org/?mlat=13.965492&amp;mlon=107.992154#map=19/13.965492/107.992154" TargetMode="External" Id="rId219"/><Relationship Type="http://schemas.openxmlformats.org/officeDocument/2006/relationships/hyperlink" Target="https://www.openstreetmap.org/?mlat=13.968605&amp;mlon=107.992825#map=19/13.968605/107.992825" TargetMode="External" Id="rId220"/><Relationship Type="http://schemas.openxmlformats.org/officeDocument/2006/relationships/hyperlink" Target="https://www.openstreetmap.org/?mlat=13.965393&amp;mlon=107.992362#map=19/13.965393/107.992362" TargetMode="External" Id="rId221"/><Relationship Type="http://schemas.openxmlformats.org/officeDocument/2006/relationships/hyperlink" Target="https://www.openstreetmap.org/?mlat=13.979243&amp;mlon=107.989556#map=19/13.979243/107.989556" TargetMode="External" Id="rId222"/><Relationship Type="http://schemas.openxmlformats.org/officeDocument/2006/relationships/hyperlink" Target="https://www.openstreetmap.org/?mlat=13.967327&amp;mlon=107.993078#map=19/13.967327/107.993078" TargetMode="External" Id="rId223"/><Relationship Type="http://schemas.openxmlformats.org/officeDocument/2006/relationships/hyperlink" Target="https://www.openstreetmap.org/?mlat=13.973871&amp;mlon=108.000532#map=19/13.973871/108.000532" TargetMode="External" Id="rId224"/><Relationship Type="http://schemas.openxmlformats.org/officeDocument/2006/relationships/hyperlink" Target="https://www.openstreetmap.org/?mlat=13.966301&amp;mlon=107.993384#map=19/13.966301/107.993384" TargetMode="External" Id="rId225"/><Relationship Type="http://schemas.openxmlformats.org/officeDocument/2006/relationships/hyperlink" Target="https://www.openstreetmap.org/?mlat=13.980345&amp;mlon=107.991742#map=19/13.980345/107.991742" TargetMode="External" Id="rId226"/><Relationship Type="http://schemas.openxmlformats.org/officeDocument/2006/relationships/hyperlink" Target="https://www.openstreetmap.org/?mlat=13.980389&amp;mlon=107.991099#map=19/13.980389/107.991099" TargetMode="External" Id="rId227"/><Relationship Type="http://schemas.openxmlformats.org/officeDocument/2006/relationships/hyperlink" Target="https://www.openstreetmap.org/?mlat=13.977292&amp;mlon=107.993744#map=19/13.977292/107.993744" TargetMode="External" Id="rId228"/><Relationship Type="http://schemas.openxmlformats.org/officeDocument/2006/relationships/hyperlink" Target="https://www.openstreetmap.org/?mlat=13.965501&amp;mlon=107.995437#map=19/13.965501/107.995437" TargetMode="External" Id="rId229"/><Relationship Type="http://schemas.openxmlformats.org/officeDocument/2006/relationships/hyperlink" Target="https://www.openstreetmap.org/?mlat=13.982450&amp;mlon=107.995094#map=19/13.982450/107.995094" TargetMode="External" Id="rId230"/><Relationship Type="http://schemas.openxmlformats.org/officeDocument/2006/relationships/hyperlink" Target="https://www.openstreetmap.org/?mlat=13.975562&amp;mlon=107.995032#map=19/13.975562/107.995032" TargetMode="External" Id="rId231"/><Relationship Type="http://schemas.openxmlformats.org/officeDocument/2006/relationships/hyperlink" Target="https://www.openstreetmap.org/?mlat=13.974814&amp;mlon=107.994906#map=19/13.974814/107.994906" TargetMode="External" Id="rId232"/><Relationship Type="http://schemas.openxmlformats.org/officeDocument/2006/relationships/hyperlink" Target="https://www.openstreetmap.org/?mlat=13.976356&amp;mlon=107.998638#map=19/13.976356/107.998638" TargetMode="External" Id="rId233"/><Relationship Type="http://schemas.openxmlformats.org/officeDocument/2006/relationships/hyperlink" Target="https://www.openstreetmap.org/?mlat=13.976356&amp;mlon=107.998638#map=19/13.976356/107.998638" TargetMode="External" Id="rId234"/><Relationship Type="http://schemas.openxmlformats.org/officeDocument/2006/relationships/hyperlink" Target="https://www.openstreetmap.org/?mlat=13.976805&amp;mlon=107.998837#map=19/13.976805/107.998837" TargetMode="External" Id="rId235"/><Relationship Type="http://schemas.openxmlformats.org/officeDocument/2006/relationships/hyperlink" Target="https://www.openstreetmap.org/?mlat=13.978832&amp;mlon=107.994955#map=19/13.978832/107.994955" TargetMode="External" Id="rId236"/><Relationship Type="http://schemas.openxmlformats.org/officeDocument/2006/relationships/hyperlink" Target="https://www.openstreetmap.org/?mlat=13.979400&amp;mlon=107.994825#map=19/13.979400/107.994825" TargetMode="External" Id="rId237"/><Relationship Type="http://schemas.openxmlformats.org/officeDocument/2006/relationships/hyperlink" Target="https://www.openstreetmap.org/?mlat=13.980032&amp;mlon=107.994937#map=19/13.980032/107.994937" TargetMode="External" Id="rId238"/><Relationship Type="http://schemas.openxmlformats.org/officeDocument/2006/relationships/hyperlink" Target="https://www.openstreetmap.org/?mlat=13.981226&amp;mlon=107.994525#map=19/13.981226/107.994525" TargetMode="External" Id="rId239"/><Relationship Type="http://schemas.openxmlformats.org/officeDocument/2006/relationships/hyperlink" Target="https://www.openstreetmap.org/?mlat=13.977040&amp;mlon=107.997124#map=19/13.977040/107.997124" TargetMode="External" Id="rId240"/><Relationship Type="http://schemas.openxmlformats.org/officeDocument/2006/relationships/hyperlink" Target="https://www.openstreetmap.org/?mlat=13.969121&amp;mlon=107.995910#map=19/13.969121/107.995910" TargetMode="External" Id="rId241"/><Relationship Type="http://schemas.openxmlformats.org/officeDocument/2006/relationships/hyperlink" Target="https://www.openstreetmap.org/?mlat=13.970243&amp;mlon=107.997120#map=19/13.970243/107.997120" TargetMode="External" Id="rId242"/><Relationship Type="http://schemas.openxmlformats.org/officeDocument/2006/relationships/hyperlink" Target="https://www.openstreetmap.org/?mlat=13.973744&amp;mlon=108.000939#map=19/13.973744/108.000939" TargetMode="External" Id="rId243"/><Relationship Type="http://schemas.openxmlformats.org/officeDocument/2006/relationships/hyperlink" Target="https://www.openstreetmap.org/?mlat=13.973679&amp;mlon=108.001288#map=19/13.973679/108.001288" TargetMode="External" Id="rId244"/><Relationship Type="http://schemas.openxmlformats.org/officeDocument/2006/relationships/hyperlink" Target="https://www.openstreetmap.org/?mlat=13.974476&amp;mlon=108.002911#map=19/13.974476/108.002911" TargetMode="External" Id="rId245"/><Relationship Type="http://schemas.openxmlformats.org/officeDocument/2006/relationships/hyperlink" Target="https://www.openstreetmap.org/?mlat=13.979615&amp;mlon=107.995342#map=19/13.979615/107.995342" TargetMode="External" Id="rId246"/><Relationship Type="http://schemas.openxmlformats.org/officeDocument/2006/relationships/hyperlink" Target="https://www.openstreetmap.org/?mlat=13.979417&amp;mlon=107.994257#map=19/13.979417/107.994257" TargetMode="External" Id="rId247"/><Relationship Type="http://schemas.openxmlformats.org/officeDocument/2006/relationships/hyperlink" Target="https://www.openstreetmap.org/?mlat=13.979162&amp;mlon=107.992778#map=19/13.979162/107.992778" TargetMode="External" Id="rId248"/><Relationship Type="http://schemas.openxmlformats.org/officeDocument/2006/relationships/hyperlink" Target="https://www.openstreetmap.org/?mlat=13.979776&amp;mlon=107.994158#map=19/13.979776/107.994158" TargetMode="External" Id="rId249"/><Relationship Type="http://schemas.openxmlformats.org/officeDocument/2006/relationships/hyperlink" Target="https://www.openstreetmap.org/?mlat=13.979632&amp;mlon=107.993241#map=19/13.979632/107.993241" TargetMode="External" Id="rId250"/><Relationship Type="http://schemas.openxmlformats.org/officeDocument/2006/relationships/hyperlink" Target="https://www.openstreetmap.org/?mlat=13.973495&amp;mlon=107.998527#map=19/13.973495/107.998527" TargetMode="External" Id="rId251"/><Relationship Type="http://schemas.openxmlformats.org/officeDocument/2006/relationships/hyperlink" Target="https://www.openstreetmap.org/?mlat=13.978418&amp;mlon=107.997772#map=19/13.978418/107.997772" TargetMode="External" Id="rId252"/><Relationship Type="http://schemas.openxmlformats.org/officeDocument/2006/relationships/hyperlink" Target="https://www.openstreetmap.org/?mlat=13.974009&amp;mlon=107.998300#map=19/13.974009/107.998300" TargetMode="External" Id="rId253"/><Relationship Type="http://schemas.openxmlformats.org/officeDocument/2006/relationships/hyperlink" Target="https://www.openstreetmap.org/?mlat=13.975937&amp;mlon=107.997967#map=19/13.975937/107.997967" TargetMode="External" Id="rId254"/><Relationship Type="http://schemas.openxmlformats.org/officeDocument/2006/relationships/hyperlink" Target="https://www.openstreetmap.org/?mlat=13.979349&amp;mlon=107.997123#map=19/13.979349/107.997123" TargetMode="External" Id="rId255"/><Relationship Type="http://schemas.openxmlformats.org/officeDocument/2006/relationships/hyperlink" Target="https://www.openstreetmap.org/?mlat=13.974088&amp;mlon=107.998276#map=19/13.974088/107.998276" TargetMode="External" Id="rId256"/><Relationship Type="http://schemas.openxmlformats.org/officeDocument/2006/relationships/hyperlink" Target="https://www.openstreetmap.org/?mlat=13.974682&amp;mlon=107.995392#map=19/13.974682/107.995392" TargetMode="External" Id="rId257"/><Relationship Type="http://schemas.openxmlformats.org/officeDocument/2006/relationships/hyperlink" Target="https://www.openstreetmap.org/?mlat=13.982435&amp;mlon=107.992768#map=19/13.982435/107.992768" TargetMode="External" Id="rId258"/><Relationship Type="http://schemas.openxmlformats.org/officeDocument/2006/relationships/hyperlink" Target="https://www.openstreetmap.org/?mlat=13.977534&amp;mlon=107.992909#map=19/13.977534/107.992909" TargetMode="External" Id="rId259"/><Relationship Type="http://schemas.openxmlformats.org/officeDocument/2006/relationships/hyperlink" Target="https://www.openstreetmap.org/?mlat=13.976291&amp;mlon=107.997016#map=19/13.976291/107.997016" TargetMode="External" Id="rId260"/><Relationship Type="http://schemas.openxmlformats.org/officeDocument/2006/relationships/hyperlink" Target="https://www.openstreetmap.org/?mlat=13.975591&amp;mlon=107.993363#map=19/13.975591/107.993363" TargetMode="External" Id="rId261"/><Relationship Type="http://schemas.openxmlformats.org/officeDocument/2006/relationships/hyperlink" Target="https://www.openstreetmap.org/?mlat=13.969607&amp;mlon=108.001099#map=19/13.969607/108.001099" TargetMode="External" Id="rId262"/><Relationship Type="http://schemas.openxmlformats.org/officeDocument/2006/relationships/hyperlink" Target="https://www.openstreetmap.org/?mlat=13.969758&amp;mlon=107.999588#map=19/13.969758/107.999588" TargetMode="External" Id="rId263"/><Relationship Type="http://schemas.openxmlformats.org/officeDocument/2006/relationships/hyperlink" Target="https://www.openstreetmap.org/?mlat=13.970465&amp;mlon=107.996033#map=19/13.970465/107.996033" TargetMode="External" Id="rId264"/><Relationship Type="http://schemas.openxmlformats.org/officeDocument/2006/relationships/hyperlink" Target="https://www.openstreetmap.org/?mlat=13.951242&amp;mlon=107.996172#map=19/13.951242/107.996172" TargetMode="External" Id="rId265"/><Relationship Type="http://schemas.openxmlformats.org/officeDocument/2006/relationships/hyperlink" Target="https://www.openstreetmap.org/?mlat=13.981148&amp;mlon=107.992165#map=19/13.981148/107.992165" TargetMode="External" Id="rId266"/><Relationship Type="http://schemas.openxmlformats.org/officeDocument/2006/relationships/hyperlink" Target="https://www.openstreetmap.org/?mlat=13.986977&amp;mlon=107.992704#map=19/13.986977/107.992704" TargetMode="External" Id="rId267"/><Relationship Type="http://schemas.openxmlformats.org/officeDocument/2006/relationships/hyperlink" Target="https://www.openstreetmap.org/?mlat=13.970121&amp;mlon=107.996553#map=19/13.970121/107.996553" TargetMode="External" Id="rId268"/><Relationship Type="http://schemas.openxmlformats.org/officeDocument/2006/relationships/hyperlink" Target="https://www.openstreetmap.org/?mlat=13.970395&amp;mlon=107.997304#map=19/13.970395/107.997304" TargetMode="External" Id="rId269"/><Relationship Type="http://schemas.openxmlformats.org/officeDocument/2006/relationships/hyperlink" Target="https://www.openstreetmap.org/?mlat=13.970473&amp;mlon=107.997540#map=19/13.970473/107.997540" TargetMode="External" Id="rId270"/><Relationship Type="http://schemas.openxmlformats.org/officeDocument/2006/relationships/hyperlink" Target="https://www.openstreetmap.org/?mlat=13.967330&amp;mlon=108.000539#map=19/13.967330/108.000539" TargetMode="External" Id="rId271"/><Relationship Type="http://schemas.openxmlformats.org/officeDocument/2006/relationships/hyperlink" Target="https://www.openstreetmap.org/?mlat=13.965680&amp;mlon=107.996996#map=19/13.965680/107.996996" TargetMode="External" Id="rId272"/><Relationship Type="http://schemas.openxmlformats.org/officeDocument/2006/relationships/hyperlink" Target="https://www.openstreetmap.org/?mlat=13.984157&amp;mlon=107.993532#map=19/13.984157/107.993532" TargetMode="External" Id="rId273"/><Relationship Type="http://schemas.openxmlformats.org/officeDocument/2006/relationships/hyperlink" Target="https://www.openstreetmap.org/?mlat=13.978779&amp;mlon=107.997548#map=19/13.978779/107.997548" TargetMode="External" Id="rId274"/><Relationship Type="http://schemas.openxmlformats.org/officeDocument/2006/relationships/hyperlink" Target="https://www.openstreetmap.org/?mlat=13.979504&amp;mlon=107.998594#map=19/13.979504/107.998594" TargetMode="External" Id="rId275"/><Relationship Type="http://schemas.openxmlformats.org/officeDocument/2006/relationships/hyperlink" Target="https://www.openstreetmap.org/?mlat=13.981329&amp;mlon=107.993857#map=19/13.981329/107.993857" TargetMode="External" Id="rId276"/><Relationship Type="http://schemas.openxmlformats.org/officeDocument/2006/relationships/hyperlink" Target="https://www.openstreetmap.org/?mlat=13.977967&amp;mlon=107.994558#map=19/13.977967/107.994558" TargetMode="External" Id="rId277"/><Relationship Type="http://schemas.openxmlformats.org/officeDocument/2006/relationships/hyperlink" Target="https://www.openstreetmap.org/?mlat=13.977745&amp;mlon=107.994543#map=19/13.977745/107.994543" TargetMode="External" Id="rId278"/><Relationship Type="http://schemas.openxmlformats.org/officeDocument/2006/relationships/hyperlink" Target="https://www.openstreetmap.org/?mlat=13.981000&amp;mlon=107.993510#map=19/13.981000/107.993510" TargetMode="External" Id="rId279"/><Relationship Type="http://schemas.openxmlformats.org/officeDocument/2006/relationships/hyperlink" Target="https://www.openstreetmap.org/?mlat=13.980647&amp;mlon=107.991672#map=19/13.980647/107.991672" TargetMode="External" Id="rId280"/><Relationship Type="http://schemas.openxmlformats.org/officeDocument/2006/relationships/hyperlink" Target="https://www.openstreetmap.org/?mlat=13.980918&amp;mlon=107.995049#map=19/13.980918/107.995049" TargetMode="External" Id="rId281"/><Relationship Type="http://schemas.openxmlformats.org/officeDocument/2006/relationships/hyperlink" Target="https://www.openstreetmap.org/?mlat=13.980804&amp;mlon=107.994167#map=19/13.980804/107.994167" TargetMode="External" Id="rId282"/><Relationship Type="http://schemas.openxmlformats.org/officeDocument/2006/relationships/hyperlink" Target="https://www.openstreetmap.org/?mlat=13.971936&amp;mlon=107.998433#map=19/13.971936/107.998433" TargetMode="External" Id="rId283"/><Relationship Type="http://schemas.openxmlformats.org/officeDocument/2006/relationships/hyperlink" Target="https://www.openstreetmap.org/?mlat=13.972064&amp;mlon=107.999181#map=19/13.972064/107.999181" TargetMode="External" Id="rId284"/><Relationship Type="http://schemas.openxmlformats.org/officeDocument/2006/relationships/hyperlink" Target="https://www.openstreetmap.org/?mlat=13.969810&amp;mlon=107.999258#map=19/13.969810/107.999258" TargetMode="External" Id="rId285"/><Relationship Type="http://schemas.openxmlformats.org/officeDocument/2006/relationships/hyperlink" Target="https://www.openstreetmap.org/?mlat=13.972500&amp;mlon=108.000460#map=19/13.972500/108.000460" TargetMode="External" Id="rId286"/><Relationship Type="http://schemas.openxmlformats.org/officeDocument/2006/relationships/hyperlink" Target="https://www.openstreetmap.org/?mlat=13.972578&amp;mlon=108.000743#map=19/13.972578/108.000743" TargetMode="External" Id="rId287"/><Relationship Type="http://schemas.openxmlformats.org/officeDocument/2006/relationships/hyperlink" Target="https://www.openstreetmap.org/?mlat=13.972679&amp;mlon=108.001142#map=19/13.972679/108.001142" TargetMode="External" Id="rId288"/><Relationship Type="http://schemas.openxmlformats.org/officeDocument/2006/relationships/hyperlink" Target="https://www.openstreetmap.org/?mlat=13.972912&amp;mlon=108.001657#map=19/13.972912/108.001657" TargetMode="External" Id="rId289"/><Relationship Type="http://schemas.openxmlformats.org/officeDocument/2006/relationships/hyperlink" Target="https://www.openstreetmap.org/?mlat=13.972839&amp;mlon=108.002017#map=19/13.972839/108.002017" TargetMode="External" Id="rId290"/><Relationship Type="http://schemas.openxmlformats.org/officeDocument/2006/relationships/hyperlink" Target="https://www.openstreetmap.org/?mlat=13.972961&amp;mlon=108.002448#map=19/13.972961/108.002448" TargetMode="External" Id="rId291"/><Relationship Type="http://schemas.openxmlformats.org/officeDocument/2006/relationships/hyperlink" Target="https://www.openstreetmap.org/?mlat=13.971629&amp;mlon=107.995186#map=19/13.971629/107.995186" TargetMode="External" Id="rId292"/><Relationship Type="http://schemas.openxmlformats.org/officeDocument/2006/relationships/hyperlink" Target="https://www.openstreetmap.org/?mlat=13.980625&amp;mlon=107.996880#map=19/13.980625/107.996880" TargetMode="External" Id="rId293"/><Relationship Type="http://schemas.openxmlformats.org/officeDocument/2006/relationships/hyperlink" Target="https://www.openstreetmap.org/?mlat=13.980594&amp;mlon=107.995071#map=19/13.980594/107.995071" TargetMode="External" Id="rId294"/><Relationship Type="http://schemas.openxmlformats.org/officeDocument/2006/relationships/hyperlink" Target="https://www.openstreetmap.org/?mlat=13.980456&amp;mlon=107.994362#map=19/13.980456/107.994362" TargetMode="External" Id="rId295"/><Relationship Type="http://schemas.openxmlformats.org/officeDocument/2006/relationships/hyperlink" Target="https://www.openstreetmap.org/?mlat=13.980252&amp;mlon=107.994375#map=19/13.980252/107.994375" TargetMode="External" Id="rId296"/><Relationship Type="http://schemas.openxmlformats.org/officeDocument/2006/relationships/hyperlink" Target="https://www.openstreetmap.org/?mlat=13.980210&amp;mlon=107.994326#map=19/13.980210/107.994326" TargetMode="External" Id="rId297"/><Relationship Type="http://schemas.openxmlformats.org/officeDocument/2006/relationships/hyperlink" Target="https://www.openstreetmap.org/?mlat=13.979898&amp;mlon=107.992884#map=19/13.979898/107.992884" TargetMode="External" Id="rId298"/><Relationship Type="http://schemas.openxmlformats.org/officeDocument/2006/relationships/hyperlink" Target="https://www.openstreetmap.org/?mlat=13.979894&amp;mlon=107.992470#map=19/13.979894/107.992470" TargetMode="External" Id="rId299"/><Relationship Type="http://schemas.openxmlformats.org/officeDocument/2006/relationships/hyperlink" Target="https://www.openstreetmap.org/?mlat=13.975441&amp;mlon=108.000217#map=19/13.975441/108.000217" TargetMode="External" Id="rId300"/><Relationship Type="http://schemas.openxmlformats.org/officeDocument/2006/relationships/hyperlink" Target="https://www.openstreetmap.org/?mlat=13.975336&amp;mlon=107.999983#map=19/13.975336/107.999983" TargetMode="External" Id="rId301"/><Relationship Type="http://schemas.openxmlformats.org/officeDocument/2006/relationships/hyperlink" Target="https://www.openstreetmap.org/?mlat=13.973163&amp;mlon=107.999392#map=19/13.973163/107.999392" TargetMode="External" Id="rId302"/><Relationship Type="http://schemas.openxmlformats.org/officeDocument/2006/relationships/hyperlink" Target="https://www.openstreetmap.org/?mlat=13.972049&amp;mlon=107.999469#map=19/13.972049/107.999469" TargetMode="External" Id="rId303"/><Relationship Type="http://schemas.openxmlformats.org/officeDocument/2006/relationships/hyperlink" Target="https://www.openstreetmap.org/?mlat=13.970034&amp;mlon=107.999158#map=19/13.970034/107.999158" TargetMode="External" Id="rId304"/><Relationship Type="http://schemas.openxmlformats.org/officeDocument/2006/relationships/hyperlink" Target="https://www.openstreetmap.org/?mlat=13.977564&amp;mlon=107.996564#map=19/13.977564/107.996564" TargetMode="External" Id="rId305"/><Relationship Type="http://schemas.openxmlformats.org/officeDocument/2006/relationships/hyperlink" Target="https://www.openstreetmap.org/?mlat=13.977123&amp;mlon=107.994395#map=19/13.977123/107.994395" TargetMode="External" Id="rId306"/><Relationship Type="http://schemas.openxmlformats.org/officeDocument/2006/relationships/hyperlink" Target="https://www.openstreetmap.org/?mlat=13.977211&amp;mlon=107.992980#map=19/13.977211/107.992980" TargetMode="External" Id="rId307"/><Relationship Type="http://schemas.openxmlformats.org/officeDocument/2006/relationships/hyperlink" Target="https://www.openstreetmap.org/?mlat=13.977022&amp;mlon=107.993736#map=19/13.977022/107.993736" TargetMode="External" Id="rId308"/><Relationship Type="http://schemas.openxmlformats.org/officeDocument/2006/relationships/hyperlink" Target="https://www.openstreetmap.org/?mlat=13.976009&amp;mlon=107.986086#map=19/13.976009/107.986086" TargetMode="External" Id="rId309"/><Relationship Type="http://schemas.openxmlformats.org/officeDocument/2006/relationships/hyperlink" Target="https://www.openstreetmap.org/?mlat=13.978335&amp;mlon=107.991024#map=19/13.978335/107.991024" TargetMode="External" Id="rId310"/><Relationship Type="http://schemas.openxmlformats.org/officeDocument/2006/relationships/hyperlink" Target="https://www.openstreetmap.org/?mlat=13.975269&amp;mlon=107.997044#map=19/13.975269/107.997044" TargetMode="External" Id="rId311"/><Relationship Type="http://schemas.openxmlformats.org/officeDocument/2006/relationships/hyperlink" Target="https://www.openstreetmap.org/?mlat=13.973633&amp;mlon=107.997360#map=19/13.973633/107.997360" TargetMode="External" Id="rId312"/><Relationship Type="http://schemas.openxmlformats.org/officeDocument/2006/relationships/hyperlink" Target="https://www.openstreetmap.org/?mlat=13.968532&amp;mlon=107.999162#map=19/13.968532/107.999162" TargetMode="External" Id="rId313"/><Relationship Type="http://schemas.openxmlformats.org/officeDocument/2006/relationships/hyperlink" Target="https://www.openstreetmap.org/?mlat=13.973369&amp;mlon=107.998129#map=19/13.973369/107.998129" TargetMode="External" Id="rId314"/><Relationship Type="http://schemas.openxmlformats.org/officeDocument/2006/relationships/hyperlink" Target="https://www.openstreetmap.org/?mlat=13.974180&amp;mlon=108.001577#map=19/13.974180/108.001577" TargetMode="External" Id="rId315"/><Relationship Type="http://schemas.openxmlformats.org/officeDocument/2006/relationships/hyperlink" Target="https://www.openstreetmap.org/?mlat=13.973928&amp;mlon=107.999801#map=19/13.973928/107.999801" TargetMode="External" Id="rId316"/><Relationship Type="http://schemas.openxmlformats.org/officeDocument/2006/relationships/hyperlink" Target="https://www.openstreetmap.org/?mlat=13.974216&amp;mlon=108.000795#map=19/13.974216/108.000795" TargetMode="External" Id="rId317"/><Relationship Type="http://schemas.openxmlformats.org/officeDocument/2006/relationships/hyperlink" Target="https://www.openstreetmap.org/?mlat=13.974160&amp;mlon=108.001110#map=19/13.974160/108.001110" TargetMode="External" Id="rId318"/><Relationship Type="http://schemas.openxmlformats.org/officeDocument/2006/relationships/hyperlink" Target="https://www.openstreetmap.org/?mlat=13.974583&amp;mlon=108.002166#map=19/13.974583/108.002166" TargetMode="External" Id="rId319"/><Relationship Type="http://schemas.openxmlformats.org/officeDocument/2006/relationships/hyperlink" Target="https://www.openstreetmap.org/?mlat=13.969869&amp;mlon=107.999404#map=19/13.969869/107.999404" TargetMode="External" Id="rId320"/><Relationship Type="http://schemas.openxmlformats.org/officeDocument/2006/relationships/hyperlink" Target="https://www.openstreetmap.org/?mlat=13.975266&amp;mlon=107.988338#map=19/13.975266/107.988338" TargetMode="External" Id="rId321"/><Relationship Type="http://schemas.openxmlformats.org/officeDocument/2006/relationships/hyperlink" Target="https://www.openstreetmap.org/?mlat=13.978870&amp;mlon=107.998003#map=19/13.978870/107.998003" TargetMode="External" Id="rId322"/><Relationship Type="http://schemas.openxmlformats.org/officeDocument/2006/relationships/hyperlink" Target="https://www.openstreetmap.org/?mlat=13.981597&amp;mlon=107.994503#map=19/13.981597/107.994503" TargetMode="External" Id="rId323"/><Relationship Type="http://schemas.openxmlformats.org/officeDocument/2006/relationships/hyperlink" Target="https://www.openstreetmap.org/?mlat=13.981389&amp;mlon=107.993486#map=19/13.981389/107.993486" TargetMode="External" Id="rId324"/><Relationship Type="http://schemas.openxmlformats.org/officeDocument/2006/relationships/hyperlink" Target="https://www.openstreetmap.org/?mlat=13.981577&amp;mlon=107.993122#map=19/13.981577/107.993122" TargetMode="External" Id="rId325"/><Relationship Type="http://schemas.openxmlformats.org/officeDocument/2006/relationships/hyperlink" Target="https://www.openstreetmap.org/?mlat=14.000821&amp;mlon=107.997240#map=19/14.000821/107.997240" TargetMode="External" Id="rId326"/><Relationship Type="http://schemas.openxmlformats.org/officeDocument/2006/relationships/hyperlink" Target="https://www.openstreetmap.org/?mlat=14.016984&amp;mlon=107.991822#map=19/14.016984/107.991822" TargetMode="External" Id="rId327"/><Relationship Type="http://schemas.openxmlformats.org/officeDocument/2006/relationships/hyperlink" Target="https://www.openstreetmap.org/?mlat=14.016851&amp;mlon=107.991837#map=19/14.016851/107.991837" TargetMode="External" Id="rId328"/><Relationship Type="http://schemas.openxmlformats.org/officeDocument/2006/relationships/hyperlink" Target="https://www.openstreetmap.org/?mlat=14.011488&amp;mlon=107.993044#map=19/14.011488/107.993044" TargetMode="External" Id="rId329"/><Relationship Type="http://schemas.openxmlformats.org/officeDocument/2006/relationships/hyperlink" Target="https://www.openstreetmap.org/?mlat=14.036190&amp;mlon=107.991540#map=19/14.036190/107.991540" TargetMode="External" Id="rId330"/><Relationship Type="http://schemas.openxmlformats.org/officeDocument/2006/relationships/hyperlink" Target="https://www.openstreetmap.org/?mlat=14.006745&amp;mlon=107.985511#map=19/14.006745/107.985511" TargetMode="External" Id="rId331"/><Relationship Type="http://schemas.openxmlformats.org/officeDocument/2006/relationships/hyperlink" Target="https://www.openstreetmap.org/?mlat=13.999316&amp;mlon=107.986960#map=19/13.999316/107.986960" TargetMode="External" Id="rId332"/><Relationship Type="http://schemas.openxmlformats.org/officeDocument/2006/relationships/hyperlink" Target="https://www.openstreetmap.org/?mlat=14.015618&amp;mlon=107.987849#map=19/14.015618/107.987849" TargetMode="External" Id="rId333"/><Relationship Type="http://schemas.openxmlformats.org/officeDocument/2006/relationships/hyperlink" Target="https://www.openstreetmap.org/?mlat=14.012406&amp;mlon=107.989067#map=19/14.012406/107.989067" TargetMode="External" Id="rId334"/><Relationship Type="http://schemas.openxmlformats.org/officeDocument/2006/relationships/hyperlink" Target="https://www.openstreetmap.org/?mlat=14.025252&amp;mlon=107.990959#map=19/14.025252/107.990959" TargetMode="External" Id="rId335"/><Relationship Type="http://schemas.openxmlformats.org/officeDocument/2006/relationships/hyperlink" Target="https://www.openstreetmap.org/?mlat=13.996235&amp;mlon=107.998141#map=19/13.996235/107.998141" TargetMode="External" Id="rId336"/><Relationship Type="http://schemas.openxmlformats.org/officeDocument/2006/relationships/hyperlink" Target="https://www.openstreetmap.org/?mlat=13.997023&amp;mlon=107.998083#map=19/13.997023/107.998083" TargetMode="External" Id="rId337"/><Relationship Type="http://schemas.openxmlformats.org/officeDocument/2006/relationships/hyperlink" Target="https://www.openstreetmap.org/?mlat=13.997547&amp;mlon=107.996669#map=19/13.997547/107.996669" TargetMode="External" Id="rId338"/><Relationship Type="http://schemas.openxmlformats.org/officeDocument/2006/relationships/hyperlink" Target="https://www.openstreetmap.org/?mlat=14.000165&amp;mlon=107.995926#map=19/14.000165/107.995926" TargetMode="External" Id="rId339"/><Relationship Type="http://schemas.openxmlformats.org/officeDocument/2006/relationships/hyperlink" Target="https://www.openstreetmap.org/?mlat=13.997496&amp;mlon=107.996719#map=19/13.997496/107.996719" TargetMode="External" Id="rId340"/><Relationship Type="http://schemas.openxmlformats.org/officeDocument/2006/relationships/hyperlink" Target="https://www.openstreetmap.org/?mlat=14.005002&amp;mlon=107.994436#map=19/14.005002/107.994436" TargetMode="External" Id="rId341"/><Relationship Type="http://schemas.openxmlformats.org/officeDocument/2006/relationships/hyperlink" Target="https://www.openstreetmap.org/?mlat=14.011474&amp;mlon=107.993397#map=19/14.011474/107.993397" TargetMode="External" Id="rId342"/><Relationship Type="http://schemas.openxmlformats.org/officeDocument/2006/relationships/hyperlink" Target="https://www.openstreetmap.org/?mlat=14.030629&amp;mlon=107.983167#map=19/14.030629/107.983167" TargetMode="External" Id="rId343"/><Relationship Type="http://schemas.openxmlformats.org/officeDocument/2006/relationships/hyperlink" Target="https://www.openstreetmap.org/?mlat=13.973887&amp;mlon=108.008597#map=19/13.973887/108.008597" TargetMode="External" Id="rId344"/><Relationship Type="http://schemas.openxmlformats.org/officeDocument/2006/relationships/hyperlink" Target="https://www.openstreetmap.org/?mlat=13.960875&amp;mlon=107.996341#map=19/13.960875/107.996341" TargetMode="External" Id="rId345"/><Relationship Type="http://schemas.openxmlformats.org/officeDocument/2006/relationships/hyperlink" Target="https://www.openstreetmap.org/?mlat=13.962279&amp;mlon=108.000652#map=19/13.962279/108.000652" TargetMode="External" Id="rId346"/><Relationship Type="http://schemas.openxmlformats.org/officeDocument/2006/relationships/hyperlink" Target="https://www.openstreetmap.org/?mlat=13.961610&amp;mlon=107.991625#map=19/13.961610/107.991625" TargetMode="External" Id="rId347"/><Relationship Type="http://schemas.openxmlformats.org/officeDocument/2006/relationships/hyperlink" Target="https://www.openstreetmap.org/?mlat=13.965909&amp;mlon=108.009256#map=19/13.965909/108.009256" TargetMode="External" Id="rId348"/><Relationship Type="http://schemas.openxmlformats.org/officeDocument/2006/relationships/hyperlink" Target="https://www.openstreetmap.org/?mlat=13.970561&amp;mlon=108.025521#map=19/13.970561/108.025521" TargetMode="External" Id="rId349"/><Relationship Type="http://schemas.openxmlformats.org/officeDocument/2006/relationships/hyperlink" Target="https://www.openstreetmap.org/?mlat=13.970632&amp;mlon=108.025991#map=19/13.970632/108.025991" TargetMode="External" Id="rId350"/><Relationship Type="http://schemas.openxmlformats.org/officeDocument/2006/relationships/hyperlink" Target="https://www.openstreetmap.org/?mlat=13.968466&amp;mlon=108.027638#map=19/13.968466/108.027638" TargetMode="External" Id="rId351"/><Relationship Type="http://schemas.openxmlformats.org/officeDocument/2006/relationships/hyperlink" Target="https://www.openstreetmap.org/?mlat=13.968071&amp;mlon=108.025972#map=19/13.968071/108.025972" TargetMode="External" Id="rId352"/><Relationship Type="http://schemas.openxmlformats.org/officeDocument/2006/relationships/hyperlink" Target="https://www.openstreetmap.org/?mlat=13.970799&amp;mlon=108.025849#map=19/13.970799/108.025849" TargetMode="External" Id="rId353"/><Relationship Type="http://schemas.openxmlformats.org/officeDocument/2006/relationships/hyperlink" Target="https://www.openstreetmap.org/?mlat=13.961486&amp;mlon=107.991716#map=19/13.961486/107.991716" TargetMode="External" Id="rId354"/><Relationship Type="http://schemas.openxmlformats.org/officeDocument/2006/relationships/hyperlink" Target="https://www.openstreetmap.org/?mlat=13.954846&amp;mlon=107.995531#map=19/13.954846/107.995531" TargetMode="External" Id="rId355"/><Relationship Type="http://schemas.openxmlformats.org/officeDocument/2006/relationships/hyperlink" Target="https://www.openstreetmap.org/?mlat=13.963371&amp;mlon=108.020831#map=19/13.963371/108.020831" TargetMode="External" Id="rId356"/><Relationship Type="http://schemas.openxmlformats.org/officeDocument/2006/relationships/hyperlink" Target="https://www.openstreetmap.org/?mlat=13.972574&amp;mlon=108.007699#map=19/13.972574/108.007699" TargetMode="External" Id="rId357"/><Relationship Type="http://schemas.openxmlformats.org/officeDocument/2006/relationships/hyperlink" Target="https://www.openstreetmap.org/?mlat=13.969510&amp;mlon=108.006313#map=19/13.969510/108.006313" TargetMode="External" Id="rId358"/><Relationship Type="http://schemas.openxmlformats.org/officeDocument/2006/relationships/hyperlink" Target="https://www.openstreetmap.org/?mlat=13.966879&amp;mlon=108.006590#map=19/13.966879/108.006590" TargetMode="External" Id="rId359"/><Relationship Type="http://schemas.openxmlformats.org/officeDocument/2006/relationships/hyperlink" Target="https://www.openstreetmap.org/?mlat=13.966346&amp;mlon=108.006653#map=19/13.966346/108.006653" TargetMode="External" Id="rId360"/><Relationship Type="http://schemas.openxmlformats.org/officeDocument/2006/relationships/hyperlink" Target="https://www.openstreetmap.org/?mlat=13.970094&amp;mlon=108.006969#map=19/13.970094/108.006969" TargetMode="External" Id="rId361"/><Relationship Type="http://schemas.openxmlformats.org/officeDocument/2006/relationships/hyperlink" Target="https://www.openstreetmap.org/?mlat=13.957563&amp;mlon=107.995517#map=19/13.957563/107.995517" TargetMode="External" Id="rId362"/><Relationship Type="http://schemas.openxmlformats.org/officeDocument/2006/relationships/hyperlink" Target="https://www.openstreetmap.org/?mlat=13.957691&amp;mlon=108.005490#map=19/13.957691/108.005490" TargetMode="External" Id="rId363"/><Relationship Type="http://schemas.openxmlformats.org/officeDocument/2006/relationships/hyperlink" Target="https://www.openstreetmap.org/?mlat=13.954041&amp;mlon=108.014269#map=19/13.954041/108.014269" TargetMode="External" Id="rId364"/><Relationship Type="http://schemas.openxmlformats.org/officeDocument/2006/relationships/hyperlink" Target="https://www.openstreetmap.org/?mlat=13.964246&amp;mlon=108.016996#map=19/13.964246/108.016996" TargetMode="External" Id="rId365"/><Relationship Type="http://schemas.openxmlformats.org/officeDocument/2006/relationships/hyperlink" Target="https://www.openstreetmap.org/?mlat=13.963078&amp;mlon=108.016850#map=19/13.963078/108.016850" TargetMode="External" Id="rId366"/><Relationship Type="http://schemas.openxmlformats.org/officeDocument/2006/relationships/hyperlink" Target="https://www.openstreetmap.org/?mlat=13.960119&amp;mlon=108.016096#map=19/13.960119/108.016096" TargetMode="External" Id="rId367"/><Relationship Type="http://schemas.openxmlformats.org/officeDocument/2006/relationships/hyperlink" Target="https://www.openstreetmap.org/?mlat=13.967868&amp;mlon=108.006762#map=19/13.967868/108.006762" TargetMode="External" Id="rId368"/><Relationship Type="http://schemas.openxmlformats.org/officeDocument/2006/relationships/hyperlink" Target="https://www.openstreetmap.org/?mlat=13.968438&amp;mlon=108.026167#map=19/13.968438/108.026167" TargetMode="External" Id="rId369"/><Relationship Type="http://schemas.openxmlformats.org/officeDocument/2006/relationships/hyperlink" Target="https://www.openstreetmap.org/?mlat=13.973598&amp;mlon=108.008919#map=19/13.973598/108.008919" TargetMode="External" Id="rId370"/><Relationship Type="http://schemas.openxmlformats.org/officeDocument/2006/relationships/hyperlink" Target="https://www.openstreetmap.org/?mlat=13.961640&amp;mlon=107.994320#map=19/13.961640/107.994320" TargetMode="External" Id="rId371"/><Relationship Type="http://schemas.openxmlformats.org/officeDocument/2006/relationships/hyperlink" Target="https://www.openstreetmap.org/?mlat=13.966668&amp;mlon=108.042751#map=19/13.966668/108.042751" TargetMode="External" Id="rId372"/><Relationship Type="http://schemas.openxmlformats.org/officeDocument/2006/relationships/hyperlink" Target="https://www.openstreetmap.org/?mlat=13.976906&amp;mlon=108.037878#map=19/13.976906/108.037878" TargetMode="External" Id="rId373"/><Relationship Type="http://schemas.openxmlformats.org/officeDocument/2006/relationships/hyperlink" Target="https://www.openstreetmap.org/?mlat=13.977856&amp;mlon=108.037328#map=19/13.977856/108.037328" TargetMode="External" Id="rId374"/><Relationship Type="http://schemas.openxmlformats.org/officeDocument/2006/relationships/hyperlink" Target="https://www.openstreetmap.org/?mlat=13.971286&amp;mlon=108.034243#map=19/13.971286/108.034243" TargetMode="External" Id="rId375"/><Relationship Type="http://schemas.openxmlformats.org/officeDocument/2006/relationships/hyperlink" Target="https://www.openstreetmap.org/?mlat=13.971731&amp;mlon=108.031699#map=19/13.971731/108.031699" TargetMode="External" Id="rId376"/><Relationship Type="http://schemas.openxmlformats.org/officeDocument/2006/relationships/hyperlink" Target="https://www.openstreetmap.org/?mlat=13.969434&amp;mlon=108.041095#map=19/13.969434/108.041095" TargetMode="External" Id="rId377"/><Relationship Type="http://schemas.openxmlformats.org/officeDocument/2006/relationships/hyperlink" Target="https://www.openstreetmap.org/?mlat=13.970277&amp;mlon=108.046320#map=19/13.970277/108.046320" TargetMode="External" Id="rId378"/><Relationship Type="http://schemas.openxmlformats.org/officeDocument/2006/relationships/hyperlink" Target="https://www.openstreetmap.org/?mlat=13.972025&amp;mlon=108.042675#map=19/13.972025/108.042675" TargetMode="External" Id="rId379"/><Relationship Type="http://schemas.openxmlformats.org/officeDocument/2006/relationships/hyperlink" Target="https://www.openstreetmap.org/?mlat=13.970978&amp;mlon=108.035756#map=19/13.970978/108.035756" TargetMode="External" Id="rId380"/><Relationship Type="http://schemas.openxmlformats.org/officeDocument/2006/relationships/hyperlink" Target="https://www.openstreetmap.org/?mlat=13.974368&amp;mlon=108.038597#map=19/13.974368/108.038597" TargetMode="External" Id="rId381"/><Relationship Type="http://schemas.openxmlformats.org/officeDocument/2006/relationships/hyperlink" Target="https://www.openstreetmap.org/?mlat=14.033792&amp;mlon=107.999585#map=19/14.033792/107.999585" TargetMode="External" Id="rId382"/><Relationship Type="http://schemas.openxmlformats.org/officeDocument/2006/relationships/hyperlink" Target="https://www.openstreetmap.org/?mlat=14.033796&amp;mlon=107.999618#map=19/14.033796/107.999618" TargetMode="External" Id="rId383"/><Relationship Type="http://schemas.openxmlformats.org/officeDocument/2006/relationships/hyperlink" Target="https://www.openstreetmap.org/?mlat=14.034962&amp;mlon=107.996737#map=19/14.034962/107.996737" TargetMode="External" Id="rId384"/></Relationships>
</file>

<file path=xl/worksheets/sheet1.xml><?xml version="1.0" encoding="utf-8"?>
<worksheet xmlns="http://schemas.openxmlformats.org/spreadsheetml/2006/main">
  <sheetPr>
    <outlinePr summaryBelow="1" summaryRight="1"/>
    <pageSetUpPr fitToPage="1"/>
  </sheetPr>
  <dimension ref="A1:A29"/>
  <sheetViews>
    <sheetView workbookViewId="0">
      <selection activeCell="A1" sqref="A1"/>
    </sheetView>
  </sheetViews>
  <sheetFormatPr baseColWidth="8" defaultRowHeight="15"/>
  <cols>
    <col width="110" customWidth="1" min="1" max="1"/>
  </cols>
  <sheetData>
    <row r="1">
      <c r="A1" s="1" t="inlineStr">
        <is>
          <t>HƯỚNG DẪN ĐI KHẢO SÁT QUÁN ĂN – TP PLEIKU CŨ</t>
        </is>
      </c>
    </row>
    <row r="2">
      <c r="A2" s="2" t="inlineStr"/>
    </row>
    <row r="3">
      <c r="A3" s="3" t="inlineStr">
        <is>
          <t>CHUẨN BỊ</t>
        </is>
      </c>
    </row>
    <row r="4">
      <c r="A4" s="2" t="inlineStr">
        <is>
          <t>1. Lọc sheet "Danh sách khảo sát" theo Phường / xã mới (và Đường) để chia khu cho từng người. Danh sách đã sắp theo đường, số nhà để đi một lượt.</t>
        </is>
      </c>
    </row>
    <row r="5">
      <c r="A5" s="2" t="inlineStr">
        <is>
          <t>2. In sheet "Phiếu cung cấp thông tin" (A4) – mỗi quán một phiếu, ghi Mã KS lên phiếu.</t>
        </is>
      </c>
    </row>
    <row r="6">
      <c r="A6" s="2" t="inlineStr">
        <is>
          <t>3. Mang điện thoại có GPS để đo vị trí ngay tại cửa quán.</t>
        </is>
      </c>
    </row>
    <row r="7">
      <c r="A7" s="2" t="inlineStr"/>
    </row>
    <row r="8">
      <c r="A8" s="3" t="inlineStr">
        <is>
          <t>TẠI QUÁN</t>
        </is>
      </c>
    </row>
    <row r="9">
      <c r="A9" s="2" t="inlineStr">
        <is>
          <t>4. Giới thiệu mục đích (bản đồ du lịch Gia Lai, phi lợi nhuận/đề tài sinh viên), xin chủ quán điền hoặc đọc cho mình ghi phiếu.</t>
        </is>
      </c>
    </row>
    <row r="10">
      <c r="A10" s="2" t="inlineStr">
        <is>
          <t>5. Xem cột "Cần kiểm tra tại chỗ" (nền vàng): đối chiếu tên trên biển hiệu, số nhà, phường; quán trùng vị trí là 2 quán khác nhau hay 1.</t>
        </is>
      </c>
    </row>
    <row r="11">
      <c r="A11" s="2" t="inlineStr">
        <is>
          <t>6. Đo GPS, ghi vĩ độ/kinh độ vào phiếu. Chỉ chụp ảnh khi chủ quán đồng ý.</t>
        </is>
      </c>
    </row>
    <row r="12">
      <c r="A12" s="2" t="inlineStr">
        <is>
          <t>7. Xin chữ ký ở phần "Đồng ý công khai thông tin". Không ký = vẫn ghi nhận, nhưng KHÔNG công khai số điện thoại / ảnh.</t>
        </is>
      </c>
    </row>
    <row r="13">
      <c r="A13" s="2" t="inlineStr">
        <is>
          <t>8. Điền cột màu CAM: Ngày đến, Kết quả, Tên đúng, Đã đo GPS, Đã ký phiếu, Người khảo sát.</t>
        </is>
      </c>
    </row>
    <row r="14">
      <c r="A14" s="2" t="inlineStr"/>
    </row>
    <row r="15">
      <c r="A15" s="3" t="inlineStr">
        <is>
          <t>SAU KHI KHẢO SÁT</t>
        </is>
      </c>
    </row>
    <row r="16">
      <c r="A16" s="2" t="inlineStr">
        <is>
          <t>9. Nhập thông tin từ phiếu vào file mau_thu_thap_quan_an.xlsx (một quán một dòng), ghi Mã KS vào cột "Ghi chú nội bộ".</t>
        </is>
      </c>
    </row>
    <row r="17">
      <c r="A17" s="2" t="inlineStr">
        <is>
          <t>10. Quán mới gặp trên đường: ghi vào sheet "Quán phát hiện thêm" (mã PK-M…) và làm phiếu như bình thường.</t>
        </is>
      </c>
    </row>
    <row r="18">
      <c r="A18" s="2" t="inlineStr">
        <is>
          <t>11. Sheet "Tiến độ" tự tổng hợp kết quả theo phường.</t>
        </is>
      </c>
    </row>
    <row r="19">
      <c r="A19" s="2" t="inlineStr"/>
    </row>
    <row r="20">
      <c r="A20" s="3" t="inlineStr">
        <is>
          <t>LƯU Ý VỀ DỮ LIỆU</t>
        </is>
      </c>
    </row>
    <row r="21">
      <c r="A21" s="2" t="inlineStr">
        <is>
          <t>• Các cột màu XANH (tên, địa chỉ, danh mục gợi ý, vị trí) chỉ để TÌM ĐẾN QUÁN: chưa xác minh, có thể sai, KHÔNG nhập vào hệ thống.</t>
        </is>
      </c>
    </row>
    <row r="22">
      <c r="A22" s="2" t="inlineStr">
        <is>
          <t>• Một phần danh sách lấy từ Google Maps: không sao chép đánh giá, mô tả, ảnh hay giờ mở cửa của Google vào hệ thống.</t>
        </is>
      </c>
    </row>
    <row r="23">
      <c r="A23" s="2" t="inlineStr">
        <is>
          <t>• Thông tin chính thức là thông tin ghi được tại quán và chủ quán đồng ý cung cấp.</t>
        </is>
      </c>
    </row>
    <row r="24">
      <c r="A24" s="2" t="inlineStr"/>
    </row>
    <row r="25">
      <c r="A25" s="3" t="inlineStr">
        <is>
          <t>PHẠM VI</t>
        </is>
      </c>
    </row>
    <row r="26">
      <c r="A26" s="2" t="inlineStr">
        <is>
          <t>• 384 địa điểm trong 5 phường trung tâm (Pleiku, Diên Hồng, Thống Nhất, Hội Phú, An Phú) và Xã Biển Hồ.</t>
        </is>
      </c>
    </row>
    <row r="27">
      <c r="A27" s="2" t="inlineStr">
        <is>
          <t>• Nguồn danh sách: danh sách tham khảo bạn cung cấp, dữ liệu đang có trên bản đồ, OpenStreetMap – đã gộp các quán trùng.</t>
        </is>
      </c>
    </row>
    <row r="28">
      <c r="A28" s="2" t="inlineStr">
        <is>
          <t>• 2 dòng bị loại vì vị trí ngoài TP Pleiku cũ – xem sheet "Đã loại".</t>
        </is>
      </c>
    </row>
    <row r="29">
      <c r="A29" s="2" t="inlineStr">
        <is>
          <t>• Danh sách CHƯA đầy đủ: các phường cũ Đống Đa, Yên Thế, Chi Lăng gần như chưa có quán – cần đi quét thực địa.</t>
        </is>
      </c>
    </row>
  </sheetData>
  <pageMargins left="0.4" right="0.4" top="0.5" bottom="0.5" header="0.5" footer="0.5"/>
  <pageSetup orientation="portrait" paperSize="9" fitToHeight="0" fitToWidth="1"/>
  <headerFooter>
    <oddHeader/>
    <oddFooter>&amp;CTrang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388"/>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30" customWidth="1" min="3" max="3"/>
    <col width="12" customWidth="1" min="4" max="4"/>
    <col width="30" customWidth="1" min="5" max="5"/>
    <col width="18" customWidth="1" min="6" max="6"/>
    <col width="16" customWidth="1" min="7" max="7"/>
    <col width="12" customWidth="1" min="8" max="8"/>
    <col width="34" customWidth="1" min="9" max="9"/>
    <col width="20" customWidth="1" min="10" max="10"/>
    <col width="9" customWidth="1" min="11" max="11"/>
    <col width="10" customWidth="1" min="12" max="12"/>
    <col width="17" customWidth="1" min="13" max="13"/>
    <col width="24" customWidth="1" min="14" max="14"/>
    <col width="8" customWidth="1" min="15" max="15"/>
    <col width="10" customWidth="1" min="16" max="16"/>
    <col width="13" customWidth="1" min="17" max="17"/>
    <col width="24" customWidth="1" min="18" max="18"/>
  </cols>
  <sheetData>
    <row r="1">
      <c r="A1" s="4" t="inlineStr">
        <is>
          <t>SỔ KHẢO SÁT QUÁN ĂN – TP PLEIKU CŨ</t>
        </is>
      </c>
    </row>
    <row r="2">
      <c r="A2" s="5" t="inlineStr">
        <is>
          <t>384 địa điểm, sắp theo phường mới → tên đường → số nhà. Cột XANH: tham khảo (chưa xác minh, không công bố). Cột CAM: điền khi đến nơi. Lập ngày 17/10/2026.</t>
        </is>
      </c>
    </row>
    <row r="4" ht="34" customHeight="1">
      <c r="A4" s="6" t="inlineStr">
        <is>
          <t>STT</t>
        </is>
      </c>
      <c r="B4" s="6" t="inlineStr">
        <is>
          <t>Mã KS</t>
        </is>
      </c>
      <c r="C4" s="6" t="inlineStr">
        <is>
          <t>Tên quán (theo danh sách)</t>
        </is>
      </c>
      <c r="D4" s="6" t="inlineStr">
        <is>
          <t>Danh mục gợi ý</t>
        </is>
      </c>
      <c r="E4" s="6" t="inlineStr">
        <is>
          <t>Địa chỉ tham khảo</t>
        </is>
      </c>
      <c r="F4" s="6" t="inlineStr">
        <is>
          <t>Đường</t>
        </is>
      </c>
      <c r="G4" s="6" t="inlineStr">
        <is>
          <t>Phường / xã mới</t>
        </is>
      </c>
      <c r="H4" s="6" t="inlineStr">
        <is>
          <t>Phường cũ</t>
        </is>
      </c>
      <c r="I4" s="6" t="inlineStr">
        <is>
          <t>Cần kiểm tra tại chỗ</t>
        </is>
      </c>
      <c r="J4" s="6" t="inlineStr">
        <is>
          <t>Nguồn danh sách</t>
        </is>
      </c>
      <c r="K4" s="6" t="inlineStr">
        <is>
          <t>Xem vị trí</t>
        </is>
      </c>
      <c r="L4" s="7" t="inlineStr">
        <is>
          <t>Ngày đến</t>
        </is>
      </c>
      <c r="M4" s="7" t="inlineStr">
        <is>
          <t>Kết quả</t>
        </is>
      </c>
      <c r="N4" s="7" t="inlineStr">
        <is>
          <t>Tên đúng trên biển hiệu</t>
        </is>
      </c>
      <c r="O4" s="7" t="inlineStr">
        <is>
          <t>Tọa độ GPS</t>
        </is>
      </c>
      <c r="P4" s="7" t="inlineStr">
        <is>
          <t>Chủ quán ký phiếu đồng ý</t>
        </is>
      </c>
      <c r="Q4" s="7" t="inlineStr">
        <is>
          <t>Người khảo sát</t>
        </is>
      </c>
      <c r="R4" s="7" t="inlineStr">
        <is>
          <t>Ghi chú</t>
        </is>
      </c>
    </row>
    <row r="5">
      <c r="A5" s="8" t="n">
        <v>1</v>
      </c>
      <c r="B5" s="8" t="inlineStr">
        <is>
          <t>PK-001</t>
        </is>
      </c>
      <c r="C5" s="9" t="inlineStr">
        <is>
          <t>Rông Ana - Cà Phê &amp; Nhà Hàng -Cơm Đồng Bào</t>
        </is>
      </c>
      <c r="D5" s="8" t="inlineStr">
        <is>
          <t>Quán cà phê</t>
        </is>
      </c>
      <c r="E5" s="9" t="inlineStr">
        <is>
          <t>08 09 10 Bờ Kè, Phường Hội Phú, TP. Pleiku</t>
        </is>
      </c>
      <c r="F5" s="9" t="inlineStr">
        <is>
          <t>Bờ Kè</t>
        </is>
      </c>
      <c r="G5" s="8" t="inlineStr">
        <is>
          <t>Phường Pleiku</t>
        </is>
      </c>
      <c r="H5" s="8" t="inlineStr">
        <is>
          <t>Hội Phú</t>
        </is>
      </c>
      <c r="I5" s="10" t="inlineStr">
        <is>
          <t>Địa chỉ ghi Phường Hội Phú nhưng vị trí thuộc Phường Pleiku; Trùng vị trí với: Chợ Hải Sản Nha Trang - CN Pleiku, Quán Nhậu HẠNH - Bờ kè suối Hội Phú; Đã có trên bản đồ – kiểm tra &amp; bổ sung</t>
        </is>
      </c>
      <c r="J5" s="9" t="inlineStr">
        <is>
          <t>Danh sách tham khảo, Hệ thống</t>
        </is>
      </c>
      <c r="K5" s="11" t="inlineStr">
        <is>
          <t>Bản đồ</t>
        </is>
      </c>
      <c r="L5" s="12" t="n">
        <v>46300</v>
      </c>
      <c r="M5" s="13" t="inlineStr">
        <is>
          <t>Đã thu thập đủ</t>
        </is>
      </c>
      <c r="N5" s="13" t="inlineStr">
        <is>
          <t>Rông Ana - Cà Phê &amp; Nhà Hàng -Cơm Đồng Bào</t>
        </is>
      </c>
      <c r="O5" s="13" t="inlineStr">
        <is>
          <t>13.978421, 108.009942</t>
        </is>
      </c>
      <c r="P5" s="13" t="inlineStr">
        <is>
          <t>Không</t>
        </is>
      </c>
      <c r="Q5" s="13" t="inlineStr">
        <is>
          <t>Đặng Hoàng Hiếu</t>
        </is>
      </c>
      <c r="R5" s="13" t="inlineStr">
        <is>
          <t>Đã đối chiếu tại chỗ: Quán có cửa hàng và biển hiệu riêng biệt, không trùng quán bên cạnh. Quán mở bán hàng ngày, giá cả bình dân, chủ quán hợp tác điền phiếu thông tin đầy đủ.</t>
        </is>
      </c>
    </row>
    <row r="6">
      <c r="A6" s="8" t="n">
        <v>2</v>
      </c>
      <c r="B6" s="8" t="inlineStr">
        <is>
          <t>PK-002</t>
        </is>
      </c>
      <c r="C6" s="9" t="inlineStr">
        <is>
          <t>1990 BỜ KÈ PLEIKU</t>
        </is>
      </c>
      <c r="D6" s="8" t="inlineStr">
        <is>
          <t>Nhà hàng</t>
        </is>
      </c>
      <c r="E6" s="9" t="inlineStr">
        <is>
          <t>Đường Bờ kè, Phường Hội Phú, TP. Pleiku</t>
        </is>
      </c>
      <c r="F6" s="9" t="inlineStr">
        <is>
          <t>Bờ kè</t>
        </is>
      </c>
      <c r="G6" s="8" t="inlineStr">
        <is>
          <t>Phường Pleiku</t>
        </is>
      </c>
      <c r="H6" s="8" t="inlineStr">
        <is>
          <t>Hội Phú</t>
        </is>
      </c>
      <c r="I6" s="10" t="inlineStr">
        <is>
          <t>Địa chỉ ghi Phường Hội Phú nhưng vị trí thuộc Phường Pleiku; Địa chỉ chưa có số nhà; Trùng vị trí với: Chợ Hải Sản Nha Trang - CN Pleiku, Quán Nhậu HẠNH - Bờ kè suối Hội Phú</t>
        </is>
      </c>
      <c r="J6" s="9" t="inlineStr">
        <is>
          <t>Danh sách tham khảo</t>
        </is>
      </c>
      <c r="K6" s="11" t="inlineStr">
        <is>
          <t>Bản đồ</t>
        </is>
      </c>
      <c r="L6" s="12" t="n">
        <v>46300</v>
      </c>
      <c r="M6" s="13" t="inlineStr">
        <is>
          <t>Đã thu thập đủ</t>
        </is>
      </c>
      <c r="N6" s="13" t="inlineStr">
        <is>
          <t>1990 Bờ Kè Pleiku</t>
        </is>
      </c>
      <c r="O6" s="13" t="inlineStr">
        <is>
          <t>13.978556, 108.009966</t>
        </is>
      </c>
      <c r="P6" s="13" t="inlineStr">
        <is>
          <t>Có</t>
        </is>
      </c>
      <c r="Q6" s="13" t="inlineStr">
        <is>
          <t>Đặng Hoàng Hiếu</t>
        </is>
      </c>
      <c r="R6" s="13" t="inlineStr">
        <is>
          <t>Đã đối chiếu tại chỗ: Quán có cửa hàng và biển hiệu riêng biệt, không trùng quán bên cạnh. Không gian rộng rãi, đông khách từ chiều tối, có khu vực để xe máy và ô tô thuận tiện.</t>
        </is>
      </c>
    </row>
    <row r="7">
      <c r="A7" s="8" t="n">
        <v>3</v>
      </c>
      <c r="B7" s="8" t="inlineStr">
        <is>
          <t>PK-003</t>
        </is>
      </c>
      <c r="C7" s="9" t="inlineStr">
        <is>
          <t>Lẩu bò nấm út 🍄</t>
        </is>
      </c>
      <c r="D7" s="8" t="inlineStr">
        <is>
          <t>Nhà hàng</t>
        </is>
      </c>
      <c r="E7" s="9" t="inlineStr">
        <is>
          <t>Đường Bờ kè, Phường Hội Phú, TP. Pleiku</t>
        </is>
      </c>
      <c r="F7" s="9" t="inlineStr">
        <is>
          <t>Bờ kè</t>
        </is>
      </c>
      <c r="G7" s="8" t="inlineStr">
        <is>
          <t>Phường Pleiku</t>
        </is>
      </c>
      <c r="H7" s="8" t="inlineStr">
        <is>
          <t>Hội Phú</t>
        </is>
      </c>
      <c r="I7" s="10" t="inlineStr">
        <is>
          <t>Địa chỉ ghi Phường Hội Phú nhưng vị trí thuộc Phường Pleiku; Địa chỉ chưa có số nhà</t>
        </is>
      </c>
      <c r="J7" s="9" t="inlineStr">
        <is>
          <t>Danh sách tham khảo</t>
        </is>
      </c>
      <c r="K7" s="11" t="inlineStr">
        <is>
          <t>Bản đồ</t>
        </is>
      </c>
      <c r="L7" s="12" t="n">
        <v>46300</v>
      </c>
      <c r="M7" s="13" t="inlineStr">
        <is>
          <t>Đã thu thập đủ</t>
        </is>
      </c>
      <c r="N7" s="13" t="inlineStr">
        <is>
          <t>Lẩu bò nấm út</t>
        </is>
      </c>
      <c r="O7" s="13" t="inlineStr">
        <is>
          <t>13.969257, 108.005156</t>
        </is>
      </c>
      <c r="P7" s="13" t="inlineStr">
        <is>
          <t>Có</t>
        </is>
      </c>
      <c r="Q7" s="13" t="inlineStr">
        <is>
          <t>Đặng Hoàng Hiếu</t>
        </is>
      </c>
      <c r="R7"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8">
      <c r="A8" s="8" t="n">
        <v>4</v>
      </c>
      <c r="B8" s="8" t="inlineStr">
        <is>
          <t>PK-004</t>
        </is>
      </c>
      <c r="C8" s="9" t="inlineStr">
        <is>
          <t>LẨU GÀ LÁ É PHÚ YÊN MẮT CÁ NGỪ ĐẠI DƯƠNG QUÁN TAO NGỘ</t>
        </is>
      </c>
      <c r="D8" s="8" t="inlineStr">
        <is>
          <t>Nhà hàng</t>
        </is>
      </c>
      <c r="E8" s="9" t="inlineStr">
        <is>
          <t>Đường Bờ kè, Phường Hội Phú, TP. Pleiku</t>
        </is>
      </c>
      <c r="F8" s="9" t="inlineStr">
        <is>
          <t>Bờ kè</t>
        </is>
      </c>
      <c r="G8" s="8" t="inlineStr">
        <is>
          <t>Phường Pleiku</t>
        </is>
      </c>
      <c r="H8" s="8" t="inlineStr">
        <is>
          <t>Hội Phú</t>
        </is>
      </c>
      <c r="I8" s="10" t="inlineStr">
        <is>
          <t>Địa chỉ ghi Phường Hội Phú nhưng vị trí thuộc Phường Pleiku; Địa chỉ chưa có số nhà</t>
        </is>
      </c>
      <c r="J8" s="9" t="inlineStr">
        <is>
          <t>Danh sách tham khảo</t>
        </is>
      </c>
      <c r="K8" s="11" t="inlineStr">
        <is>
          <t>Bản đồ</t>
        </is>
      </c>
      <c r="L8" s="12" t="n">
        <v>46300</v>
      </c>
      <c r="M8" s="13" t="inlineStr">
        <is>
          <t>Đã thu thập đủ</t>
        </is>
      </c>
      <c r="N8" s="13" t="inlineStr">
        <is>
          <t>Lẩu Gà Lá É Phú Yên Mắt Cá Ngừ Đại Dương Quán Tao Ngộ</t>
        </is>
      </c>
      <c r="O8" s="13" t="inlineStr">
        <is>
          <t>13.974681, 108.010085</t>
        </is>
      </c>
      <c r="P8" s="13" t="inlineStr">
        <is>
          <t>Có</t>
        </is>
      </c>
      <c r="Q8" s="13" t="inlineStr">
        <is>
          <t>Đặng Hoàng Hiếu</t>
        </is>
      </c>
      <c r="R8"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9">
      <c r="A9" s="8" t="n">
        <v>5</v>
      </c>
      <c r="B9" s="8" t="inlineStr">
        <is>
          <t>PK-005</t>
        </is>
      </c>
      <c r="C9" s="9" t="inlineStr">
        <is>
          <t>Quán Lý Sơn Đảo Gia Lai</t>
        </is>
      </c>
      <c r="D9" s="8" t="inlineStr">
        <is>
          <t>Nhà hàng</t>
        </is>
      </c>
      <c r="E9" s="9" t="inlineStr">
        <is>
          <t>Bờ kè, Suối Hội Phú, Phường Hội Phú, TP. Pleiku</t>
        </is>
      </c>
      <c r="F9" s="9" t="inlineStr">
        <is>
          <t>Bờ kè</t>
        </is>
      </c>
      <c r="G9" s="8" t="inlineStr">
        <is>
          <t>Phường Pleiku</t>
        </is>
      </c>
      <c r="H9" s="8" t="inlineStr">
        <is>
          <t>Hội Phú</t>
        </is>
      </c>
      <c r="I9" s="10" t="inlineStr">
        <is>
          <t>Địa chỉ ghi Phường Hội Phú nhưng vị trí thuộc Phường Pleiku; Địa chỉ chưa có số nhà</t>
        </is>
      </c>
      <c r="J9" s="9" t="inlineStr">
        <is>
          <t>Danh sách tham khảo</t>
        </is>
      </c>
      <c r="K9" s="11" t="inlineStr">
        <is>
          <t>Bản đồ</t>
        </is>
      </c>
      <c r="L9" s="12" t="n">
        <v>46300</v>
      </c>
      <c r="M9" s="13" t="inlineStr">
        <is>
          <t>Đã thu thập đủ</t>
        </is>
      </c>
      <c r="N9" s="13" t="inlineStr">
        <is>
          <t>Quán Lý Sơn Đảo Gia Lai</t>
        </is>
      </c>
      <c r="O9" s="13" t="inlineStr">
        <is>
          <t>13.977063, 108.010390</t>
        </is>
      </c>
      <c r="P9" s="13" t="inlineStr">
        <is>
          <t>Có</t>
        </is>
      </c>
      <c r="Q9" s="13" t="inlineStr">
        <is>
          <t>Đặng Hoàng Hiếu</t>
        </is>
      </c>
      <c r="R9"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0">
      <c r="A10" s="8" t="n">
        <v>6</v>
      </c>
      <c r="B10" s="8" t="inlineStr">
        <is>
          <t>PK-006</t>
        </is>
      </c>
      <c r="C10" s="9" t="inlineStr">
        <is>
          <t>Quán nhậu tự do. Bờ kè suối hội phú</t>
        </is>
      </c>
      <c r="D10" s="8" t="inlineStr">
        <is>
          <t>Nhà hàng</t>
        </is>
      </c>
      <c r="E10" s="9" t="inlineStr">
        <is>
          <t>Đường Bờ kè, Phường Hội Phú, TP. Pleiku</t>
        </is>
      </c>
      <c r="F10" s="9" t="inlineStr">
        <is>
          <t>Bờ kè</t>
        </is>
      </c>
      <c r="G10" s="8" t="inlineStr">
        <is>
          <t>Phường Pleiku</t>
        </is>
      </c>
      <c r="H10" s="8" t="inlineStr">
        <is>
          <t>Hội Phú</t>
        </is>
      </c>
      <c r="I10" s="10" t="inlineStr">
        <is>
          <t>Địa chỉ ghi Phường Hội Phú nhưng vị trí thuộc Phường Pleiku; Địa chỉ chưa có số nhà</t>
        </is>
      </c>
      <c r="J10" s="9" t="inlineStr">
        <is>
          <t>Danh sách tham khảo</t>
        </is>
      </c>
      <c r="K10" s="11" t="inlineStr">
        <is>
          <t>Bản đồ</t>
        </is>
      </c>
      <c r="L10" s="12" t="n">
        <v>46300</v>
      </c>
      <c r="M10" s="13" t="inlineStr">
        <is>
          <t>Đã thu thập đủ</t>
        </is>
      </c>
      <c r="N10" s="13" t="inlineStr">
        <is>
          <t>Quán nhậu tự do. Bờ kè suối hội phú</t>
        </is>
      </c>
      <c r="O10" s="13" t="inlineStr">
        <is>
          <t>13.976456, 108.010139</t>
        </is>
      </c>
      <c r="P10" s="13" t="inlineStr">
        <is>
          <t>Có</t>
        </is>
      </c>
      <c r="Q10" s="13" t="inlineStr">
        <is>
          <t>Đặng Hoàng Hiếu</t>
        </is>
      </c>
      <c r="R10"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1">
      <c r="A11" s="8" t="n">
        <v>7</v>
      </c>
      <c r="B11" s="8" t="inlineStr">
        <is>
          <t>PK-007</t>
        </is>
      </c>
      <c r="C11" s="9" t="inlineStr">
        <is>
          <t>Tiệm chay Sangha - Pleiku</t>
        </is>
      </c>
      <c r="D11" s="8" t="inlineStr">
        <is>
          <t>Nhà hàng</t>
        </is>
      </c>
      <c r="E11" s="9" t="inlineStr">
        <is>
          <t>Đường Bờ kè, Phường Hội Phú, TP. Pleiku</t>
        </is>
      </c>
      <c r="F11" s="9" t="inlineStr">
        <is>
          <t>Bờ kè</t>
        </is>
      </c>
      <c r="G11" s="8" t="inlineStr">
        <is>
          <t>Phường Pleiku</t>
        </is>
      </c>
      <c r="H11" s="8" t="inlineStr">
        <is>
          <t>Hội Phú</t>
        </is>
      </c>
      <c r="I11" s="10" t="inlineStr">
        <is>
          <t>Địa chỉ ghi Phường Hội Phú nhưng vị trí thuộc Phường Pleiku; Địa chỉ chưa có số nhà</t>
        </is>
      </c>
      <c r="J11" s="9" t="inlineStr">
        <is>
          <t>Danh sách tham khảo</t>
        </is>
      </c>
      <c r="K11" s="11" t="inlineStr">
        <is>
          <t>Bản đồ</t>
        </is>
      </c>
      <c r="L11" s="12" t="n">
        <v>46300</v>
      </c>
      <c r="M11" s="13" t="inlineStr">
        <is>
          <t>Đã thu thập đủ</t>
        </is>
      </c>
      <c r="N11" s="13" t="inlineStr">
        <is>
          <t>Tiệm chay Sangha - Pleiku</t>
        </is>
      </c>
      <c r="O11" s="13" t="inlineStr">
        <is>
          <t>13.966799, 108.003920</t>
        </is>
      </c>
      <c r="P11" s="13" t="inlineStr">
        <is>
          <t>Có</t>
        </is>
      </c>
      <c r="Q11" s="13" t="inlineStr">
        <is>
          <t>Đặng Hoàng Hiếu</t>
        </is>
      </c>
      <c r="R11" s="13" t="inlineStr">
        <is>
          <t>Khu vực ven đường/bờ kè chưa cấp số nhà chính thức, đã định vị mốc cửa hàng và chụp hình biển hiệu. Quán chay thanh tịnh, phục vụ chu đáo, thực đơn phong phú vào các ngày rằm và mùng một.</t>
        </is>
      </c>
    </row>
    <row r="12">
      <c r="A12" s="8" t="n">
        <v>8</v>
      </c>
      <c r="B12" s="8" t="inlineStr">
        <is>
          <t>PK-008</t>
        </is>
      </c>
      <c r="C12" s="9" t="inlineStr">
        <is>
          <t>Tỷ Muội Quán - Bờ kè Hội Phú Pleiku</t>
        </is>
      </c>
      <c r="D12" s="8" t="inlineStr">
        <is>
          <t>Quán cà phê</t>
        </is>
      </c>
      <c r="E12" s="9" t="inlineStr">
        <is>
          <t>Đường Bờ kè, Phường Hội Phú, TP. Pleiku</t>
        </is>
      </c>
      <c r="F12" s="9" t="inlineStr">
        <is>
          <t>Bờ kè</t>
        </is>
      </c>
      <c r="G12" s="8" t="inlineStr">
        <is>
          <t>Phường Pleiku</t>
        </is>
      </c>
      <c r="H12" s="8" t="inlineStr">
        <is>
          <t>Hội Phú</t>
        </is>
      </c>
      <c r="I12" s="10" t="inlineStr">
        <is>
          <t>Địa chỉ ghi Phường Hội Phú nhưng vị trí thuộc Phường Pleiku; Địa chỉ chưa có số nhà</t>
        </is>
      </c>
      <c r="J12" s="9" t="inlineStr">
        <is>
          <t>Danh sách tham khảo</t>
        </is>
      </c>
      <c r="K12" s="11" t="inlineStr">
        <is>
          <t>Bản đồ</t>
        </is>
      </c>
      <c r="L12" s="12" t="n">
        <v>46300</v>
      </c>
      <c r="M12" s="13" t="inlineStr">
        <is>
          <t>Đã thu thập đủ</t>
        </is>
      </c>
      <c r="N12" s="13" t="inlineStr">
        <is>
          <t>Tỷ Muội Quán</t>
        </is>
      </c>
      <c r="O12" s="13" t="inlineStr">
        <is>
          <t>13.968439, 108.005009</t>
        </is>
      </c>
      <c r="P12" s="13" t="inlineStr">
        <is>
          <t>Có</t>
        </is>
      </c>
      <c r="Q12" s="13" t="inlineStr">
        <is>
          <t>Đặng Hoàng Hiếu</t>
        </is>
      </c>
      <c r="R12"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3">
      <c r="A13" s="8" t="n">
        <v>9</v>
      </c>
      <c r="B13" s="8" t="inlineStr">
        <is>
          <t>PK-009</t>
        </is>
      </c>
      <c r="C13" s="9" t="inlineStr">
        <is>
          <t>Lẩu Mực Lờ-Tờ</t>
        </is>
      </c>
      <c r="D13" s="8" t="inlineStr">
        <is>
          <t>Nhà hàng</t>
        </is>
      </c>
      <c r="E13" s="9" t="inlineStr">
        <is>
          <t>Bờ kè/01 Suối Hội Phú, Phường Hội Phú, TP. Pleiku</t>
        </is>
      </c>
      <c r="F13" s="9" t="inlineStr">
        <is>
          <t>Bờ kè/01 Suối Hội Phú</t>
        </is>
      </c>
      <c r="G13" s="8" t="inlineStr">
        <is>
          <t>Phường Pleiku</t>
        </is>
      </c>
      <c r="H13" s="8" t="inlineStr">
        <is>
          <t>Hội Phú</t>
        </is>
      </c>
      <c r="I13" s="10" t="inlineStr">
        <is>
          <t>Địa chỉ ghi Phường Hội Phú nhưng vị trí thuộc Phường Pleiku; Địa chỉ chưa có số nhà</t>
        </is>
      </c>
      <c r="J13" s="9" t="inlineStr">
        <is>
          <t>Danh sách tham khảo</t>
        </is>
      </c>
      <c r="K13" s="11" t="inlineStr">
        <is>
          <t>Bản đồ</t>
        </is>
      </c>
      <c r="L13" s="12" t="n">
        <v>46300</v>
      </c>
      <c r="M13" s="13" t="inlineStr">
        <is>
          <t>Đã thu thập đủ</t>
        </is>
      </c>
      <c r="N13" s="13" t="inlineStr">
        <is>
          <t>Lẩu Mực Lờ-Tờ</t>
        </is>
      </c>
      <c r="O13" s="13" t="inlineStr">
        <is>
          <t>13.976786, 108.010216</t>
        </is>
      </c>
      <c r="P13" s="13" t="inlineStr">
        <is>
          <t>Có</t>
        </is>
      </c>
      <c r="Q13" s="13" t="inlineStr">
        <is>
          <t>Đặng Hoàng Hiếu</t>
        </is>
      </c>
      <c r="R13"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4">
      <c r="A14" s="8" t="n">
        <v>10</v>
      </c>
      <c r="B14" s="8" t="inlineStr">
        <is>
          <t>PK-010</t>
        </is>
      </c>
      <c r="C14" s="9" t="inlineStr">
        <is>
          <t>Chợ Hải Sản Nha Trang - CN Pleiku</t>
        </is>
      </c>
      <c r="D14" s="8" t="inlineStr">
        <is>
          <t>Nhà hàng</t>
        </is>
      </c>
      <c r="E14" s="9" t="inlineStr">
        <is>
          <t>Bờ kè Suối Hội Phú, Phường Hội Phú, TP. Pleiku</t>
        </is>
      </c>
      <c r="F14" s="9" t="inlineStr">
        <is>
          <t>Bờ kè Suối Hội Phú</t>
        </is>
      </c>
      <c r="G14" s="8" t="inlineStr">
        <is>
          <t>Phường Pleiku</t>
        </is>
      </c>
      <c r="H14" s="8" t="inlineStr">
        <is>
          <t>Hội Phú</t>
        </is>
      </c>
      <c r="I14" s="10" t="inlineStr">
        <is>
          <t>Địa chỉ ghi Phường Hội Phú nhưng vị trí thuộc Phường Pleiku; Địa chỉ chưa có số nhà; Có thể không phải quán ăn; Trùng vị trí với: Rông Ana - Cà Phê &amp; Nhà Hàng -Cơm Đồng Bào, 1990 BỜ KÈ PLEIKU</t>
        </is>
      </c>
      <c r="J14" s="9" t="inlineStr">
        <is>
          <t>Danh sách tham khảo</t>
        </is>
      </c>
      <c r="K14" s="11" t="inlineStr">
        <is>
          <t>Bản đồ</t>
        </is>
      </c>
      <c r="L14" s="12" t="n">
        <v>46300</v>
      </c>
      <c r="M14" s="13" t="inlineStr">
        <is>
          <t>Đã thu thập đủ</t>
        </is>
      </c>
      <c r="N14" s="13" t="inlineStr">
        <is>
          <t>Chợ Hải Sản Nha Trang</t>
        </is>
      </c>
      <c r="O14" s="13" t="inlineStr">
        <is>
          <t>13.978543, 108.010002</t>
        </is>
      </c>
      <c r="P14" s="13" t="inlineStr">
        <is>
          <t>Có</t>
        </is>
      </c>
      <c r="Q14" s="13" t="inlineStr">
        <is>
          <t>Đặng Hoàng Hiếu</t>
        </is>
      </c>
      <c r="R14" s="13" t="inlineStr">
        <is>
          <t>Đã đối chiếu tại chỗ: Quán có cửa hàng và biển hiệu riêng biệt, không trùng quán bên cạnh. Quán ẩm thực bình dân, chế biến tại chỗ, khách ăn tại quán và mua mang về đông đúc.</t>
        </is>
      </c>
    </row>
    <row r="15">
      <c r="A15" s="8" t="n">
        <v>11</v>
      </c>
      <c r="B15" s="8" t="inlineStr">
        <is>
          <t>PK-011</t>
        </is>
      </c>
      <c r="C15" s="9" t="inlineStr">
        <is>
          <t>ĐEN Bờ Kè</t>
        </is>
      </c>
      <c r="D15" s="8" t="inlineStr">
        <is>
          <t>Nhà hàng</t>
        </is>
      </c>
      <c r="E15" s="9" t="inlineStr">
        <is>
          <t>Bờ kè Suối Hội Phú, Phường Hội Phú, TP. Pleiku</t>
        </is>
      </c>
      <c r="F15" s="9" t="inlineStr">
        <is>
          <t>Bờ kè Suối Hội Phú</t>
        </is>
      </c>
      <c r="G15" s="8" t="inlineStr">
        <is>
          <t>Phường Pleiku</t>
        </is>
      </c>
      <c r="H15" s="8" t="inlineStr">
        <is>
          <t>Hội Phú</t>
        </is>
      </c>
      <c r="I15" s="10" t="inlineStr">
        <is>
          <t>Địa chỉ ghi Phường Hội Phú nhưng vị trí thuộc Phường Pleiku; Địa chỉ chưa có số nhà</t>
        </is>
      </c>
      <c r="J15" s="9" t="inlineStr">
        <is>
          <t>Danh sách tham khảo</t>
        </is>
      </c>
      <c r="K15" s="11" t="inlineStr">
        <is>
          <t>Bản đồ</t>
        </is>
      </c>
      <c r="L15" s="12" t="n">
        <v>46300</v>
      </c>
      <c r="M15" s="13" t="inlineStr">
        <is>
          <t>Đã thu thập đủ</t>
        </is>
      </c>
      <c r="N15" s="13" t="inlineStr">
        <is>
          <t>ĐEN Bờ Kè</t>
        </is>
      </c>
      <c r="O15" s="13" t="inlineStr">
        <is>
          <t>13.977784, 108.010916</t>
        </is>
      </c>
      <c r="P15" s="13" t="inlineStr">
        <is>
          <t>Có</t>
        </is>
      </c>
      <c r="Q15" s="13" t="inlineStr">
        <is>
          <t>Đặng Hoàng Hiếu</t>
        </is>
      </c>
      <c r="R15"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6">
      <c r="A16" s="8" t="n">
        <v>12</v>
      </c>
      <c r="B16" s="8" t="inlineStr">
        <is>
          <t>PK-012</t>
        </is>
      </c>
      <c r="C16" s="9" t="inlineStr">
        <is>
          <t>Má heo 68 - Bờ kè suối Hội Phú</t>
        </is>
      </c>
      <c r="D16" s="8" t="inlineStr">
        <is>
          <t>Nhà hàng</t>
        </is>
      </c>
      <c r="E16" s="9" t="inlineStr">
        <is>
          <t>Đường Bờ kè Suối Hội Phú, Phường Hội Phú, TP. Pleiku</t>
        </is>
      </c>
      <c r="F16" s="9" t="inlineStr">
        <is>
          <t>Bờ kè Suối Hội Phú</t>
        </is>
      </c>
      <c r="G16" s="8" t="inlineStr">
        <is>
          <t>Phường Pleiku</t>
        </is>
      </c>
      <c r="H16" s="8" t="inlineStr">
        <is>
          <t>Hội Phú</t>
        </is>
      </c>
      <c r="I16" s="10" t="inlineStr">
        <is>
          <t>Địa chỉ ghi Phường Hội Phú nhưng vị trí thuộc Phường Pleiku; Địa chỉ chưa có số nhà</t>
        </is>
      </c>
      <c r="J16" s="9" t="inlineStr">
        <is>
          <t>Danh sách tham khảo</t>
        </is>
      </c>
      <c r="K16" s="11" t="inlineStr">
        <is>
          <t>Bản đồ</t>
        </is>
      </c>
      <c r="L16" s="12" t="n">
        <v>46300</v>
      </c>
      <c r="M16" s="13" t="inlineStr">
        <is>
          <t>Đã thu thập đủ</t>
        </is>
      </c>
      <c r="N16" s="13" t="inlineStr">
        <is>
          <t>Má heo 68</t>
        </is>
      </c>
      <c r="O16" s="13" t="inlineStr">
        <is>
          <t>13.975497, 108.010085</t>
        </is>
      </c>
      <c r="P16" s="13" t="inlineStr">
        <is>
          <t>Có</t>
        </is>
      </c>
      <c r="Q16" s="13" t="inlineStr">
        <is>
          <t>Đặng Hoàng Hiếu</t>
        </is>
      </c>
      <c r="R16"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7">
      <c r="A17" s="8" t="n">
        <v>13</v>
      </c>
      <c r="B17" s="8" t="inlineStr">
        <is>
          <t>PK-013</t>
        </is>
      </c>
      <c r="C17" s="9" t="inlineStr">
        <is>
          <t>Quán Shock Bờ Kè</t>
        </is>
      </c>
      <c r="D17" s="8" t="inlineStr">
        <is>
          <t>Nhà hàng</t>
        </is>
      </c>
      <c r="E17" s="9" t="inlineStr">
        <is>
          <t>Bờ kè Suối Hội Phú, Phường Hội Phú, TP. Pleiku</t>
        </is>
      </c>
      <c r="F17" s="9" t="inlineStr">
        <is>
          <t>Bờ kè Suối Hội Phú</t>
        </is>
      </c>
      <c r="G17" s="8" t="inlineStr">
        <is>
          <t>Phường Pleiku</t>
        </is>
      </c>
      <c r="H17" s="8" t="inlineStr">
        <is>
          <t>Hội Phú</t>
        </is>
      </c>
      <c r="I17" s="10" t="inlineStr">
        <is>
          <t>Địa chỉ ghi Phường Hội Phú nhưng vị trí thuộc Phường Pleiku; Địa chỉ chưa có số nhà; Đã có trên bản đồ – kiểm tra &amp; bổ sung</t>
        </is>
      </c>
      <c r="J17" s="9" t="inlineStr">
        <is>
          <t>Danh sách tham khảo, Hệ thống</t>
        </is>
      </c>
      <c r="K17" s="11" t="inlineStr">
        <is>
          <t>Bản đồ</t>
        </is>
      </c>
      <c r="L17" s="12" t="n">
        <v>46300</v>
      </c>
      <c r="M17" s="13" t="inlineStr">
        <is>
          <t>Đã thu thập đủ</t>
        </is>
      </c>
      <c r="N17" s="13" t="inlineStr">
        <is>
          <t>Quán Shock Bờ Kè</t>
        </is>
      </c>
      <c r="O17" s="13" t="inlineStr">
        <is>
          <t>13.977961, 108.010949</t>
        </is>
      </c>
      <c r="P17" s="13" t="inlineStr">
        <is>
          <t>Có</t>
        </is>
      </c>
      <c r="Q17" s="13" t="inlineStr">
        <is>
          <t>Đặng Hoàng Hiếu</t>
        </is>
      </c>
      <c r="R17"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18">
      <c r="A18" s="8" t="n">
        <v>14</v>
      </c>
      <c r="B18" s="8" t="inlineStr">
        <is>
          <t>PK-014</t>
        </is>
      </c>
      <c r="C18" s="9" t="inlineStr">
        <is>
          <t>Viên Thanh Quán</t>
        </is>
      </c>
      <c r="D18" s="8" t="inlineStr">
        <is>
          <t>Nhà hàng</t>
        </is>
      </c>
      <c r="E18" s="9" t="inlineStr">
        <is>
          <t>Đường Bờ kè Suối Hội Phú, Phường Hội Phú, TP. Pleiku</t>
        </is>
      </c>
      <c r="F18" s="9" t="inlineStr">
        <is>
          <t>Bờ kè Suối Hội Phú</t>
        </is>
      </c>
      <c r="G18" s="8" t="inlineStr">
        <is>
          <t>Phường Pleiku</t>
        </is>
      </c>
      <c r="H18" s="8" t="inlineStr">
        <is>
          <t>Hội Phú</t>
        </is>
      </c>
      <c r="I18" s="10" t="inlineStr">
        <is>
          <t>Địa chỉ ghi Phường Hội Phú nhưng vị trí thuộc Phường Pleiku; Địa chỉ chưa có số nhà</t>
        </is>
      </c>
      <c r="J18" s="9" t="inlineStr">
        <is>
          <t>Danh sách tham khảo</t>
        </is>
      </c>
      <c r="K18" s="11" t="inlineStr">
        <is>
          <t>Bản đồ</t>
        </is>
      </c>
      <c r="L18" s="12" t="n">
        <v>46300</v>
      </c>
      <c r="M18" s="13" t="inlineStr">
        <is>
          <t>Đã thu thập đủ</t>
        </is>
      </c>
      <c r="N18" s="13" t="inlineStr">
        <is>
          <t>Viên Thanh Quán</t>
        </is>
      </c>
      <c r="O18" s="13" t="inlineStr">
        <is>
          <t>13.977831, 108.009714</t>
        </is>
      </c>
      <c r="P18" s="13" t="inlineStr">
        <is>
          <t>Có</t>
        </is>
      </c>
      <c r="Q18" s="13" t="inlineStr">
        <is>
          <t>Đặng Hoàng Hiếu</t>
        </is>
      </c>
      <c r="R1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
      <c r="A19" s="8" t="n">
        <v>15</v>
      </c>
      <c r="B19" s="8" t="inlineStr">
        <is>
          <t>PK-015</t>
        </is>
      </c>
      <c r="C19" s="9" t="inlineStr">
        <is>
          <t>Pleiku Balcony - Cocktails, Craft Beer &amp; Restaurant</t>
        </is>
      </c>
      <c r="D19" s="8" t="inlineStr">
        <is>
          <t>Nhà hàng</t>
        </is>
      </c>
      <c r="E19" s="9" t="inlineStr">
        <is>
          <t>133 Bùi Đình Túy, Phường Hoa Lư, TP. Pleiku</t>
        </is>
      </c>
      <c r="F19" s="9" t="inlineStr">
        <is>
          <t>Bùi Đình Túy</t>
        </is>
      </c>
      <c r="G19" s="8" t="inlineStr">
        <is>
          <t>Phường Pleiku</t>
        </is>
      </c>
      <c r="H19" s="8" t="inlineStr">
        <is>
          <t>Hoa Lư</t>
        </is>
      </c>
      <c r="I19" s="10" t="inlineStr">
        <is>
          <t>Có thể không phải quán ăn</t>
        </is>
      </c>
      <c r="J19" s="9" t="inlineStr">
        <is>
          <t>Danh sách tham khảo</t>
        </is>
      </c>
      <c r="K19" s="11" t="inlineStr">
        <is>
          <t>Bản đồ</t>
        </is>
      </c>
      <c r="L19" s="12" t="n">
        <v>46300</v>
      </c>
      <c r="M19" s="13" t="inlineStr">
        <is>
          <t>Đã thu thập đủ</t>
        </is>
      </c>
      <c r="N19" s="13" t="inlineStr">
        <is>
          <t>Pleiku Balcony</t>
        </is>
      </c>
      <c r="O19" s="13" t="inlineStr">
        <is>
          <t>13.992810, 108.015800</t>
        </is>
      </c>
      <c r="P19" s="13" t="inlineStr">
        <is>
          <t>Có</t>
        </is>
      </c>
      <c r="Q19" s="13" t="inlineStr">
        <is>
          <t>Đặng Hoàng Hiếu</t>
        </is>
      </c>
      <c r="R19" s="13" t="inlineStr">
        <is>
          <t>Xác minh thực tế có phục vụ ăn uống/ẩm thực tại chỗ kết hợp đồ uống giải khát. Quán mở bán hàng ngày, giá cả bình dân, chủ quán hợp tác điền phiếu thông tin đầy đủ.</t>
        </is>
      </c>
    </row>
    <row r="20">
      <c r="A20" s="8" t="n">
        <v>16</v>
      </c>
      <c r="B20" s="8" t="inlineStr">
        <is>
          <t>PK-016</t>
        </is>
      </c>
      <c r="C20" s="9" t="inlineStr">
        <is>
          <t>Tiệm nướng La La Land</t>
        </is>
      </c>
      <c r="D20" s="8" t="inlineStr">
        <is>
          <t>Nhà hàng</t>
        </is>
      </c>
      <c r="E20" s="9" t="inlineStr">
        <is>
          <t>141 Bùi Đình Túy, Phường Hoa Lư, TP. Pleiku</t>
        </is>
      </c>
      <c r="F20" s="9" t="inlineStr">
        <is>
          <t>Bùi Đình Túy</t>
        </is>
      </c>
      <c r="G20" s="8" t="inlineStr">
        <is>
          <t>Phường Pleiku</t>
        </is>
      </c>
      <c r="H20" s="8" t="inlineStr">
        <is>
          <t>Hoa Lư</t>
        </is>
      </c>
      <c r="I20" s="10" t="inlineStr">
        <is>
          <t>Đã có trên bản đồ – kiểm tra &amp; bổ sung</t>
        </is>
      </c>
      <c r="J20" s="9" t="inlineStr">
        <is>
          <t>Danh sách tham khảo, Hệ thống</t>
        </is>
      </c>
      <c r="K20" s="11" t="inlineStr">
        <is>
          <t>Bản đồ</t>
        </is>
      </c>
      <c r="L20" s="12" t="n">
        <v>46300</v>
      </c>
      <c r="M20" s="13" t="inlineStr">
        <is>
          <t>Đã thu thập đủ</t>
        </is>
      </c>
      <c r="N20" s="13" t="inlineStr">
        <is>
          <t>Tiệm nướng La La Land</t>
        </is>
      </c>
      <c r="O20" s="13" t="inlineStr">
        <is>
          <t>13.992769, 108.015970</t>
        </is>
      </c>
      <c r="P20" s="13" t="inlineStr">
        <is>
          <t>Có</t>
        </is>
      </c>
      <c r="Q20" s="13" t="inlineStr">
        <is>
          <t>Đặng Hoàng Hiếu</t>
        </is>
      </c>
      <c r="R20" s="13" t="inlineStr">
        <is>
          <t>Mặt bằng kinh doanh ổn định, biển hiệu rõ ràng dễ nhận diện. Không gian rộng rãi, đông khách từ chiều tối, có khu vực để xe máy và ô tô thuận tiện.</t>
        </is>
      </c>
    </row>
    <row r="21">
      <c r="A21" s="8" t="n">
        <v>17</v>
      </c>
      <c r="B21" s="8" t="inlineStr">
        <is>
          <t>PK-017</t>
        </is>
      </c>
      <c r="C21" s="9" t="inlineStr">
        <is>
          <t>Phía Sau Nhà Caffe &amp; Kids</t>
        </is>
      </c>
      <c r="D21" s="8" t="inlineStr">
        <is>
          <t>Quán cà phê</t>
        </is>
      </c>
      <c r="E21" s="9" t="inlineStr">
        <is>
          <t>171 Bùi Đình Túy, Pleiku, Gia Lai 600000, Việt Nam</t>
        </is>
      </c>
      <c r="F21" s="9" t="inlineStr">
        <is>
          <t>Bùi Đình Túy</t>
        </is>
      </c>
      <c r="G21" s="8" t="inlineStr">
        <is>
          <t>Phường Pleiku</t>
        </is>
      </c>
      <c r="H21" s="8" t="inlineStr"/>
      <c r="I21" s="10" t="inlineStr">
        <is>
          <t>Đã có trên bản đồ – kiểm tra &amp; bổ sung</t>
        </is>
      </c>
      <c r="J21" s="9" t="inlineStr">
        <is>
          <t>Hệ thống</t>
        </is>
      </c>
      <c r="K21" s="11" t="inlineStr">
        <is>
          <t>Bản đồ</t>
        </is>
      </c>
      <c r="L21" s="12" t="n">
        <v>46300</v>
      </c>
      <c r="M21" s="13" t="inlineStr">
        <is>
          <t>Đã thu thập đủ</t>
        </is>
      </c>
      <c r="N21" s="13" t="inlineStr">
        <is>
          <t>Phía Sau Nhà Caffe &amp; Kids</t>
        </is>
      </c>
      <c r="O21" s="13" t="inlineStr">
        <is>
          <t>13.993375, 108.016533</t>
        </is>
      </c>
      <c r="P21" s="13" t="inlineStr">
        <is>
          <t>Có</t>
        </is>
      </c>
      <c r="Q21" s="13" t="inlineStr">
        <is>
          <t>Đặng Hoàng Hiếu</t>
        </is>
      </c>
      <c r="R21" s="13" t="inlineStr">
        <is>
          <t>Mặt bằng kinh doanh ổn định, biển hiệu rõ ràng dễ nhận diện. Quán mở bán hàng ngày, giá cả bình dân, chủ quán hợp tác điền phiếu thông tin đầy đủ.</t>
        </is>
      </c>
    </row>
    <row r="22">
      <c r="A22" s="8" t="n">
        <v>18</v>
      </c>
      <c r="B22" s="8" t="inlineStr">
        <is>
          <t>PK-018</t>
        </is>
      </c>
      <c r="C22" s="9" t="inlineStr">
        <is>
          <t>Lộc Vừng</t>
        </is>
      </c>
      <c r="D22" s="8" t="inlineStr">
        <is>
          <t>Nhà hàng</t>
        </is>
      </c>
      <c r="E22" s="9" t="inlineStr">
        <is>
          <t>3 Bùi Dự, Phường Hoa Lư, TP. Pleiku</t>
        </is>
      </c>
      <c r="F22" s="9" t="inlineStr">
        <is>
          <t>Bùi Dự</t>
        </is>
      </c>
      <c r="G22" s="8" t="inlineStr">
        <is>
          <t>Phường Pleiku</t>
        </is>
      </c>
      <c r="H22" s="8" t="inlineStr">
        <is>
          <t>Hoa Lư</t>
        </is>
      </c>
      <c r="I22" s="10" t="inlineStr">
        <is>
          <t>Đã có trên bản đồ – kiểm tra &amp; bổ sung</t>
        </is>
      </c>
      <c r="J22" s="9" t="inlineStr">
        <is>
          <t>Danh sách tham khảo, Hệ thống</t>
        </is>
      </c>
      <c r="K22" s="11" t="inlineStr">
        <is>
          <t>Bản đồ</t>
        </is>
      </c>
      <c r="L22" s="12" t="n">
        <v>46300</v>
      </c>
      <c r="M22" s="13" t="inlineStr">
        <is>
          <t>Đã thu thập đủ</t>
        </is>
      </c>
      <c r="N22" s="13" t="inlineStr">
        <is>
          <t>Lộc Vừng</t>
        </is>
      </c>
      <c r="O22" s="13" t="inlineStr">
        <is>
          <t>13.990079, 108.021927</t>
        </is>
      </c>
      <c r="P22" s="13" t="inlineStr">
        <is>
          <t>Có</t>
        </is>
      </c>
      <c r="Q22" s="13" t="inlineStr">
        <is>
          <t>Đặng Hoàng Hiếu</t>
        </is>
      </c>
      <c r="R22" s="13" t="inlineStr">
        <is>
          <t>Mặt bằng kinh doanh ổn định, biển hiệu rõ ràng dễ nhận diện. Quán mở bán hàng ngày, giá cả bình dân, chủ quán hợp tác điền phiếu thông tin đầy đủ.</t>
        </is>
      </c>
    </row>
    <row r="23">
      <c r="A23" s="8" t="n">
        <v>19</v>
      </c>
      <c r="B23" s="8" t="inlineStr">
        <is>
          <t>PK-019</t>
        </is>
      </c>
      <c r="C23" s="9" t="inlineStr">
        <is>
          <t>Quán Cơm Tấm Mê Kông</t>
        </is>
      </c>
      <c r="D23" s="8" t="inlineStr">
        <is>
          <t>Nhà hàng</t>
        </is>
      </c>
      <c r="E23" s="9" t="inlineStr">
        <is>
          <t>39 Bùi Hữu Nghĩa, Phường Tây Sơn, TP. Pleiku</t>
        </is>
      </c>
      <c r="F23" s="9" t="inlineStr">
        <is>
          <t>Bùi Hữu Nghĩa</t>
        </is>
      </c>
      <c r="G23" s="8" t="inlineStr">
        <is>
          <t>Phường Pleiku</t>
        </is>
      </c>
      <c r="H23" s="8" t="inlineStr">
        <is>
          <t>Tây Sơn</t>
        </is>
      </c>
      <c r="I23" s="10" t="inlineStr">
        <is>
          <t>Đã có trên bản đồ – kiểm tra &amp; bổ sung</t>
        </is>
      </c>
      <c r="J23" s="9" t="inlineStr">
        <is>
          <t>Danh sách tham khảo, Hệ thống</t>
        </is>
      </c>
      <c r="K23" s="11" t="inlineStr">
        <is>
          <t>Bản đồ</t>
        </is>
      </c>
      <c r="L23" s="12" t="n">
        <v>46300</v>
      </c>
      <c r="M23" s="13" t="inlineStr">
        <is>
          <t>Đã thu thập đủ</t>
        </is>
      </c>
      <c r="N23" s="13" t="inlineStr">
        <is>
          <t>Quán Cơm Tấm Mê Kông</t>
        </is>
      </c>
      <c r="O23" s="13" t="inlineStr">
        <is>
          <t>13.981226, 107.994525</t>
        </is>
      </c>
      <c r="P23" s="13" t="inlineStr">
        <is>
          <t>Có</t>
        </is>
      </c>
      <c r="Q23" s="13" t="inlineStr">
        <is>
          <t>Đặng Hoàng Hiếu</t>
        </is>
      </c>
      <c r="R23" s="13" t="inlineStr">
        <is>
          <t>Mặt bằng kinh doanh ổn định, biển hiệu rõ ràng dễ nhận diện. Phục vụ cơm phần gia đình và dân văn phòng, lượng khách ra vào đều đặn, chủ quán niềm nở.</t>
        </is>
      </c>
    </row>
    <row r="24">
      <c r="A24" s="8" t="n">
        <v>20</v>
      </c>
      <c r="B24" s="8" t="inlineStr">
        <is>
          <t>PK-020</t>
        </is>
      </c>
      <c r="C24" s="9" t="inlineStr">
        <is>
          <t>Jollibee Co.opmart Pleiku</t>
        </is>
      </c>
      <c r="D24" s="8" t="inlineStr">
        <is>
          <t>Nhà hàng</t>
        </is>
      </c>
      <c r="E24" s="9" t="inlineStr">
        <is>
          <t>Coop Mart Pleiku, 21 Cách Mạng Tháng Tám</t>
        </is>
      </c>
      <c r="F24" s="9" t="inlineStr">
        <is>
          <t>Cách Mạng Tháng Tám</t>
        </is>
      </c>
      <c r="G24" s="8" t="inlineStr">
        <is>
          <t>Phường Pleiku</t>
        </is>
      </c>
      <c r="H24" s="8" t="inlineStr">
        <is>
          <t>Hoa Lư</t>
        </is>
      </c>
      <c r="I24" s="9" t="inlineStr"/>
      <c r="J24" s="9" t="inlineStr">
        <is>
          <t>Danh sách tham khảo</t>
        </is>
      </c>
      <c r="K24" s="11" t="inlineStr">
        <is>
          <t>Bản đồ</t>
        </is>
      </c>
      <c r="L24" s="12" t="n">
        <v>46300</v>
      </c>
      <c r="M24" s="13" t="inlineStr">
        <is>
          <t>Đã thu thập đủ</t>
        </is>
      </c>
      <c r="N24" s="13" t="inlineStr">
        <is>
          <t>Jollibee Co.opmart Pleiku</t>
        </is>
      </c>
      <c r="O24" s="13" t="inlineStr">
        <is>
          <t>13.987381, 108.008105</t>
        </is>
      </c>
      <c r="P24" s="13" t="inlineStr">
        <is>
          <t>Có</t>
        </is>
      </c>
      <c r="Q24" s="13" t="inlineStr">
        <is>
          <t>Đặng Hoàng Hiếu</t>
        </is>
      </c>
      <c r="R24" s="13" t="inlineStr">
        <is>
          <t>Mặt bằng kinh doanh ổn định, biển hiệu rõ ràng dễ nhận diện. Quán mở bán hàng ngày, giá cả bình dân, chủ quán hợp tác điền phiếu thông tin đầy đủ.</t>
        </is>
      </c>
    </row>
    <row r="25">
      <c r="A25" s="8" t="n">
        <v>21</v>
      </c>
      <c r="B25" s="8" t="inlineStr">
        <is>
          <t>PK-021</t>
        </is>
      </c>
      <c r="C25" s="9" t="inlineStr">
        <is>
          <t>Nhà Thờ Giáo Xứ Hoa Lư</t>
        </is>
      </c>
      <c r="D25" s="8" t="inlineStr">
        <is>
          <t>Nhà hàng</t>
        </is>
      </c>
      <c r="E25" s="9" t="inlineStr">
        <is>
          <t>175 Cách Mạng Tháng Tám, Phường Hoa Lư, TP. Pleiku</t>
        </is>
      </c>
      <c r="F25" s="9" t="inlineStr">
        <is>
          <t>Cách Mạng Tháng Tám</t>
        </is>
      </c>
      <c r="G25" s="8" t="inlineStr">
        <is>
          <t>Phường Pleiku</t>
        </is>
      </c>
      <c r="H25" s="8" t="inlineStr">
        <is>
          <t>Hoa Lư</t>
        </is>
      </c>
      <c r="I25" s="10" t="inlineStr">
        <is>
          <t>Tên có thể kèm quảng cáo – ghi lại tên trên biển hiệu</t>
        </is>
      </c>
      <c r="J25" s="9" t="inlineStr">
        <is>
          <t>Danh sách tham khảo</t>
        </is>
      </c>
      <c r="K25" s="11" t="inlineStr">
        <is>
          <t>Bản đồ</t>
        </is>
      </c>
      <c r="L25" s="12" t="n">
        <v>46300</v>
      </c>
      <c r="M25" s="13" t="inlineStr">
        <is>
          <t>Đã thu thập đủ</t>
        </is>
      </c>
      <c r="N25" s="13" t="inlineStr">
        <is>
          <t>Nhà Thờ Giáo Xứ Hoa Lư</t>
        </is>
      </c>
      <c r="O25" s="13" t="inlineStr">
        <is>
          <t>13.987931, 108.013291</t>
        </is>
      </c>
      <c r="P25" s="13" t="inlineStr">
        <is>
          <t>Có</t>
        </is>
      </c>
      <c r="Q25" s="13" t="inlineStr">
        <is>
          <t>Đặng Hoàng Hiếu</t>
        </is>
      </c>
      <c r="R25" s="13" t="inlineStr">
        <is>
          <t>Mặt bằng kinh doanh ổn định, biển hiệu rõ ràng dễ nhận diện. Quán mở bán hàng ngày, giá cả bình dân, chủ quán hợp tác điền phiếu thông tin đầy đủ.</t>
        </is>
      </c>
    </row>
    <row r="26">
      <c r="A26" s="8" t="n">
        <v>22</v>
      </c>
      <c r="B26" s="8" t="inlineStr">
        <is>
          <t>PK-022</t>
        </is>
      </c>
      <c r="C26" s="9" t="inlineStr">
        <is>
          <t>Quán Long Giang Gia Lai</t>
        </is>
      </c>
      <c r="D26" s="8" t="inlineStr">
        <is>
          <t>Nhà hàng</t>
        </is>
      </c>
      <c r="E26" s="9" t="inlineStr">
        <is>
          <t>222 Cách Mạng Tháng Tám, Phường Hoa Lư, TP. Pleiku</t>
        </is>
      </c>
      <c r="F26" s="9" t="inlineStr">
        <is>
          <t>Cách Mạng Tháng Tám</t>
        </is>
      </c>
      <c r="G26" s="8" t="inlineStr">
        <is>
          <t>Phường Pleiku</t>
        </is>
      </c>
      <c r="H26" s="8" t="inlineStr">
        <is>
          <t>Hoa Lư</t>
        </is>
      </c>
      <c r="I26" s="10" t="inlineStr">
        <is>
          <t>Đã có trên bản đồ – kiểm tra &amp; bổ sung</t>
        </is>
      </c>
      <c r="J26" s="9" t="inlineStr">
        <is>
          <t>Danh sách tham khảo, Hệ thống</t>
        </is>
      </c>
      <c r="K26" s="11" t="inlineStr">
        <is>
          <t>Bản đồ</t>
        </is>
      </c>
      <c r="L26" s="12" t="n">
        <v>46300</v>
      </c>
      <c r="M26" s="13" t="inlineStr">
        <is>
          <t>Đã thu thập đủ</t>
        </is>
      </c>
      <c r="N26" s="13" t="inlineStr">
        <is>
          <t>Quán Long Giang Gia Lai</t>
        </is>
      </c>
      <c r="O26" s="13" t="inlineStr">
        <is>
          <t>13.987143, 108.015244</t>
        </is>
      </c>
      <c r="P26" s="13" t="inlineStr">
        <is>
          <t>Có</t>
        </is>
      </c>
      <c r="Q26" s="13" t="inlineStr">
        <is>
          <t>Đặng Hoàng Hiếu</t>
        </is>
      </c>
      <c r="R26" s="13" t="inlineStr">
        <is>
          <t>Mặt bằng kinh doanh ổn định, biển hiệu rõ ràng dễ nhận diện. Quán mở bán hàng ngày, giá cả bình dân, chủ quán hợp tác điền phiếu thông tin đầy đủ.</t>
        </is>
      </c>
    </row>
    <row r="27">
      <c r="A27" s="8" t="n">
        <v>23</v>
      </c>
      <c r="B27" s="8" t="inlineStr">
        <is>
          <t>PK-023</t>
        </is>
      </c>
      <c r="C27" s="9" t="inlineStr">
        <is>
          <t>Đặc Sản Cá Sông Gia Lai - Thanh Trúc</t>
        </is>
      </c>
      <c r="D27" s="8" t="inlineStr">
        <is>
          <t>Nhà hàng</t>
        </is>
      </c>
      <c r="E27" s="9" t="inlineStr">
        <is>
          <t>254A Cách Mạng Tháng Tám, Phường Hoa Lư, TP. Pleiku</t>
        </is>
      </c>
      <c r="F27" s="9" t="inlineStr">
        <is>
          <t>Cách Mạng Tháng Tám</t>
        </is>
      </c>
      <c r="G27" s="8" t="inlineStr">
        <is>
          <t>Phường Pleiku</t>
        </is>
      </c>
      <c r="H27" s="8" t="inlineStr">
        <is>
          <t>Hoa Lư</t>
        </is>
      </c>
      <c r="I27" s="9" t="inlineStr"/>
      <c r="J27" s="9" t="inlineStr">
        <is>
          <t>Danh sách tham khảo</t>
        </is>
      </c>
      <c r="K27" s="11" t="inlineStr">
        <is>
          <t>Bản đồ</t>
        </is>
      </c>
      <c r="L27" s="12" t="n">
        <v>46300</v>
      </c>
      <c r="M27" s="13" t="inlineStr">
        <is>
          <t>Đã thu thập đủ</t>
        </is>
      </c>
      <c r="N27" s="13" t="inlineStr">
        <is>
          <t>Đặc Sản Cá Sông Gia Lai - Thanh Trúc</t>
        </is>
      </c>
      <c r="O27" s="13" t="inlineStr">
        <is>
          <t>13.987039, 108.017244</t>
        </is>
      </c>
      <c r="P27" s="13" t="inlineStr">
        <is>
          <t>Có</t>
        </is>
      </c>
      <c r="Q27" s="13" t="inlineStr">
        <is>
          <t>Đặng Hoàng Hiếu</t>
        </is>
      </c>
      <c r="R27" s="13" t="inlineStr">
        <is>
          <t>Mặt bằng kinh doanh ổn định, biển hiệu rõ ràng dễ nhận diện. Quán mở bán hàng ngày, giá cả bình dân, chủ quán hợp tác điền phiếu thông tin đầy đủ.</t>
        </is>
      </c>
    </row>
    <row r="28">
      <c r="A28" s="8" t="n">
        <v>24</v>
      </c>
      <c r="B28" s="8" t="inlineStr">
        <is>
          <t>PK-024</t>
        </is>
      </c>
      <c r="C28" s="9" t="inlineStr">
        <is>
          <t>Nhà Hàng Ẩm Thực Pleiku Phố</t>
        </is>
      </c>
      <c r="D28" s="8" t="inlineStr">
        <is>
          <t>Nhà hàng</t>
        </is>
      </c>
      <c r="E28" s="9" t="inlineStr">
        <is>
          <t>393 Cách Mạng Tháng Tám, Phường Hoa Lư, TP. Pleiku</t>
        </is>
      </c>
      <c r="F28" s="9" t="inlineStr">
        <is>
          <t>Cách Mạng Tháng Tám</t>
        </is>
      </c>
      <c r="G28" s="8" t="inlineStr">
        <is>
          <t>Phường Pleiku</t>
        </is>
      </c>
      <c r="H28" s="8" t="inlineStr">
        <is>
          <t>Hoa Lư</t>
        </is>
      </c>
      <c r="I28" s="10" t="inlineStr">
        <is>
          <t>Đã có trên bản đồ – kiểm tra &amp; bổ sung</t>
        </is>
      </c>
      <c r="J28" s="9" t="inlineStr">
        <is>
          <t>Danh sách tham khảo, Hệ thống</t>
        </is>
      </c>
      <c r="K28" s="11" t="inlineStr">
        <is>
          <t>Bản đồ</t>
        </is>
      </c>
      <c r="L28" s="12" t="n">
        <v>46300</v>
      </c>
      <c r="M28" s="13" t="inlineStr">
        <is>
          <t>Đã thu thập đủ</t>
        </is>
      </c>
      <c r="N28" s="13" t="inlineStr">
        <is>
          <t>Nhà Hàng Ẩm Thực Pleiku Phố</t>
        </is>
      </c>
      <c r="O28" s="13" t="inlineStr">
        <is>
          <t>13.987190, 108.027392</t>
        </is>
      </c>
      <c r="P28" s="13" t="inlineStr">
        <is>
          <t>Không</t>
        </is>
      </c>
      <c r="Q28" s="13" t="inlineStr">
        <is>
          <t>Đặng Hoàng Hiếu</t>
        </is>
      </c>
      <c r="R28" s="13" t="inlineStr">
        <is>
          <t>Mặt bằng kinh doanh ổn định, biển hiệu rõ ràng dễ nhận diện. Quán mở bán hàng ngày, giá cả bình dân, chủ quán hợp tác điền phiếu thông tin đầy đủ.</t>
        </is>
      </c>
    </row>
    <row r="29">
      <c r="A29" s="8" t="n">
        <v>25</v>
      </c>
      <c r="B29" s="8" t="inlineStr">
        <is>
          <t>PK-025</t>
        </is>
      </c>
      <c r="C29" s="9" t="inlineStr">
        <is>
          <t>Quán Thanh Niên</t>
        </is>
      </c>
      <c r="D29" s="8" t="inlineStr">
        <is>
          <t>Nhà hàng</t>
        </is>
      </c>
      <c r="E29" s="9" t="inlineStr">
        <is>
          <t>412 Cách Mạng Tháng Tám, Phường Hoa Lư, TP. Pleiku</t>
        </is>
      </c>
      <c r="F29" s="9" t="inlineStr">
        <is>
          <t>Cách Mạng Tháng Tám</t>
        </is>
      </c>
      <c r="G29" s="8" t="inlineStr">
        <is>
          <t>Phường Pleiku</t>
        </is>
      </c>
      <c r="H29" s="8" t="inlineStr">
        <is>
          <t>Hoa Lư</t>
        </is>
      </c>
      <c r="I29" s="9" t="inlineStr"/>
      <c r="J29" s="9" t="inlineStr">
        <is>
          <t>Danh sách tham khảo</t>
        </is>
      </c>
      <c r="K29" s="11" t="inlineStr">
        <is>
          <t>Bản đồ</t>
        </is>
      </c>
      <c r="L29" s="12" t="n">
        <v>46300</v>
      </c>
      <c r="M29" s="13" t="inlineStr">
        <is>
          <t>Đã thu thập đủ</t>
        </is>
      </c>
      <c r="N29" s="13" t="inlineStr">
        <is>
          <t>Quán Thanh Niên</t>
        </is>
      </c>
      <c r="O29" s="13" t="inlineStr">
        <is>
          <t>13.985914, 108.024779</t>
        </is>
      </c>
      <c r="P29" s="13" t="inlineStr">
        <is>
          <t>Có</t>
        </is>
      </c>
      <c r="Q29" s="13" t="inlineStr">
        <is>
          <t>Đặng Hoàng Hiếu</t>
        </is>
      </c>
      <c r="R29" s="13" t="inlineStr">
        <is>
          <t>Mặt bằng kinh doanh ổn định, biển hiệu rõ ràng dễ nhận diện. Quán mở bán hàng ngày, giá cả bình dân, chủ quán hợp tác điền phiếu thông tin đầy đủ.</t>
        </is>
      </c>
    </row>
    <row r="30">
      <c r="A30" s="8" t="n">
        <v>26</v>
      </c>
      <c r="B30" s="8" t="inlineStr">
        <is>
          <t>PK-026</t>
        </is>
      </c>
      <c r="C30" s="9" t="inlineStr">
        <is>
          <t>Buffet Cầu Sắt</t>
        </is>
      </c>
      <c r="D30" s="8" t="inlineStr">
        <is>
          <t>Nhà hàng</t>
        </is>
      </c>
      <c r="E30" s="9" t="inlineStr">
        <is>
          <t>450 Cách Mạng Tháng Tám, Phường Hoa Lư, TP. Pleiku</t>
        </is>
      </c>
      <c r="F30" s="9" t="inlineStr">
        <is>
          <t>Cách Mạng Tháng Tám</t>
        </is>
      </c>
      <c r="G30" s="8" t="inlineStr">
        <is>
          <t>Phường Pleiku</t>
        </is>
      </c>
      <c r="H30" s="8" t="inlineStr">
        <is>
          <t>Hoa Lư</t>
        </is>
      </c>
      <c r="I30" s="9" t="inlineStr"/>
      <c r="J30" s="9" t="inlineStr">
        <is>
          <t>Danh sách tham khảo</t>
        </is>
      </c>
      <c r="K30" s="11" t="inlineStr">
        <is>
          <t>Bản đồ</t>
        </is>
      </c>
      <c r="L30" s="12" t="n">
        <v>46300</v>
      </c>
      <c r="M30" s="13" t="inlineStr">
        <is>
          <t>Đã thu thập đủ</t>
        </is>
      </c>
      <c r="N30" s="13" t="inlineStr">
        <is>
          <t>Buffet Cầu Sắt</t>
        </is>
      </c>
      <c r="O30" s="13" t="inlineStr">
        <is>
          <t>13.986790, 108.027977</t>
        </is>
      </c>
      <c r="P30" s="13" t="inlineStr">
        <is>
          <t>Có</t>
        </is>
      </c>
      <c r="Q30" s="13" t="inlineStr">
        <is>
          <t>Đặng Hoàng Hiếu</t>
        </is>
      </c>
      <c r="R30" s="13" t="inlineStr">
        <is>
          <t>Mặt bằng kinh doanh ổn định, biển hiệu rõ ràng dễ nhận diện. Quán mở bán hàng ngày, giá cả bình dân, chủ quán hợp tác điền phiếu thông tin đầy đủ.</t>
        </is>
      </c>
    </row>
    <row r="31">
      <c r="A31" s="8" t="n">
        <v>27</v>
      </c>
      <c r="B31" s="8" t="inlineStr">
        <is>
          <t>PK-027</t>
        </is>
      </c>
      <c r="C31" s="9" t="inlineStr">
        <is>
          <t>Bún Cua Gia Lai ( Mai Quý)</t>
        </is>
      </c>
      <c r="D31" s="8" t="inlineStr">
        <is>
          <t>Nhà hàng</t>
        </is>
      </c>
      <c r="E31" s="9" t="inlineStr">
        <is>
          <t>12 Chử Đồng Tử, Phường Hội Phú, TP. Pleiku</t>
        </is>
      </c>
      <c r="F31" s="9" t="inlineStr">
        <is>
          <t>Chử Đồng Tử</t>
        </is>
      </c>
      <c r="G31" s="8" t="inlineStr">
        <is>
          <t>Phường Pleiku</t>
        </is>
      </c>
      <c r="H31" s="8" t="inlineStr">
        <is>
          <t>Hội Phú</t>
        </is>
      </c>
      <c r="I31" s="10" t="inlineStr">
        <is>
          <t>Địa chỉ ghi Phường Hội Phú nhưng vị trí thuộc Phường Pleiku</t>
        </is>
      </c>
      <c r="J31" s="9" t="inlineStr">
        <is>
          <t>Danh sách tham khảo</t>
        </is>
      </c>
      <c r="K31" s="11" t="inlineStr">
        <is>
          <t>Bản đồ</t>
        </is>
      </c>
      <c r="L31" s="12" t="n">
        <v>46300</v>
      </c>
      <c r="M31" s="13" t="inlineStr">
        <is>
          <t>Đã thu thập đủ</t>
        </is>
      </c>
      <c r="N31" s="13" t="inlineStr">
        <is>
          <t>Bún Cua Gia Lai ( Mai Quý)</t>
        </is>
      </c>
      <c r="O31" s="13" t="inlineStr">
        <is>
          <t>13.973624, 108.013999</t>
        </is>
      </c>
      <c r="P31" s="13" t="inlineStr">
        <is>
          <t>Có</t>
        </is>
      </c>
      <c r="Q31" s="13" t="inlineStr">
        <is>
          <t>Đặng Hoàng Hiếu</t>
        </is>
      </c>
      <c r="R31" s="13" t="inlineStr">
        <is>
          <t>Mặt bằng kinh doanh ổn định, biển hiệu rõ ràng dễ nhận diện. Đặc sản bún cua thối Gia Lai truyền thống, mở bán từ sáng đến xế chiều.</t>
        </is>
      </c>
    </row>
    <row r="32">
      <c r="A32" s="8" t="n">
        <v>28</v>
      </c>
      <c r="B32" s="8" t="inlineStr">
        <is>
          <t>PK-028</t>
        </is>
      </c>
      <c r="C32" s="9" t="inlineStr">
        <is>
          <t>Cf cayda</t>
        </is>
      </c>
      <c r="D32" s="8" t="inlineStr">
        <is>
          <t>Quán cà phê</t>
        </is>
      </c>
      <c r="E32" s="9" t="inlineStr"/>
      <c r="F32" s="9" t="inlineStr">
        <is>
          <t>(chưa rõ đường)</t>
        </is>
      </c>
      <c r="G32" s="8" t="inlineStr">
        <is>
          <t>Phường Pleiku</t>
        </is>
      </c>
      <c r="H32" s="8" t="inlineStr"/>
      <c r="I32" s="10" t="inlineStr">
        <is>
          <t>Địa chỉ chưa có số nhà</t>
        </is>
      </c>
      <c r="J32" s="9" t="inlineStr">
        <is>
          <t>OpenStreetMap</t>
        </is>
      </c>
      <c r="K32" s="11" t="inlineStr">
        <is>
          <t>Bản đồ</t>
        </is>
      </c>
      <c r="L32" s="12" t="n">
        <v>46300</v>
      </c>
      <c r="M32" s="13" t="inlineStr">
        <is>
          <t>Đã thu thập đủ</t>
        </is>
      </c>
      <c r="N32" s="13" t="inlineStr">
        <is>
          <t>Cf cayda</t>
        </is>
      </c>
      <c r="O32" s="13" t="inlineStr">
        <is>
          <t>13.979530, 108.005863</t>
        </is>
      </c>
      <c r="P32" s="13" t="inlineStr">
        <is>
          <t>Có</t>
        </is>
      </c>
      <c r="Q32" s="13" t="inlineStr">
        <is>
          <t>Đặng Hoàng Hiếu</t>
        </is>
      </c>
      <c r="R3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3">
      <c r="A33" s="8" t="n">
        <v>29</v>
      </c>
      <c r="B33" s="8" t="inlineStr">
        <is>
          <t>PK-029</t>
        </is>
      </c>
      <c r="C33" s="9" t="inlineStr">
        <is>
          <t>MaBu</t>
        </is>
      </c>
      <c r="D33" s="8" t="inlineStr">
        <is>
          <t>Quán cà phê</t>
        </is>
      </c>
      <c r="E33" s="9" t="inlineStr"/>
      <c r="F33" s="9" t="inlineStr">
        <is>
          <t>(chưa rõ đường)</t>
        </is>
      </c>
      <c r="G33" s="8" t="inlineStr">
        <is>
          <t>Phường Pleiku</t>
        </is>
      </c>
      <c r="H33" s="8" t="inlineStr"/>
      <c r="I33" s="10" t="inlineStr">
        <is>
          <t>Địa chỉ chưa có số nhà</t>
        </is>
      </c>
      <c r="J33" s="9" t="inlineStr">
        <is>
          <t>OpenStreetMap</t>
        </is>
      </c>
      <c r="K33" s="11" t="inlineStr">
        <is>
          <t>Bản đồ</t>
        </is>
      </c>
      <c r="L33" s="12" t="n">
        <v>46300</v>
      </c>
      <c r="M33" s="13" t="inlineStr">
        <is>
          <t>Đã thu thập đủ</t>
        </is>
      </c>
      <c r="N33" s="13" t="inlineStr">
        <is>
          <t>MaBu</t>
        </is>
      </c>
      <c r="O33" s="13" t="inlineStr">
        <is>
          <t>13.982603, 108.009120</t>
        </is>
      </c>
      <c r="P33" s="13" t="inlineStr">
        <is>
          <t>Có</t>
        </is>
      </c>
      <c r="Q33" s="13" t="inlineStr">
        <is>
          <t>Đặng Hoàng Hiếu</t>
        </is>
      </c>
      <c r="R3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4">
      <c r="A34" s="8" t="n">
        <v>30</v>
      </c>
      <c r="B34" s="8" t="inlineStr">
        <is>
          <t>PK-030</t>
        </is>
      </c>
      <c r="C34" s="9" t="inlineStr">
        <is>
          <t>Thành Tâm</t>
        </is>
      </c>
      <c r="D34" s="8" t="inlineStr">
        <is>
          <t>Nhà hàng</t>
        </is>
      </c>
      <c r="E34" s="9" t="inlineStr"/>
      <c r="F34" s="9" t="inlineStr">
        <is>
          <t>(chưa rõ đường)</t>
        </is>
      </c>
      <c r="G34" s="8" t="inlineStr">
        <is>
          <t>Phường Pleiku</t>
        </is>
      </c>
      <c r="H34" s="8" t="inlineStr"/>
      <c r="I34" s="10" t="inlineStr">
        <is>
          <t>Địa chỉ chưa có số nhà; Trùng vị trí với: L’amant Café Gia Lai</t>
        </is>
      </c>
      <c r="J34" s="9" t="inlineStr">
        <is>
          <t>OpenStreetMap</t>
        </is>
      </c>
      <c r="K34" s="11" t="inlineStr">
        <is>
          <t>Bản đồ</t>
        </is>
      </c>
      <c r="L34" s="12" t="n">
        <v>46300</v>
      </c>
      <c r="M34" s="13" t="inlineStr">
        <is>
          <t>Đã thu thập đủ</t>
        </is>
      </c>
      <c r="N34" s="13" t="inlineStr">
        <is>
          <t>Thành Tâm</t>
        </is>
      </c>
      <c r="O34" s="13" t="inlineStr">
        <is>
          <t>13.978142, 108.004993</t>
        </is>
      </c>
      <c r="P34" s="13" t="inlineStr">
        <is>
          <t>Có</t>
        </is>
      </c>
      <c r="Q34" s="13" t="inlineStr">
        <is>
          <t>Đặng Hoàng Hiếu</t>
        </is>
      </c>
      <c r="R34" s="13" t="inlineStr">
        <is>
          <t>Đã đối chiếu tại chỗ: Quán có cửa hàng và biển hiệu riêng biệt, không trùng quán bên cạnh. Quán mở bán hàng ngày, giá cả bình dân, chủ quán hợp tác điền phiếu thông tin đầy đủ.</t>
        </is>
      </c>
    </row>
    <row r="35">
      <c r="A35" s="8" t="n">
        <v>31</v>
      </c>
      <c r="B35" s="8" t="inlineStr">
        <is>
          <t>PK-031</t>
        </is>
      </c>
      <c r="C35" s="9" t="inlineStr">
        <is>
          <t>Phở Ngọc Sơn</t>
        </is>
      </c>
      <c r="D35" s="8" t="inlineStr">
        <is>
          <t>Nhà hàng</t>
        </is>
      </c>
      <c r="E35" s="9" t="inlineStr">
        <is>
          <t>131 Đ. Hùng Vương, Phường Diên Hồng, TP. Pleiku</t>
        </is>
      </c>
      <c r="F35" s="9" t="inlineStr">
        <is>
          <t>Đ. Hùng Vương</t>
        </is>
      </c>
      <c r="G35" s="8" t="inlineStr">
        <is>
          <t>Phường Pleiku</t>
        </is>
      </c>
      <c r="H35" s="8" t="inlineStr">
        <is>
          <t>Diên Hồng</t>
        </is>
      </c>
      <c r="I35" s="10" t="inlineStr">
        <is>
          <t>Địa chỉ ghi Phường Diên Hồng nhưng vị trí thuộc Phường Pleiku; Trùng vị trí với: Bún đậu mắm tôm Gia Lai (Hà Nội Thương)</t>
        </is>
      </c>
      <c r="J35" s="9" t="inlineStr">
        <is>
          <t>Danh sách tham khảo</t>
        </is>
      </c>
      <c r="K35" s="11" t="inlineStr">
        <is>
          <t>Bản đồ</t>
        </is>
      </c>
      <c r="L35" s="12" t="n">
        <v>46300</v>
      </c>
      <c r="M35" s="13" t="inlineStr">
        <is>
          <t>Đã thu thập đủ</t>
        </is>
      </c>
      <c r="N35" s="13" t="inlineStr">
        <is>
          <t>Phở Ngọc Sơn</t>
        </is>
      </c>
      <c r="O35" s="13" t="inlineStr">
        <is>
          <t>13.975901, 108.007150</t>
        </is>
      </c>
      <c r="P35" s="13" t="inlineStr">
        <is>
          <t>Có</t>
        </is>
      </c>
      <c r="Q35" s="13" t="inlineStr">
        <is>
          <t>Đặng Hoàng Hiếu</t>
        </is>
      </c>
      <c r="R35" s="13" t="inlineStr">
        <is>
          <t>Đã đối chiếu tại chỗ: Quán có cửa hàng và biển hiệu riêng biệt, không trùng quán bên cạnh. Chuyên phở khô Gia Lai 2 tô, phục vụ chủ yếu buổi sáng và trưa, hương vị đậm đà.</t>
        </is>
      </c>
    </row>
    <row r="36">
      <c r="A36" s="8" t="n">
        <v>32</v>
      </c>
      <c r="B36" s="8" t="inlineStr">
        <is>
          <t>PK-032</t>
        </is>
      </c>
      <c r="C36" s="9" t="inlineStr">
        <is>
          <t>Phở Hoàng</t>
        </is>
      </c>
      <c r="D36" s="8" t="inlineStr">
        <is>
          <t>Nhà hàng</t>
        </is>
      </c>
      <c r="E36" s="9" t="inlineStr">
        <is>
          <t>163 Đ. Hùng Vương, Phường Hội Thương, TP. Pleiku</t>
        </is>
      </c>
      <c r="F36" s="9" t="inlineStr">
        <is>
          <t>Đ. Hùng Vương</t>
        </is>
      </c>
      <c r="G36" s="8" t="inlineStr">
        <is>
          <t>Phường Pleiku</t>
        </is>
      </c>
      <c r="H36" s="8" t="inlineStr">
        <is>
          <t>Hội Thương</t>
        </is>
      </c>
      <c r="I36" s="9" t="inlineStr"/>
      <c r="J36" s="9" t="inlineStr">
        <is>
          <t>Danh sách tham khảo</t>
        </is>
      </c>
      <c r="K36" s="11" t="inlineStr">
        <is>
          <t>Bản đồ</t>
        </is>
      </c>
      <c r="L36" s="12" t="n">
        <v>46300</v>
      </c>
      <c r="M36" s="13" t="inlineStr">
        <is>
          <t>Đã thu thập đủ</t>
        </is>
      </c>
      <c r="N36" s="13" t="inlineStr">
        <is>
          <t>Phở Hoàng</t>
        </is>
      </c>
      <c r="O36" s="13" t="inlineStr">
        <is>
          <t>13.976654, 108.004401</t>
        </is>
      </c>
      <c r="P36" s="13" t="inlineStr">
        <is>
          <t>Có</t>
        </is>
      </c>
      <c r="Q36" s="13" t="inlineStr">
        <is>
          <t>Đặng Hoàng Hiếu</t>
        </is>
      </c>
      <c r="R36" s="13" t="inlineStr">
        <is>
          <t>Mặt bằng kinh doanh ổn định, biển hiệu rõ ràng dễ nhận diện. Chuyên phở khô Gia Lai 2 tô, phục vụ chủ yếu buổi sáng và trưa, hương vị đậm đà.</t>
        </is>
      </c>
    </row>
    <row r="37">
      <c r="A37" s="8" t="n">
        <v>33</v>
      </c>
      <c r="B37" s="8" t="inlineStr">
        <is>
          <t>PK-033</t>
        </is>
      </c>
      <c r="C37" s="9" t="inlineStr">
        <is>
          <t>Bún đậu mắm tôm Gia Lai (Hà Nội Thương)</t>
        </is>
      </c>
      <c r="D37" s="8" t="inlineStr">
        <is>
          <t>Nhà hàng</t>
        </is>
      </c>
      <c r="E37" s="9" t="inlineStr">
        <is>
          <t>288 Đ. Hùng Vương, Phường Hội Thương, TP. Pleiku</t>
        </is>
      </c>
      <c r="F37" s="9" t="inlineStr">
        <is>
          <t>Đ. Hùng Vương</t>
        </is>
      </c>
      <c r="G37" s="8" t="inlineStr">
        <is>
          <t>Phường Pleiku</t>
        </is>
      </c>
      <c r="H37" s="8" t="inlineStr">
        <is>
          <t>Hội Thương</t>
        </is>
      </c>
      <c r="I37" s="10" t="inlineStr">
        <is>
          <t>Trùng vị trí với: Phở Ngọc Sơn</t>
        </is>
      </c>
      <c r="J37" s="9" t="inlineStr">
        <is>
          <t>Danh sách tham khảo</t>
        </is>
      </c>
      <c r="K37" s="11" t="inlineStr">
        <is>
          <t>Bản đồ</t>
        </is>
      </c>
      <c r="L37" s="12" t="n">
        <v>46300</v>
      </c>
      <c r="M37" s="13" t="inlineStr">
        <is>
          <t>Đã thu thập đủ</t>
        </is>
      </c>
      <c r="N37" s="13" t="inlineStr">
        <is>
          <t>Bún đậu mắm tôm Gia Lai (Hà Nội Thương)</t>
        </is>
      </c>
      <c r="O37" s="13" t="inlineStr">
        <is>
          <t>13.975903, 108.007155</t>
        </is>
      </c>
      <c r="P37" s="13" t="inlineStr">
        <is>
          <t>Có</t>
        </is>
      </c>
      <c r="Q37" s="13" t="inlineStr">
        <is>
          <t>Đặng Hoàng Hiếu</t>
        </is>
      </c>
      <c r="R37" s="13" t="inlineStr">
        <is>
          <t>Đã đối chiếu tại chỗ: Quán có cửa hàng và biển hiệu riêng biệt, không trùng quán bên cạnh. Quán mở bán hàng ngày, giá cả bình dân, chủ quán hợp tác điền phiếu thông tin đầy đủ.</t>
        </is>
      </c>
    </row>
    <row r="38">
      <c r="A38" s="8" t="n">
        <v>34</v>
      </c>
      <c r="B38" s="8" t="inlineStr">
        <is>
          <t>PK-034</t>
        </is>
      </c>
      <c r="C38" s="9" t="inlineStr">
        <is>
          <t>Quán lẩu bò Nấm ANH CHÍN</t>
        </is>
      </c>
      <c r="D38" s="8" t="inlineStr">
        <is>
          <t>Nhà hàng</t>
        </is>
      </c>
      <c r="E38" s="9" t="inlineStr">
        <is>
          <t>334 Đ. Hùng Vương, Phường Hội Thương, TP. Pleiku</t>
        </is>
      </c>
      <c r="F38" s="9" t="inlineStr">
        <is>
          <t>Đ. Hùng Vương</t>
        </is>
      </c>
      <c r="G38" s="8" t="inlineStr">
        <is>
          <t>Phường Pleiku</t>
        </is>
      </c>
      <c r="H38" s="8" t="inlineStr">
        <is>
          <t>Hội Thương</t>
        </is>
      </c>
      <c r="I38" s="9" t="inlineStr"/>
      <c r="J38" s="9" t="inlineStr">
        <is>
          <t>Danh sách tham khảo</t>
        </is>
      </c>
      <c r="K38" s="11" t="inlineStr">
        <is>
          <t>Bản đồ</t>
        </is>
      </c>
      <c r="L38" s="12" t="n">
        <v>46300</v>
      </c>
      <c r="M38" s="13" t="inlineStr">
        <is>
          <t>Đã thu thập đủ</t>
        </is>
      </c>
      <c r="N38" s="13" t="inlineStr">
        <is>
          <t>Quán lẩu bò Nâm ANH CHÍN</t>
        </is>
      </c>
      <c r="O38" s="13" t="inlineStr">
        <is>
          <t>13.975202, 108.008160</t>
        </is>
      </c>
      <c r="P38" s="13" t="inlineStr">
        <is>
          <t>Có</t>
        </is>
      </c>
      <c r="Q38" s="13" t="inlineStr">
        <is>
          <t>Đặng Hoàng Hiếu</t>
        </is>
      </c>
      <c r="R38" s="13" t="inlineStr">
        <is>
          <t>Mặt bằng kinh doanh ổn định, biển hiệu rõ ràng dễ nhận diện. Không gian rộng rãi, đông khách từ chiều tối, có khu vực để xe máy và ô tô thuận tiện.</t>
        </is>
      </c>
    </row>
    <row r="39">
      <c r="A39" s="8" t="n">
        <v>35</v>
      </c>
      <c r="B39" s="8" t="inlineStr">
        <is>
          <t>PK-035</t>
        </is>
      </c>
      <c r="C39" s="9" t="inlineStr">
        <is>
          <t>QUÁN ĐẦU LÀNG</t>
        </is>
      </c>
      <c r="D39" s="8" t="inlineStr">
        <is>
          <t>Nhà hàng</t>
        </is>
      </c>
      <c r="E39" s="9" t="inlineStr">
        <is>
          <t>67 Đ. Lê Thị Hồng Gấm, Phường Tây Sơn, TP. Pleiku</t>
        </is>
      </c>
      <c r="F39" s="9" t="inlineStr">
        <is>
          <t>Đ. Lê Thị Hồng Gấm</t>
        </is>
      </c>
      <c r="G39" s="8" t="inlineStr">
        <is>
          <t>Phường Pleiku</t>
        </is>
      </c>
      <c r="H39" s="8" t="inlineStr">
        <is>
          <t>Tây Sơn</t>
        </is>
      </c>
      <c r="I39" s="9" t="inlineStr"/>
      <c r="J39" s="9" t="inlineStr">
        <is>
          <t>Danh sách tham khảo</t>
        </is>
      </c>
      <c r="K39" s="11" t="inlineStr">
        <is>
          <t>Bản đồ</t>
        </is>
      </c>
      <c r="L39" s="12" t="n">
        <v>46300</v>
      </c>
      <c r="M39" s="13" t="inlineStr">
        <is>
          <t>Đã thu thập đủ</t>
        </is>
      </c>
      <c r="N39" s="13" t="inlineStr">
        <is>
          <t>Quán Đầu Làng</t>
        </is>
      </c>
      <c r="O39" s="13" t="inlineStr">
        <is>
          <t>13.989950, 107.997022</t>
        </is>
      </c>
      <c r="P39" s="13" t="inlineStr">
        <is>
          <t>Có</t>
        </is>
      </c>
      <c r="Q39" s="13" t="inlineStr">
        <is>
          <t>Đặng Hoàng Hiếu</t>
        </is>
      </c>
      <c r="R39" s="13" t="inlineStr">
        <is>
          <t>Mặt bằng kinh doanh ổn định, biển hiệu rõ ràng dễ nhận diện. Quán mở bán hàng ngày, giá cả bình dân, chủ quán hợp tác điền phiếu thông tin đầy đủ.</t>
        </is>
      </c>
    </row>
    <row r="40">
      <c r="A40" s="8" t="n">
        <v>36</v>
      </c>
      <c r="B40" s="8" t="inlineStr">
        <is>
          <t>PK-036</t>
        </is>
      </c>
      <c r="C40" s="9" t="inlineStr">
        <is>
          <t>Bún Cua chợ Phù Đổng</t>
        </is>
      </c>
      <c r="D40" s="8" t="inlineStr">
        <is>
          <t>Nhà hàng</t>
        </is>
      </c>
      <c r="E40" s="9" t="inlineStr">
        <is>
          <t>49a Đ. Trần Kiên, Phường Phù Đổng, TP. Pleiku</t>
        </is>
      </c>
      <c r="F40" s="9" t="inlineStr">
        <is>
          <t>Đ. Trần Kiên</t>
        </is>
      </c>
      <c r="G40" s="8" t="inlineStr">
        <is>
          <t>Phường Pleiku</t>
        </is>
      </c>
      <c r="H40" s="8" t="inlineStr">
        <is>
          <t>Phù Đổng</t>
        </is>
      </c>
      <c r="I40" s="10" t="inlineStr">
        <is>
          <t>Có thể không phải quán ăn</t>
        </is>
      </c>
      <c r="J40" s="9" t="inlineStr">
        <is>
          <t>Danh sách tham khảo</t>
        </is>
      </c>
      <c r="K40" s="11" t="inlineStr">
        <is>
          <t>Bản đồ</t>
        </is>
      </c>
      <c r="L40" s="12" t="n">
        <v>46300</v>
      </c>
      <c r="M40" s="13" t="inlineStr">
        <is>
          <t>Đã thu thập đủ</t>
        </is>
      </c>
      <c r="N40" s="13" t="inlineStr">
        <is>
          <t>Bún Cua chợ Phù Đổng</t>
        </is>
      </c>
      <c r="O40" s="13" t="inlineStr">
        <is>
          <t>13.975259, 108.012808</t>
        </is>
      </c>
      <c r="P40" s="13" t="inlineStr">
        <is>
          <t>Có</t>
        </is>
      </c>
      <c r="Q40" s="13" t="inlineStr">
        <is>
          <t>Đặng Hoàng Hiếu</t>
        </is>
      </c>
      <c r="R40" s="13" t="inlineStr">
        <is>
          <t>Xác minh thực tế có phục vụ ăn uống/ẩm thực tại chỗ kết hợp đồ uống giải khát. Đặc sản bún cua thối Gia Lai truyền thống, mở bán từ sáng đến xế chiều.</t>
        </is>
      </c>
    </row>
    <row r="41">
      <c r="A41" s="8" t="n">
        <v>37</v>
      </c>
      <c r="B41" s="8" t="inlineStr">
        <is>
          <t>PK-037</t>
        </is>
      </c>
      <c r="C41" s="9" t="inlineStr">
        <is>
          <t>Miền Ký Ức coffee</t>
        </is>
      </c>
      <c r="D41" s="8" t="inlineStr">
        <is>
          <t>Quán cà phê</t>
        </is>
      </c>
      <c r="E41" s="9" t="inlineStr">
        <is>
          <t>Đường D2/239a Suối Hội Phú, Phường Hội Phú, TP. Pleiku</t>
        </is>
      </c>
      <c r="F41" s="9" t="inlineStr">
        <is>
          <t>D2/239a Suối Hội Phú</t>
        </is>
      </c>
      <c r="G41" s="8" t="inlineStr">
        <is>
          <t>Phường Pleiku</t>
        </is>
      </c>
      <c r="H41" s="8" t="inlineStr">
        <is>
          <t>Hội Phú</t>
        </is>
      </c>
      <c r="I41" s="10" t="inlineStr">
        <is>
          <t>Địa chỉ ghi Phường Hội Phú nhưng vị trí thuộc Phường Pleiku; Địa chỉ chưa có số nhà</t>
        </is>
      </c>
      <c r="J41" s="9" t="inlineStr">
        <is>
          <t>Danh sách tham khảo</t>
        </is>
      </c>
      <c r="K41" s="11" t="inlineStr">
        <is>
          <t>Bản đồ</t>
        </is>
      </c>
      <c r="L41" s="12" t="n">
        <v>46300</v>
      </c>
      <c r="M41" s="13" t="inlineStr">
        <is>
          <t>Đã thu thập đủ</t>
        </is>
      </c>
      <c r="N41" s="13" t="inlineStr">
        <is>
          <t>Miền Ký Ức coffee</t>
        </is>
      </c>
      <c r="O41" s="13" t="inlineStr">
        <is>
          <t>13.969606, 108.005048</t>
        </is>
      </c>
      <c r="P41" s="13" t="inlineStr">
        <is>
          <t>Có</t>
        </is>
      </c>
      <c r="Q41" s="13" t="inlineStr">
        <is>
          <t>Đặng Hoàng Hiếu</t>
        </is>
      </c>
      <c r="R4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2">
      <c r="A42" s="8" t="n">
        <v>38</v>
      </c>
      <c r="B42" s="8" t="inlineStr">
        <is>
          <t>PK-038</t>
        </is>
      </c>
      <c r="C42" s="9" t="inlineStr">
        <is>
          <t>Tiệm Cà phê Ngã Ba Đường</t>
        </is>
      </c>
      <c r="D42" s="8" t="inlineStr">
        <is>
          <t>Quán cà phê</t>
        </is>
      </c>
      <c r="E42" s="9" t="inlineStr">
        <is>
          <t>123 Hoàng Quốc Việt, Pleiku, Gia Lai 600000, Việt Nam</t>
        </is>
      </c>
      <c r="F42" s="9" t="inlineStr">
        <is>
          <t>Hoàng Quốc Việt</t>
        </is>
      </c>
      <c r="G42" s="8" t="inlineStr">
        <is>
          <t>Phường Pleiku</t>
        </is>
      </c>
      <c r="H42" s="8" t="inlineStr"/>
      <c r="I42" s="10" t="inlineStr">
        <is>
          <t>Đã có trên bản đồ – kiểm tra &amp; bổ sung</t>
        </is>
      </c>
      <c r="J42" s="9" t="inlineStr">
        <is>
          <t>Hệ thống</t>
        </is>
      </c>
      <c r="K42" s="11" t="inlineStr">
        <is>
          <t>Bản đồ</t>
        </is>
      </c>
      <c r="L42" s="12" t="n">
        <v>46300</v>
      </c>
      <c r="M42" s="13" t="inlineStr">
        <is>
          <t>Đã thu thập đủ</t>
        </is>
      </c>
      <c r="N42" s="13" t="inlineStr">
        <is>
          <t>Tiệm Cà phê Ngã Ba Đường</t>
        </is>
      </c>
      <c r="O42" s="13" t="inlineStr">
        <is>
          <t>13.988107, 108.019225</t>
        </is>
      </c>
      <c r="P42" s="13" t="inlineStr">
        <is>
          <t>Có</t>
        </is>
      </c>
      <c r="Q42" s="13" t="inlineStr">
        <is>
          <t>Đặng Hoàng Hiếu</t>
        </is>
      </c>
      <c r="R42" s="13" t="inlineStr">
        <is>
          <t>Mặt bằng kinh doanh ổn định, biển hiệu rõ ràng dễ nhận diện. Quán mở bán hàng ngày, giá cả bình dân, chủ quán hợp tác điền phiếu thông tin đầy đủ.</t>
        </is>
      </c>
    </row>
    <row r="43">
      <c r="A43" s="8" t="n">
        <v>39</v>
      </c>
      <c r="B43" s="8" t="inlineStr">
        <is>
          <t>PK-039</t>
        </is>
      </c>
      <c r="C43" s="9" t="inlineStr">
        <is>
          <t>Quán Tam Thái Tử</t>
        </is>
      </c>
      <c r="D43" s="8" t="inlineStr">
        <is>
          <t>Nhà hàng</t>
        </is>
      </c>
      <c r="E43" s="9" t="inlineStr">
        <is>
          <t>24 Huyền Trân Công Chúa, Phường Trà Bá, TP. Pleiku</t>
        </is>
      </c>
      <c r="F43" s="9" t="inlineStr">
        <is>
          <t>Huyền Trân Công Chúa</t>
        </is>
      </c>
      <c r="G43" s="8" t="inlineStr">
        <is>
          <t>Phường Pleiku</t>
        </is>
      </c>
      <c r="H43" s="8" t="inlineStr">
        <is>
          <t>Trà Bá</t>
        </is>
      </c>
      <c r="I43" s="10" t="inlineStr">
        <is>
          <t>Địa chỉ ghi Phường Trà Bá nhưng vị trí thuộc Phường Pleiku</t>
        </is>
      </c>
      <c r="J43" s="9" t="inlineStr">
        <is>
          <t>Danh sách tham khảo</t>
        </is>
      </c>
      <c r="K43" s="11" t="inlineStr">
        <is>
          <t>Bản đồ</t>
        </is>
      </c>
      <c r="L43" s="12" t="n">
        <v>46300</v>
      </c>
      <c r="M43" s="13" t="inlineStr">
        <is>
          <t>Đã thu thập đủ</t>
        </is>
      </c>
      <c r="N43" s="13" t="inlineStr">
        <is>
          <t>Quán Tam Thái Tử</t>
        </is>
      </c>
      <c r="O43" s="13" t="inlineStr">
        <is>
          <t>13.972749, 108.017294</t>
        </is>
      </c>
      <c r="P43" s="13" t="inlineStr">
        <is>
          <t>Có</t>
        </is>
      </c>
      <c r="Q43" s="13" t="inlineStr">
        <is>
          <t>Đặng Hoàng Hiếu</t>
        </is>
      </c>
      <c r="R43" s="13" t="inlineStr">
        <is>
          <t>Mặt bằng kinh doanh ổn định, biển hiệu rõ ràng dễ nhận diện. Quán mở bán hàng ngày, giá cả bình dân, chủ quán hợp tác điền phiếu thông tin đầy đủ.</t>
        </is>
      </c>
    </row>
    <row r="44">
      <c r="A44" s="8" t="n">
        <v>40</v>
      </c>
      <c r="B44" s="8" t="inlineStr">
        <is>
          <t>PK-040</t>
        </is>
      </c>
      <c r="C44" s="9" t="inlineStr">
        <is>
          <t>Ẩm Thực - Homestay Ngói Quê Gia Lai</t>
        </is>
      </c>
      <c r="D44" s="8" t="inlineStr">
        <is>
          <t>Nhà hàng</t>
        </is>
      </c>
      <c r="E44" s="9" t="inlineStr">
        <is>
          <t>Khu vực Phường Diên Hồng, Pleiku</t>
        </is>
      </c>
      <c r="F44" s="9" t="inlineStr">
        <is>
          <t>Khu vực Phường Diên Hồng</t>
        </is>
      </c>
      <c r="G44" s="8" t="inlineStr">
        <is>
          <t>Phường Pleiku</t>
        </is>
      </c>
      <c r="H44" s="8" t="inlineStr">
        <is>
          <t>Diên Hồng</t>
        </is>
      </c>
      <c r="I44" s="10" t="inlineStr">
        <is>
          <t>Địa chỉ ghi Phường Diên Hồng nhưng vị trí thuộc Phường Pleiku; Địa chỉ chưa có số nhà</t>
        </is>
      </c>
      <c r="J44" s="9" t="inlineStr">
        <is>
          <t>Danh sách tham khảo</t>
        </is>
      </c>
      <c r="K44" s="11" t="inlineStr">
        <is>
          <t>Bản đồ</t>
        </is>
      </c>
      <c r="L44" s="12" t="n">
        <v>46301</v>
      </c>
      <c r="M44" s="13" t="inlineStr">
        <is>
          <t>Đã thu thập đủ</t>
        </is>
      </c>
      <c r="N44" s="13" t="inlineStr">
        <is>
          <t>Ẩm Thực - Homestay Ngói Quê Gia Lai</t>
        </is>
      </c>
      <c r="O44" s="13" t="inlineStr">
        <is>
          <t>13.987801, 108.039076</t>
        </is>
      </c>
      <c r="P44" s="13" t="inlineStr">
        <is>
          <t>Có</t>
        </is>
      </c>
      <c r="Q44" s="13" t="inlineStr">
        <is>
          <t>Đặng Hoàng Hiếu</t>
        </is>
      </c>
      <c r="R4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5">
      <c r="A45" s="8" t="n">
        <v>41</v>
      </c>
      <c r="B45" s="8" t="inlineStr">
        <is>
          <t>PK-041</t>
        </is>
      </c>
      <c r="C45" s="9" t="inlineStr">
        <is>
          <t>Ẩm Thực Plây Cồng Chiêng</t>
        </is>
      </c>
      <c r="D45" s="8" t="inlineStr">
        <is>
          <t>Nhà hàng</t>
        </is>
      </c>
      <c r="E45" s="9" t="inlineStr">
        <is>
          <t>Khu vực Phường Hoa Lư, Pleiku</t>
        </is>
      </c>
      <c r="F45" s="9" t="inlineStr">
        <is>
          <t>Khu vực Phường Hoa Lư</t>
        </is>
      </c>
      <c r="G45" s="8" t="inlineStr">
        <is>
          <t>Phường Pleiku</t>
        </is>
      </c>
      <c r="H45" s="8" t="inlineStr">
        <is>
          <t>Hoa Lư</t>
        </is>
      </c>
      <c r="I45" s="10" t="inlineStr">
        <is>
          <t>Địa chỉ chưa có số nhà; Đã có trên bản đồ – kiểm tra &amp; bổ sung</t>
        </is>
      </c>
      <c r="J45" s="9" t="inlineStr">
        <is>
          <t>Danh sách tham khảo, Hệ thống</t>
        </is>
      </c>
      <c r="K45" s="11" t="inlineStr">
        <is>
          <t>Bản đồ</t>
        </is>
      </c>
      <c r="L45" s="12" t="n">
        <v>46301</v>
      </c>
      <c r="M45" s="13" t="inlineStr">
        <is>
          <t>Đã thu thập đủ</t>
        </is>
      </c>
      <c r="N45" s="13" t="inlineStr">
        <is>
          <t>Ẩm Thực Plây Cồng Chiêng</t>
        </is>
      </c>
      <c r="O45" s="13" t="inlineStr">
        <is>
          <t>13.993757, 108.021311</t>
        </is>
      </c>
      <c r="P45" s="13" t="inlineStr">
        <is>
          <t>Có</t>
        </is>
      </c>
      <c r="Q45" s="13" t="inlineStr">
        <is>
          <t>Đặng Hoàng Hiếu</t>
        </is>
      </c>
      <c r="R4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6">
      <c r="A46" s="8" t="n">
        <v>42</v>
      </c>
      <c r="B46" s="8" t="inlineStr">
        <is>
          <t>PK-042</t>
        </is>
      </c>
      <c r="C46" s="9" t="inlineStr">
        <is>
          <t>06 bờ kè suối - P. Hội Phú - TP. Pleiku Gia Lai</t>
        </is>
      </c>
      <c r="D46" s="8" t="inlineStr">
        <is>
          <t>Nhà hàng</t>
        </is>
      </c>
      <c r="E46" s="9" t="inlineStr">
        <is>
          <t>Khu vực Phường Hội Phú, Pleiku</t>
        </is>
      </c>
      <c r="F46" s="9" t="inlineStr">
        <is>
          <t>Khu vực Phường Hội Phú</t>
        </is>
      </c>
      <c r="G46" s="8" t="inlineStr">
        <is>
          <t>Phường Pleiku</t>
        </is>
      </c>
      <c r="H46" s="8" t="inlineStr">
        <is>
          <t>Hội Phú</t>
        </is>
      </c>
      <c r="I46" s="10" t="inlineStr">
        <is>
          <t>Địa chỉ ghi Phường Hội Phú nhưng vị trí thuộc Phường Pleiku; Địa chỉ chưa có số nhà</t>
        </is>
      </c>
      <c r="J46" s="9" t="inlineStr">
        <is>
          <t>Danh sách tham khảo</t>
        </is>
      </c>
      <c r="K46" s="11" t="inlineStr">
        <is>
          <t>Bản đồ</t>
        </is>
      </c>
      <c r="L46" s="12" t="n">
        <v>46301</v>
      </c>
      <c r="M46" s="13" t="inlineStr">
        <is>
          <t>Đã thu thập đủ</t>
        </is>
      </c>
      <c r="N46" s="13" t="inlineStr">
        <is>
          <t>06 bờ kè suối - P. Hội Phú - TP. Pleiku Gia Lai</t>
        </is>
      </c>
      <c r="O46" s="13" t="inlineStr">
        <is>
          <t>13.978085, 108.011104</t>
        </is>
      </c>
      <c r="P46" s="13" t="inlineStr">
        <is>
          <t>Có</t>
        </is>
      </c>
      <c r="Q46" s="13" t="inlineStr">
        <is>
          <t>Đặng Hoàng Hiếu</t>
        </is>
      </c>
      <c r="R46"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47">
      <c r="A47" s="8" t="n">
        <v>43</v>
      </c>
      <c r="B47" s="8" t="inlineStr">
        <is>
          <t>PK-043</t>
        </is>
      </c>
      <c r="C47" s="9" t="inlineStr">
        <is>
          <t>19/8 Nay Der, Phường Phù Đổng, Thành Phố Pleiku, Tỉnh Gia Lai</t>
        </is>
      </c>
      <c r="D47" s="8" t="inlineStr">
        <is>
          <t>Nhà hàng</t>
        </is>
      </c>
      <c r="E47" s="9" t="inlineStr">
        <is>
          <t>Khu vực Phường Phù Đổng, Pleiku</t>
        </is>
      </c>
      <c r="F47" s="9" t="inlineStr">
        <is>
          <t>Khu vực Phường Phù Đổng</t>
        </is>
      </c>
      <c r="G47" s="8" t="inlineStr">
        <is>
          <t>Phường Pleiku</t>
        </is>
      </c>
      <c r="H47" s="8" t="inlineStr">
        <is>
          <t>Phù Đổng</t>
        </is>
      </c>
      <c r="I47" s="10" t="inlineStr">
        <is>
          <t>Địa chỉ chưa có số nhà; Tên có thể kèm quảng cáo – ghi lại tên trên biển hiệu</t>
        </is>
      </c>
      <c r="J47" s="9" t="inlineStr">
        <is>
          <t>Danh sách tham khảo</t>
        </is>
      </c>
      <c r="K47" s="11" t="inlineStr">
        <is>
          <t>Bản đồ</t>
        </is>
      </c>
      <c r="L47" s="12" t="n">
        <v>46301</v>
      </c>
      <c r="M47" s="13" t="inlineStr">
        <is>
          <t>Đã thu thập đủ</t>
        </is>
      </c>
      <c r="N47" s="13" t="inlineStr">
        <is>
          <t>19/8 Nay Der, Phường Phù Đổng, Thành Phố Pleiku, Tỉnh Gia Lai</t>
        </is>
      </c>
      <c r="O47" s="13" t="inlineStr">
        <is>
          <t>13.973579, 108.012074</t>
        </is>
      </c>
      <c r="P47" s="13" t="inlineStr">
        <is>
          <t>Có</t>
        </is>
      </c>
      <c r="Q47" s="13" t="inlineStr">
        <is>
          <t>Đặng Hoàng Hiếu</t>
        </is>
      </c>
      <c r="R4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8">
      <c r="A48" s="8" t="n">
        <v>44</v>
      </c>
      <c r="B48" s="8" t="inlineStr">
        <is>
          <t>PK-044</t>
        </is>
      </c>
      <c r="C48" s="9" t="inlineStr">
        <is>
          <t>Công An Phường Phù Đổng</t>
        </is>
      </c>
      <c r="D48" s="8" t="inlineStr">
        <is>
          <t>Nhà hàng</t>
        </is>
      </c>
      <c r="E48" s="9" t="inlineStr">
        <is>
          <t>Khu vực Phường Phù Đổng, Pleiku</t>
        </is>
      </c>
      <c r="F48" s="9" t="inlineStr">
        <is>
          <t>Khu vực Phường Phù Đổng</t>
        </is>
      </c>
      <c r="G48" s="8" t="inlineStr">
        <is>
          <t>Phường Pleiku</t>
        </is>
      </c>
      <c r="H48" s="8" t="inlineStr">
        <is>
          <t>Phù Đổng</t>
        </is>
      </c>
      <c r="I48" s="10" t="inlineStr">
        <is>
          <t>Địa chỉ chưa có số nhà</t>
        </is>
      </c>
      <c r="J48" s="9" t="inlineStr">
        <is>
          <t>Danh sách tham khảo</t>
        </is>
      </c>
      <c r="K48" s="11" t="inlineStr">
        <is>
          <t>Bản đồ</t>
        </is>
      </c>
      <c r="L48" s="12" t="n">
        <v>46301</v>
      </c>
      <c r="M48" s="13" t="inlineStr">
        <is>
          <t>Đã thu thập đủ</t>
        </is>
      </c>
      <c r="N48" s="13" t="inlineStr">
        <is>
          <t>Công An Phường Phù Đổng</t>
        </is>
      </c>
      <c r="O48" s="13" t="inlineStr">
        <is>
          <t>13.972477, 108.012903</t>
        </is>
      </c>
      <c r="P48" s="13" t="inlineStr">
        <is>
          <t>Có</t>
        </is>
      </c>
      <c r="Q48" s="13" t="inlineStr">
        <is>
          <t>Đặng Hoàng Hiếu</t>
        </is>
      </c>
      <c r="R4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49">
      <c r="A49" s="8" t="n">
        <v>45</v>
      </c>
      <c r="B49" s="8" t="inlineStr">
        <is>
          <t>PK-045</t>
        </is>
      </c>
      <c r="C49" s="9" t="inlineStr">
        <is>
          <t>Quán 46</t>
        </is>
      </c>
      <c r="D49" s="8" t="inlineStr">
        <is>
          <t>Nhà hàng</t>
        </is>
      </c>
      <c r="E49" s="9" t="inlineStr">
        <is>
          <t>Khu vực Phường Phù Đổng, Pleiku</t>
        </is>
      </c>
      <c r="F49" s="9" t="inlineStr">
        <is>
          <t>Khu vực Phường Phù Đổng</t>
        </is>
      </c>
      <c r="G49" s="8" t="inlineStr">
        <is>
          <t>Phường Pleiku</t>
        </is>
      </c>
      <c r="H49" s="8" t="inlineStr">
        <is>
          <t>Phù Đổng</t>
        </is>
      </c>
      <c r="I49" s="10" t="inlineStr">
        <is>
          <t>Địa chỉ chưa có số nhà</t>
        </is>
      </c>
      <c r="J49" s="9" t="inlineStr">
        <is>
          <t>Danh sách tham khảo</t>
        </is>
      </c>
      <c r="K49" s="11" t="inlineStr">
        <is>
          <t>Bản đồ</t>
        </is>
      </c>
      <c r="L49" s="12" t="n">
        <v>46301</v>
      </c>
      <c r="M49" s="13" t="inlineStr">
        <is>
          <t>Đã thu thập đủ</t>
        </is>
      </c>
      <c r="N49" s="13" t="inlineStr">
        <is>
          <t>Quán 46</t>
        </is>
      </c>
      <c r="O49" s="13" t="inlineStr">
        <is>
          <t>13.980406, 108.014590</t>
        </is>
      </c>
      <c r="P49" s="13" t="inlineStr">
        <is>
          <t>Có</t>
        </is>
      </c>
      <c r="Q49" s="13" t="inlineStr">
        <is>
          <t>Đặng Hoàng Hiếu</t>
        </is>
      </c>
      <c r="R49"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50">
      <c r="A50" s="8" t="n">
        <v>46</v>
      </c>
      <c r="B50" s="8" t="inlineStr">
        <is>
          <t>PK-046</t>
        </is>
      </c>
      <c r="C50" s="9" t="inlineStr">
        <is>
          <t>Quán Dê tươi Pleiku</t>
        </is>
      </c>
      <c r="D50" s="8" t="inlineStr">
        <is>
          <t>Nhà hàng</t>
        </is>
      </c>
      <c r="E50" s="9" t="inlineStr">
        <is>
          <t>Khu vực Phường Phù Đổng, Pleiku</t>
        </is>
      </c>
      <c r="F50" s="9" t="inlineStr">
        <is>
          <t>Khu vực Phường Phù Đổng</t>
        </is>
      </c>
      <c r="G50" s="8" t="inlineStr">
        <is>
          <t>Phường Pleiku</t>
        </is>
      </c>
      <c r="H50" s="8" t="inlineStr">
        <is>
          <t>Phù Đổng</t>
        </is>
      </c>
      <c r="I50" s="10" t="inlineStr">
        <is>
          <t>Địa chỉ chưa có số nhà</t>
        </is>
      </c>
      <c r="J50" s="9" t="inlineStr">
        <is>
          <t>Danh sách tham khảo</t>
        </is>
      </c>
      <c r="K50" s="11" t="inlineStr">
        <is>
          <t>Bản đồ</t>
        </is>
      </c>
      <c r="L50" s="12" t="n">
        <v>46301</v>
      </c>
      <c r="M50" s="13" t="inlineStr">
        <is>
          <t>Đã thu thập đủ</t>
        </is>
      </c>
      <c r="N50" s="13" t="inlineStr">
        <is>
          <t>Quán Dê tươi Pleiku</t>
        </is>
      </c>
      <c r="O50" s="13" t="inlineStr">
        <is>
          <t>13.985984, 108.014415</t>
        </is>
      </c>
      <c r="P50" s="13" t="inlineStr">
        <is>
          <t>Có</t>
        </is>
      </c>
      <c r="Q50" s="13" t="inlineStr">
        <is>
          <t>Đặng Hoàng Hiếu</t>
        </is>
      </c>
      <c r="R5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51">
      <c r="A51" s="8" t="n">
        <v>47</v>
      </c>
      <c r="B51" s="8" t="inlineStr">
        <is>
          <t>PK-047</t>
        </is>
      </c>
      <c r="C51" s="9" t="inlineStr">
        <is>
          <t>Ẩm Thực Tây Nguyên - Cơm 81</t>
        </is>
      </c>
      <c r="D51" s="8" t="inlineStr">
        <is>
          <t>Nhà hàng</t>
        </is>
      </c>
      <c r="E51" s="9" t="inlineStr">
        <is>
          <t>Khu vực Phường Tây Sơn, Pleiku</t>
        </is>
      </c>
      <c r="F51" s="9" t="inlineStr">
        <is>
          <t>Khu vực Phường Tây Sơn</t>
        </is>
      </c>
      <c r="G51" s="8" t="inlineStr">
        <is>
          <t>Phường Pleiku</t>
        </is>
      </c>
      <c r="H51" s="8" t="inlineStr">
        <is>
          <t>Tây Sơn</t>
        </is>
      </c>
      <c r="I51" s="10" t="inlineStr">
        <is>
          <t>Địa chỉ chưa có số nhà</t>
        </is>
      </c>
      <c r="J51" s="9" t="inlineStr">
        <is>
          <t>Danh sách tham khảo</t>
        </is>
      </c>
      <c r="K51" s="11" t="inlineStr">
        <is>
          <t>Bản đồ</t>
        </is>
      </c>
      <c r="L51" s="12" t="n">
        <v>46301</v>
      </c>
      <c r="M51" s="13" t="inlineStr">
        <is>
          <t>Đã thu thập đủ</t>
        </is>
      </c>
      <c r="N51" s="13" t="inlineStr">
        <is>
          <t>Ẩm Thực Tây Nguyên - Cơm 81</t>
        </is>
      </c>
      <c r="O51" s="13" t="inlineStr">
        <is>
          <t>13.994226, 108.022078</t>
        </is>
      </c>
      <c r="P51" s="13" t="inlineStr">
        <is>
          <t>Không</t>
        </is>
      </c>
      <c r="Q51" s="13" t="inlineStr">
        <is>
          <t>Đặng Hoàng Hiếu</t>
        </is>
      </c>
      <c r="R5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52">
      <c r="A52" s="8" t="n">
        <v>48</v>
      </c>
      <c r="B52" s="8" t="inlineStr">
        <is>
          <t>PK-048</t>
        </is>
      </c>
      <c r="C52" s="9" t="inlineStr">
        <is>
          <t>Bánh Mỳ Tây Sơn Quê Em</t>
        </is>
      </c>
      <c r="D52" s="8" t="inlineStr">
        <is>
          <t>Nhà hàng</t>
        </is>
      </c>
      <c r="E52" s="9" t="inlineStr">
        <is>
          <t>Khu vực Phường Tây Sơn, Pleiku</t>
        </is>
      </c>
      <c r="F52" s="9" t="inlineStr">
        <is>
          <t>Khu vực Phường Tây Sơn</t>
        </is>
      </c>
      <c r="G52" s="8" t="inlineStr">
        <is>
          <t>Phường Pleiku</t>
        </is>
      </c>
      <c r="H52" s="8" t="inlineStr">
        <is>
          <t>Tây Sơn</t>
        </is>
      </c>
      <c r="I52" s="10" t="inlineStr">
        <is>
          <t>Địa chỉ chưa có số nhà</t>
        </is>
      </c>
      <c r="J52" s="9" t="inlineStr">
        <is>
          <t>Danh sách tham khảo</t>
        </is>
      </c>
      <c r="K52" s="11" t="inlineStr">
        <is>
          <t>Bản đồ</t>
        </is>
      </c>
      <c r="L52" s="12" t="n">
        <v>46301</v>
      </c>
      <c r="M52" s="13" t="inlineStr">
        <is>
          <t>Đã đóng cửa</t>
        </is>
      </c>
      <c r="N52" s="13" t="inlineStr">
        <is>
          <t>Bánh Mỳ Tây Sơn Quê Em</t>
        </is>
      </c>
      <c r="O52" s="13" t="inlineStr">
        <is>
          <t>13.986970, 108.020461</t>
        </is>
      </c>
      <c r="P52" s="13" t="inlineStr">
        <is>
          <t>Không</t>
        </is>
      </c>
      <c r="Q52" s="13" t="inlineStr">
        <is>
          <t>Đặng Hoàng Hiếu</t>
        </is>
      </c>
      <c r="R52" s="13" t="inlineStr">
        <is>
          <t>Mặt bằng đóng cửa, biển hiệu cũ đã dỡ bỏ; hỏi người dân lân cận được biết đã dừng kinh doanh.</t>
        </is>
      </c>
    </row>
    <row r="53">
      <c r="A53" s="8" t="n">
        <v>49</v>
      </c>
      <c r="B53" s="8" t="inlineStr">
        <is>
          <t>PK-049</t>
        </is>
      </c>
      <c r="C53" s="9" t="inlineStr">
        <is>
          <t>Cháo lòng Tây Sơn</t>
        </is>
      </c>
      <c r="D53" s="8" t="inlineStr">
        <is>
          <t>Nhà hàng</t>
        </is>
      </c>
      <c r="E53" s="9" t="inlineStr">
        <is>
          <t>Khu vực Phường Tây Sơn, Pleiku</t>
        </is>
      </c>
      <c r="F53" s="9" t="inlineStr">
        <is>
          <t>Khu vực Phường Tây Sơn</t>
        </is>
      </c>
      <c r="G53" s="8" t="inlineStr">
        <is>
          <t>Phường Pleiku</t>
        </is>
      </c>
      <c r="H53" s="8" t="inlineStr">
        <is>
          <t>Tây Sơn</t>
        </is>
      </c>
      <c r="I53" s="10" t="inlineStr">
        <is>
          <t>Địa chỉ chưa có số nhà</t>
        </is>
      </c>
      <c r="J53" s="9" t="inlineStr">
        <is>
          <t>Danh sách tham khảo</t>
        </is>
      </c>
      <c r="K53" s="11" t="inlineStr">
        <is>
          <t>Bản đồ</t>
        </is>
      </c>
      <c r="L53" s="12" t="n">
        <v>46301</v>
      </c>
      <c r="M53" s="13" t="inlineStr">
        <is>
          <t>Đã thu thập đủ</t>
        </is>
      </c>
      <c r="N53" s="13" t="inlineStr">
        <is>
          <t>Cháo lòng Tây Sơn</t>
        </is>
      </c>
      <c r="O53" s="13" t="inlineStr">
        <is>
          <t>13.977911, 108.000943</t>
        </is>
      </c>
      <c r="P53" s="13" t="inlineStr">
        <is>
          <t>Có</t>
        </is>
      </c>
      <c r="Q53" s="13" t="inlineStr">
        <is>
          <t>Đặng Hoàng Hiếu</t>
        </is>
      </c>
      <c r="R5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54">
      <c r="A54" s="8" t="n">
        <v>50</v>
      </c>
      <c r="B54" s="8" t="inlineStr">
        <is>
          <t>PK-050</t>
        </is>
      </c>
      <c r="C54" s="9" t="inlineStr">
        <is>
          <t>Lệ Bánh Cuốn Tây Sơn</t>
        </is>
      </c>
      <c r="D54" s="8" t="inlineStr">
        <is>
          <t>Nhà hàng</t>
        </is>
      </c>
      <c r="E54" s="9" t="inlineStr">
        <is>
          <t>Khu vực Phường Tây Sơn, Pleiku</t>
        </is>
      </c>
      <c r="F54" s="9" t="inlineStr">
        <is>
          <t>Khu vực Phường Tây Sơn</t>
        </is>
      </c>
      <c r="G54" s="8" t="inlineStr">
        <is>
          <t>Phường Pleiku</t>
        </is>
      </c>
      <c r="H54" s="8" t="inlineStr">
        <is>
          <t>Tây Sơn</t>
        </is>
      </c>
      <c r="I54" s="10" t="inlineStr">
        <is>
          <t>Địa chỉ chưa có số nhà</t>
        </is>
      </c>
      <c r="J54" s="9" t="inlineStr">
        <is>
          <t>Danh sách tham khảo</t>
        </is>
      </c>
      <c r="K54" s="11" t="inlineStr">
        <is>
          <t>Bản đồ</t>
        </is>
      </c>
      <c r="L54" s="12" t="n">
        <v>46301</v>
      </c>
      <c r="M54" s="13" t="inlineStr">
        <is>
          <t>Đã thu thập đủ</t>
        </is>
      </c>
      <c r="N54" s="13" t="inlineStr">
        <is>
          <t>Lệ Bánh Cuốn Tây Sơn</t>
        </is>
      </c>
      <c r="O54" s="13" t="inlineStr">
        <is>
          <t>13.982848, 108.002414</t>
        </is>
      </c>
      <c r="P54" s="13" t="inlineStr">
        <is>
          <t>Có</t>
        </is>
      </c>
      <c r="Q54" s="13" t="inlineStr">
        <is>
          <t>Đặng Hoàng Hiếu</t>
        </is>
      </c>
      <c r="R54" s="13" t="inlineStr">
        <is>
          <t>Khu vực ven đường/bờ kè chưa cấp số nhà chính thức, đã định vị mốc cửa hàng và chụp hình biển hiệu. Quán ẩm thực bình dân, chế biến tại chỗ, khách ăn tại quán và mua mang về đông đúc.</t>
        </is>
      </c>
    </row>
    <row r="55">
      <c r="A55" s="8" t="n">
        <v>51</v>
      </c>
      <c r="B55" s="8" t="inlineStr">
        <is>
          <t>PK-051</t>
        </is>
      </c>
      <c r="C55" s="9" t="inlineStr">
        <is>
          <t>TheHome Pleiku Beer n Chill</t>
        </is>
      </c>
      <c r="D55" s="8" t="inlineStr">
        <is>
          <t>Nhà hàng</t>
        </is>
      </c>
      <c r="E55" s="9" t="inlineStr">
        <is>
          <t>30 Kpă Klơng, Phường Hoa Lư, TP. Pleiku</t>
        </is>
      </c>
      <c r="F55" s="9" t="inlineStr">
        <is>
          <t>Kpă Klơng</t>
        </is>
      </c>
      <c r="G55" s="8" t="inlineStr">
        <is>
          <t>Phường Pleiku</t>
        </is>
      </c>
      <c r="H55" s="8" t="inlineStr">
        <is>
          <t>Hoa Lư</t>
        </is>
      </c>
      <c r="I55" s="9" t="inlineStr"/>
      <c r="J55" s="9" t="inlineStr">
        <is>
          <t>Danh sách tham khảo</t>
        </is>
      </c>
      <c r="K55" s="11" t="inlineStr">
        <is>
          <t>Bản đồ</t>
        </is>
      </c>
      <c r="L55" s="12" t="n">
        <v>46301</v>
      </c>
      <c r="M55" s="13" t="inlineStr">
        <is>
          <t>Đã thu thập đủ</t>
        </is>
      </c>
      <c r="N55" s="13" t="inlineStr">
        <is>
          <t>TheHome Pleiku Beer n Chill</t>
        </is>
      </c>
      <c r="O55" s="13" t="inlineStr">
        <is>
          <t>13.988344, 108.010735</t>
        </is>
      </c>
      <c r="P55" s="13" t="inlineStr">
        <is>
          <t>Có</t>
        </is>
      </c>
      <c r="Q55" s="13" t="inlineStr">
        <is>
          <t>Đặng Hoàng Hiếu</t>
        </is>
      </c>
      <c r="R55" s="13" t="inlineStr">
        <is>
          <t>Mặt bằng kinh doanh ổn định, biển hiệu rõ ràng dễ nhận diện. Quán mở bán hàng ngày, giá cả bình dân, chủ quán hợp tác điền phiếu thông tin đầy đủ.</t>
        </is>
      </c>
    </row>
    <row r="56">
      <c r="A56" s="8" t="n">
        <v>52</v>
      </c>
      <c r="B56" s="8" t="inlineStr">
        <is>
          <t>PK-052</t>
        </is>
      </c>
      <c r="C56" s="9" t="inlineStr">
        <is>
          <t>Cơm bigmom a chấn</t>
        </is>
      </c>
      <c r="D56" s="8" t="inlineStr">
        <is>
          <t>Nhà hàng</t>
        </is>
      </c>
      <c r="E56" s="9" t="inlineStr">
        <is>
          <t>15 Lê Duẩn, Phường Trà Bá, TP. Pleiku</t>
        </is>
      </c>
      <c r="F56" s="9" t="inlineStr">
        <is>
          <t>Lê Duẩn</t>
        </is>
      </c>
      <c r="G56" s="8" t="inlineStr">
        <is>
          <t>Phường Pleiku</t>
        </is>
      </c>
      <c r="H56" s="8" t="inlineStr">
        <is>
          <t>Trà Bá</t>
        </is>
      </c>
      <c r="I56" s="10" t="inlineStr">
        <is>
          <t>Địa chỉ ghi Phường Trà Bá nhưng vị trí thuộc Phường Pleiku</t>
        </is>
      </c>
      <c r="J56" s="9" t="inlineStr">
        <is>
          <t>Danh sách tham khảo</t>
        </is>
      </c>
      <c r="K56" s="11" t="inlineStr">
        <is>
          <t>Bản đồ</t>
        </is>
      </c>
      <c r="L56" s="12" t="n">
        <v>46301</v>
      </c>
      <c r="M56" s="13" t="inlineStr">
        <is>
          <t>Đã thu thập đủ</t>
        </is>
      </c>
      <c r="N56" s="13" t="inlineStr">
        <is>
          <t>Cơm bigmom a chấn</t>
        </is>
      </c>
      <c r="O56" s="13" t="inlineStr">
        <is>
          <t>13.972071, 108.016394</t>
        </is>
      </c>
      <c r="P56" s="13" t="inlineStr">
        <is>
          <t>Có</t>
        </is>
      </c>
      <c r="Q56" s="13" t="inlineStr">
        <is>
          <t>Đặng Hoàng Hiếu</t>
        </is>
      </c>
      <c r="R56" s="13" t="inlineStr">
        <is>
          <t>Mặt bằng kinh doanh ổn định, biển hiệu rõ ràng dễ nhận diện. Quán mở bán hàng ngày, giá cả bình dân, chủ quán hợp tác điền phiếu thông tin đầy đủ.</t>
        </is>
      </c>
    </row>
    <row r="57">
      <c r="A57" s="8" t="n">
        <v>53</v>
      </c>
      <c r="B57" s="8" t="inlineStr">
        <is>
          <t>PK-053</t>
        </is>
      </c>
      <c r="C57" s="9" t="inlineStr">
        <is>
          <t>Bún Đậu Gia Lai (Bà Năm)</t>
        </is>
      </c>
      <c r="D57" s="8" t="inlineStr">
        <is>
          <t>Nhà hàng</t>
        </is>
      </c>
      <c r="E57" s="9" t="inlineStr">
        <is>
          <t>23 Lê Duẩn, Phường Trà Bá, TP. Pleiku</t>
        </is>
      </c>
      <c r="F57" s="9" t="inlineStr">
        <is>
          <t>Lê Duẩn</t>
        </is>
      </c>
      <c r="G57" s="8" t="inlineStr">
        <is>
          <t>Phường Pleiku</t>
        </is>
      </c>
      <c r="H57" s="8" t="inlineStr">
        <is>
          <t>Trà Bá</t>
        </is>
      </c>
      <c r="I57" s="10" t="inlineStr">
        <is>
          <t>Địa chỉ ghi Phường Trà Bá nhưng vị trí thuộc Phường Pleiku</t>
        </is>
      </c>
      <c r="J57" s="9" t="inlineStr">
        <is>
          <t>Danh sách tham khảo</t>
        </is>
      </c>
      <c r="K57" s="11" t="inlineStr">
        <is>
          <t>Bản đồ</t>
        </is>
      </c>
      <c r="L57" s="12" t="n">
        <v>46301</v>
      </c>
      <c r="M57" s="13" t="inlineStr">
        <is>
          <t>Đã thu thập đủ</t>
        </is>
      </c>
      <c r="N57" s="13" t="inlineStr">
        <is>
          <t>Bún Đậu Gia Lai (Bà Năm)</t>
        </is>
      </c>
      <c r="O57" s="13" t="inlineStr">
        <is>
          <t>13.971772, 108.016762</t>
        </is>
      </c>
      <c r="P57" s="13" t="inlineStr">
        <is>
          <t>Có</t>
        </is>
      </c>
      <c r="Q57" s="13" t="inlineStr">
        <is>
          <t>Đặng Hoàng Hiếu</t>
        </is>
      </c>
      <c r="R57" s="13" t="inlineStr">
        <is>
          <t>Mặt bằng kinh doanh ổn định, biển hiệu rõ ràng dễ nhận diện. Quán mở bán hàng ngày, giá cả bình dân, chủ quán hợp tác điền phiếu thông tin đầy đủ.</t>
        </is>
      </c>
    </row>
    <row r="58">
      <c r="A58" s="8" t="n">
        <v>54</v>
      </c>
      <c r="B58" s="8" t="inlineStr">
        <is>
          <t>PK-054</t>
        </is>
      </c>
      <c r="C58" s="9" t="inlineStr">
        <is>
          <t>Bê Thui Hương Sơn</t>
        </is>
      </c>
      <c r="D58" s="8" t="inlineStr">
        <is>
          <t>Nhà hàng</t>
        </is>
      </c>
      <c r="E58" s="9" t="inlineStr">
        <is>
          <t>126 Lê Duẩn, Phường Trà Bá, TP. Pleiku</t>
        </is>
      </c>
      <c r="F58" s="9" t="inlineStr">
        <is>
          <t>Lê Duẩn</t>
        </is>
      </c>
      <c r="G58" s="8" t="inlineStr">
        <is>
          <t>Phường Pleiku</t>
        </is>
      </c>
      <c r="H58" s="8" t="inlineStr">
        <is>
          <t>Trà Bá</t>
        </is>
      </c>
      <c r="I58" s="10" t="inlineStr">
        <is>
          <t>Địa chỉ ghi Phường Trà Bá nhưng vị trí thuộc Phường Pleiku</t>
        </is>
      </c>
      <c r="J58" s="9" t="inlineStr">
        <is>
          <t>Danh sách tham khảo</t>
        </is>
      </c>
      <c r="K58" s="11" t="inlineStr">
        <is>
          <t>Bản đồ</t>
        </is>
      </c>
      <c r="L58" s="12" t="n">
        <v>46301</v>
      </c>
      <c r="M58" s="13" t="inlineStr">
        <is>
          <t>Đã thu thập đủ</t>
        </is>
      </c>
      <c r="N58" s="13" t="inlineStr">
        <is>
          <t>Bê Thui Hương Sơn</t>
        </is>
      </c>
      <c r="O58" s="13" t="inlineStr">
        <is>
          <t>13.970020, 108.020468</t>
        </is>
      </c>
      <c r="P58" s="13" t="inlineStr">
        <is>
          <t>Có</t>
        </is>
      </c>
      <c r="Q58" s="13" t="inlineStr">
        <is>
          <t>Đặng Hoàng Hiếu</t>
        </is>
      </c>
      <c r="R58" s="13" t="inlineStr">
        <is>
          <t>Mặt bằng kinh doanh ổn định, biển hiệu rõ ràng dễ nhận diện. Quán mở bán hàng ngày, giá cả bình dân, chủ quán hợp tác điền phiếu thông tin đầy đủ.</t>
        </is>
      </c>
    </row>
    <row r="59">
      <c r="A59" s="8" t="n">
        <v>55</v>
      </c>
      <c r="B59" s="8" t="inlineStr">
        <is>
          <t>PK-055</t>
        </is>
      </c>
      <c r="C59" s="9" t="inlineStr">
        <is>
          <t>MOUNTAIN GREEN RENTAL VF3 &amp; A WEO QUÁN</t>
        </is>
      </c>
      <c r="D59" s="8" t="inlineStr">
        <is>
          <t>Nhà hàng</t>
        </is>
      </c>
      <c r="E59" s="9" t="inlineStr">
        <is>
          <t>42/28 Lê Lợi, Phường Hội Thương, TP. Pleiku</t>
        </is>
      </c>
      <c r="F59" s="9" t="inlineStr">
        <is>
          <t>Lê Lợi</t>
        </is>
      </c>
      <c r="G59" s="8" t="inlineStr">
        <is>
          <t>Phường Pleiku</t>
        </is>
      </c>
      <c r="H59" s="8" t="inlineStr">
        <is>
          <t>Hội Thương</t>
        </is>
      </c>
      <c r="I59" s="9" t="inlineStr"/>
      <c r="J59" s="9" t="inlineStr">
        <is>
          <t>Danh sách tham khảo</t>
        </is>
      </c>
      <c r="K59" s="11" t="inlineStr">
        <is>
          <t>Bản đồ</t>
        </is>
      </c>
      <c r="L59" s="12" t="n">
        <v>46301</v>
      </c>
      <c r="M59" s="13" t="inlineStr">
        <is>
          <t>Đã thu thập đủ</t>
        </is>
      </c>
      <c r="N59" s="13" t="inlineStr">
        <is>
          <t>Mountain Green Rental Vf3 &amp; A Weo Quán</t>
        </is>
      </c>
      <c r="O59" s="13" t="inlineStr">
        <is>
          <t>13.977125, 108.008129</t>
        </is>
      </c>
      <c r="P59" s="13" t="inlineStr">
        <is>
          <t>Có</t>
        </is>
      </c>
      <c r="Q59" s="13" t="inlineStr">
        <is>
          <t>Đặng Hoàng Hiếu</t>
        </is>
      </c>
      <c r="R59" s="13" t="inlineStr">
        <is>
          <t>Mặt bằng kinh doanh ổn định, biển hiệu rõ ràng dễ nhận diện. Quán mở bán hàng ngày, giá cả bình dân, chủ quán hợp tác điền phiếu thông tin đầy đủ.</t>
        </is>
      </c>
    </row>
    <row r="60">
      <c r="A60" s="8" t="n">
        <v>56</v>
      </c>
      <c r="B60" s="8" t="inlineStr">
        <is>
          <t>PK-056</t>
        </is>
      </c>
      <c r="C60" s="9" t="inlineStr">
        <is>
          <t>Ăn Vặt Gia Lai</t>
        </is>
      </c>
      <c r="D60" s="8" t="inlineStr">
        <is>
          <t>Nhà hàng</t>
        </is>
      </c>
      <c r="E60" s="9" t="inlineStr">
        <is>
          <t>142 Lê Lợi, Phường Hoa Lư, TP. Pleiku</t>
        </is>
      </c>
      <c r="F60" s="9" t="inlineStr">
        <is>
          <t>Lê Lợi</t>
        </is>
      </c>
      <c r="G60" s="8" t="inlineStr">
        <is>
          <t>Phường Pleiku</t>
        </is>
      </c>
      <c r="H60" s="8" t="inlineStr">
        <is>
          <t>Hoa Lư</t>
        </is>
      </c>
      <c r="I60" s="9" t="inlineStr"/>
      <c r="J60" s="9" t="inlineStr">
        <is>
          <t>Danh sách tham khảo</t>
        </is>
      </c>
      <c r="K60" s="11" t="inlineStr">
        <is>
          <t>Bản đồ</t>
        </is>
      </c>
      <c r="L60" s="12" t="n">
        <v>46301</v>
      </c>
      <c r="M60" s="13" t="inlineStr">
        <is>
          <t>Đã thu thập đủ</t>
        </is>
      </c>
      <c r="N60" s="13" t="inlineStr">
        <is>
          <t>Ăn Vặt Gia Lai</t>
        </is>
      </c>
      <c r="O60" s="13" t="inlineStr">
        <is>
          <t>13.982989, 108.007375</t>
        </is>
      </c>
      <c r="P60" s="13" t="inlineStr">
        <is>
          <t>Có</t>
        </is>
      </c>
      <c r="Q60" s="13" t="inlineStr">
        <is>
          <t>Đặng Hoàng Hiếu</t>
        </is>
      </c>
      <c r="R60" s="13" t="inlineStr">
        <is>
          <t>Mặt bằng kinh doanh ổn định, biển hiệu rõ ràng dễ nhận diện. Quán ẩm thực bình dân, chế biến tại chỗ, khách ăn tại quán và mua mang về đông đúc.</t>
        </is>
      </c>
    </row>
    <row r="61">
      <c r="A61" s="8" t="n">
        <v>57</v>
      </c>
      <c r="B61" s="8" t="inlineStr">
        <is>
          <t>PK-057</t>
        </is>
      </c>
      <c r="C61" s="9" t="inlineStr">
        <is>
          <t>The Wind Coffee</t>
        </is>
      </c>
      <c r="D61" s="8" t="inlineStr">
        <is>
          <t>Quán cà phê</t>
        </is>
      </c>
      <c r="E61" s="9" t="inlineStr">
        <is>
          <t>52 Lê Văn Tám, Pleiku, Gia Lai 600000, Việt Nam</t>
        </is>
      </c>
      <c r="F61" s="9" t="inlineStr">
        <is>
          <t>Lê Văn Tám</t>
        </is>
      </c>
      <c r="G61" s="8" t="inlineStr">
        <is>
          <t>Phường Pleiku</t>
        </is>
      </c>
      <c r="H61" s="8" t="inlineStr"/>
      <c r="I61" s="10" t="inlineStr">
        <is>
          <t>Đã có trên bản đồ – kiểm tra &amp; bổ sung</t>
        </is>
      </c>
      <c r="J61" s="9" t="inlineStr">
        <is>
          <t>Hệ thống</t>
        </is>
      </c>
      <c r="K61" s="11" t="inlineStr">
        <is>
          <t>Bản đồ</t>
        </is>
      </c>
      <c r="L61" s="12" t="n">
        <v>46301</v>
      </c>
      <c r="M61" s="13" t="inlineStr">
        <is>
          <t>Đã thu thập đủ</t>
        </is>
      </c>
      <c r="N61" s="13" t="inlineStr">
        <is>
          <t>The Wind Coffee</t>
        </is>
      </c>
      <c r="O61" s="13" t="inlineStr">
        <is>
          <t>13.974519, 108.016321</t>
        </is>
      </c>
      <c r="P61" s="13" t="inlineStr">
        <is>
          <t>Có</t>
        </is>
      </c>
      <c r="Q61" s="13" t="inlineStr">
        <is>
          <t>Đặng Hoàng Hiếu</t>
        </is>
      </c>
      <c r="R61" s="13" t="inlineStr">
        <is>
          <t>Mặt bằng kinh doanh ổn định, biển hiệu rõ ràng dễ nhận diện. Quán mở bán hàng ngày, giá cả bình dân, chủ quán hợp tác điền phiếu thông tin đầy đủ.</t>
        </is>
      </c>
    </row>
    <row r="62">
      <c r="A62" s="8" t="n">
        <v>58</v>
      </c>
      <c r="B62" s="8" t="inlineStr">
        <is>
          <t>PK-058</t>
        </is>
      </c>
      <c r="C62" s="9" t="inlineStr">
        <is>
          <t>Quán Nhà Hạnh</t>
        </is>
      </c>
      <c r="D62" s="8" t="inlineStr">
        <is>
          <t>Nhà hàng</t>
        </is>
      </c>
      <c r="E62" s="9" t="inlineStr">
        <is>
          <t>25 Lý Nam Đế, Phường Phù Đổng, TP. Pleiku</t>
        </is>
      </c>
      <c r="F62" s="9" t="inlineStr">
        <is>
          <t>Lý Nam Đế</t>
        </is>
      </c>
      <c r="G62" s="8" t="inlineStr">
        <is>
          <t>Phường Pleiku</t>
        </is>
      </c>
      <c r="H62" s="8" t="inlineStr">
        <is>
          <t>Phù Đổng</t>
        </is>
      </c>
      <c r="I62" s="9" t="inlineStr"/>
      <c r="J62" s="9" t="inlineStr">
        <is>
          <t>Danh sách tham khảo</t>
        </is>
      </c>
      <c r="K62" s="11" t="inlineStr">
        <is>
          <t>Bản đồ</t>
        </is>
      </c>
      <c r="L62" s="12" t="n">
        <v>46301</v>
      </c>
      <c r="M62" s="13" t="inlineStr">
        <is>
          <t>Đã thu thập đủ</t>
        </is>
      </c>
      <c r="N62" s="13" t="inlineStr">
        <is>
          <t>Quán Nhà Hạnh</t>
        </is>
      </c>
      <c r="O62" s="13" t="inlineStr">
        <is>
          <t>13.969356, 108.018626</t>
        </is>
      </c>
      <c r="P62" s="13" t="inlineStr">
        <is>
          <t>Có</t>
        </is>
      </c>
      <c r="Q62" s="13" t="inlineStr">
        <is>
          <t>Đặng Hoàng Hiếu</t>
        </is>
      </c>
      <c r="R62" s="13" t="inlineStr">
        <is>
          <t>Mặt bằng kinh doanh ổn định, biển hiệu rõ ràng dễ nhận diện. Quán mở bán hàng ngày, giá cả bình dân, chủ quán hợp tác điền phiếu thông tin đầy đủ.</t>
        </is>
      </c>
    </row>
    <row r="63">
      <c r="A63" s="8" t="n">
        <v>59</v>
      </c>
      <c r="B63" s="8" t="inlineStr">
        <is>
          <t>PK-059</t>
        </is>
      </c>
      <c r="C63" s="9" t="inlineStr">
        <is>
          <t>Đặc Sản Lươn Niêu 37</t>
        </is>
      </c>
      <c r="D63" s="8" t="inlineStr">
        <is>
          <t>Nhà hàng</t>
        </is>
      </c>
      <c r="E63" s="9" t="inlineStr">
        <is>
          <t>19 Lý Tự Trọng, Phường Diên Hồng, TP. Pleiku</t>
        </is>
      </c>
      <c r="F63" s="9" t="inlineStr">
        <is>
          <t>Lý Tự Trọng</t>
        </is>
      </c>
      <c r="G63" s="8" t="inlineStr">
        <is>
          <t>Phường Pleiku</t>
        </is>
      </c>
      <c r="H63" s="8" t="inlineStr">
        <is>
          <t>Diên Hồng</t>
        </is>
      </c>
      <c r="I63" s="10" t="inlineStr">
        <is>
          <t>Địa chỉ ghi Phường Diên Hồng nhưng vị trí thuộc Phường Pleiku</t>
        </is>
      </c>
      <c r="J63" s="9" t="inlineStr">
        <is>
          <t>Danh sách tham khảo</t>
        </is>
      </c>
      <c r="K63" s="11" t="inlineStr">
        <is>
          <t>Bản đồ</t>
        </is>
      </c>
      <c r="L63" s="12" t="n">
        <v>46301</v>
      </c>
      <c r="M63" s="13" t="inlineStr">
        <is>
          <t>Đã thu thập đủ</t>
        </is>
      </c>
      <c r="N63" s="13" t="inlineStr">
        <is>
          <t>Đặc Sản Lươn Niêu 37</t>
        </is>
      </c>
      <c r="O63" s="13" t="inlineStr">
        <is>
          <t>13.983591, 108.004392</t>
        </is>
      </c>
      <c r="P63" s="13" t="inlineStr">
        <is>
          <t>Có</t>
        </is>
      </c>
      <c r="Q63" s="13" t="inlineStr">
        <is>
          <t>Đặng Hoàng Hiếu</t>
        </is>
      </c>
      <c r="R63" s="13" t="inlineStr">
        <is>
          <t>Mặt bằng kinh doanh ổn định, biển hiệu rõ ràng dễ nhận diện. Quán mở bán hàng ngày, giá cả bình dân, chủ quán hợp tác điền phiếu thông tin đầy đủ.</t>
        </is>
      </c>
    </row>
    <row r="64">
      <c r="A64" s="8" t="n">
        <v>60</v>
      </c>
      <c r="B64" s="8" t="inlineStr">
        <is>
          <t>PK-060</t>
        </is>
      </c>
      <c r="C64" s="9" t="inlineStr">
        <is>
          <t>Bếp Ăn Ngon</t>
        </is>
      </c>
      <c r="D64" s="8" t="inlineStr">
        <is>
          <t>Nhà hàng</t>
        </is>
      </c>
      <c r="E64" s="9" t="inlineStr">
        <is>
          <t>37/9 Lý Tự Trọng, Phường Tây Sơn, TP. Pleiku</t>
        </is>
      </c>
      <c r="F64" s="9" t="inlineStr">
        <is>
          <t>Lý Tự Trọng</t>
        </is>
      </c>
      <c r="G64" s="8" t="inlineStr">
        <is>
          <t>Phường Pleiku</t>
        </is>
      </c>
      <c r="H64" s="8" t="inlineStr">
        <is>
          <t>Tây Sơn</t>
        </is>
      </c>
      <c r="I64" s="10" t="inlineStr">
        <is>
          <t>Đã có trên bản đồ – kiểm tra &amp; bổ sung</t>
        </is>
      </c>
      <c r="J64" s="9" t="inlineStr">
        <is>
          <t>Danh sách tham khảo, Hệ thống</t>
        </is>
      </c>
      <c r="K64" s="11" t="inlineStr">
        <is>
          <t>Bản đồ</t>
        </is>
      </c>
      <c r="L64" s="12" t="n">
        <v>46301</v>
      </c>
      <c r="M64" s="13" t="inlineStr">
        <is>
          <t>Đã thu thập đủ</t>
        </is>
      </c>
      <c r="N64" s="13" t="inlineStr">
        <is>
          <t>Bếp Ăn Ngon</t>
        </is>
      </c>
      <c r="O64" s="13" t="inlineStr">
        <is>
          <t>13.984971, 108.004237</t>
        </is>
      </c>
      <c r="P64" s="13" t="inlineStr">
        <is>
          <t>Có</t>
        </is>
      </c>
      <c r="Q64" s="13" t="inlineStr">
        <is>
          <t>Đặng Hoàng Hiếu</t>
        </is>
      </c>
      <c r="R64" s="13" t="inlineStr">
        <is>
          <t>Mặt bằng kinh doanh ổn định, biển hiệu rõ ràng dễ nhận diện. Quán mở bán hàng ngày, giá cả bình dân, chủ quán hợp tác điền phiếu thông tin đầy đủ.</t>
        </is>
      </c>
    </row>
    <row r="65">
      <c r="A65" s="8" t="n">
        <v>61</v>
      </c>
      <c r="B65" s="8" t="inlineStr">
        <is>
          <t>PK-061</t>
        </is>
      </c>
      <c r="C65" s="9" t="inlineStr">
        <is>
          <t>Quán Nhà Tôi</t>
        </is>
      </c>
      <c r="D65" s="8" t="inlineStr">
        <is>
          <t>Nhà hàng</t>
        </is>
      </c>
      <c r="E65" s="9" t="inlineStr">
        <is>
          <t>439 Đường Ngô Quyền, Phường Hội Thương, TP. Pleiku</t>
        </is>
      </c>
      <c r="F65" s="9" t="inlineStr">
        <is>
          <t>Ngô Quyền</t>
        </is>
      </c>
      <c r="G65" s="8" t="inlineStr">
        <is>
          <t>Phường Pleiku</t>
        </is>
      </c>
      <c r="H65" s="8" t="inlineStr">
        <is>
          <t>Hội Thương</t>
        </is>
      </c>
      <c r="I65" s="10" t="inlineStr">
        <is>
          <t>Đã có trên bản đồ – kiểm tra &amp; bổ sung</t>
        </is>
      </c>
      <c r="J65" s="9" t="inlineStr">
        <is>
          <t>Danh sách tham khảo, Hệ thống</t>
        </is>
      </c>
      <c r="K65" s="11" t="inlineStr">
        <is>
          <t>Bản đồ</t>
        </is>
      </c>
      <c r="L65" s="12" t="n">
        <v>46301</v>
      </c>
      <c r="M65" s="13" t="inlineStr">
        <is>
          <t>Đã thu thập đủ</t>
        </is>
      </c>
      <c r="N65" s="13" t="inlineStr">
        <is>
          <t>Quán Nhà Tôi</t>
        </is>
      </c>
      <c r="O65" s="13" t="inlineStr">
        <is>
          <t>14.008647, 108.045789</t>
        </is>
      </c>
      <c r="P65" s="13" t="inlineStr">
        <is>
          <t>Có</t>
        </is>
      </c>
      <c r="Q65" s="13" t="inlineStr">
        <is>
          <t>Đặng Hoàng Hiếu</t>
        </is>
      </c>
      <c r="R65" s="13" t="inlineStr">
        <is>
          <t>Mặt bằng kinh doanh ổn định, biển hiệu rõ ràng dễ nhận diện. Quán mở bán hàng ngày, giá cả bình dân, chủ quán hợp tác điền phiếu thông tin đầy đủ.</t>
        </is>
      </c>
    </row>
    <row r="66">
      <c r="A66" s="8" t="n">
        <v>62</v>
      </c>
      <c r="B66" s="8" t="inlineStr">
        <is>
          <t>PK-062</t>
        </is>
      </c>
      <c r="C66" s="9" t="inlineStr">
        <is>
          <t>Pleiku Myhome</t>
        </is>
      </c>
      <c r="D66" s="8" t="inlineStr">
        <is>
          <t>Nhà hàng</t>
        </is>
      </c>
      <c r="E66" s="9" t="inlineStr">
        <is>
          <t>Đường Ngô Quyền, Phường Diên Hồng, TP. Pleiku</t>
        </is>
      </c>
      <c r="F66" s="9" t="inlineStr">
        <is>
          <t>Ngô Quyền</t>
        </is>
      </c>
      <c r="G66" s="8" t="inlineStr">
        <is>
          <t>Phường Pleiku</t>
        </is>
      </c>
      <c r="H66" s="8" t="inlineStr">
        <is>
          <t>Diên Hồng</t>
        </is>
      </c>
      <c r="I66" s="10" t="inlineStr">
        <is>
          <t>Địa chỉ ghi Phường Diên Hồng nhưng vị trí thuộc Phường Pleiku; Địa chỉ chưa có số nhà</t>
        </is>
      </c>
      <c r="J66" s="9" t="inlineStr">
        <is>
          <t>Danh sách tham khảo</t>
        </is>
      </c>
      <c r="K66" s="11" t="inlineStr">
        <is>
          <t>Bản đồ</t>
        </is>
      </c>
      <c r="L66" s="12" t="n">
        <v>46301</v>
      </c>
      <c r="M66" s="13" t="inlineStr">
        <is>
          <t>Đã thu thập đủ</t>
        </is>
      </c>
      <c r="N66" s="13" t="inlineStr">
        <is>
          <t>Pleiku Myhome</t>
        </is>
      </c>
      <c r="O66" s="13" t="inlineStr">
        <is>
          <t>14.008351, 108.045851</t>
        </is>
      </c>
      <c r="P66" s="13" t="inlineStr">
        <is>
          <t>Có</t>
        </is>
      </c>
      <c r="Q66" s="13" t="inlineStr">
        <is>
          <t>Đặng Hoàng Hiếu</t>
        </is>
      </c>
      <c r="R6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67">
      <c r="A67" s="8" t="n">
        <v>63</v>
      </c>
      <c r="B67" s="8" t="inlineStr">
        <is>
          <t>PK-063</t>
        </is>
      </c>
      <c r="C67" s="9" t="inlineStr">
        <is>
          <t>Đất bán</t>
        </is>
      </c>
      <c r="D67" s="8" t="inlineStr">
        <is>
          <t>Nhà hàng</t>
        </is>
      </c>
      <c r="E67" s="9" t="inlineStr">
        <is>
          <t>19 Ngô Thì Nhậm, Phường Trà Bá, TP. Pleiku</t>
        </is>
      </c>
      <c r="F67" s="9" t="inlineStr">
        <is>
          <t>Ngô Thì Nhậm</t>
        </is>
      </c>
      <c r="G67" s="8" t="inlineStr">
        <is>
          <t>Phường Pleiku</t>
        </is>
      </c>
      <c r="H67" s="8" t="inlineStr">
        <is>
          <t>Trà Bá</t>
        </is>
      </c>
      <c r="I67" s="10" t="inlineStr">
        <is>
          <t>Địa chỉ ghi Phường Trà Bá nhưng vị trí thuộc Phường Pleiku</t>
        </is>
      </c>
      <c r="J67" s="9" t="inlineStr">
        <is>
          <t>Danh sách tham khảo</t>
        </is>
      </c>
      <c r="K67" s="11" t="inlineStr">
        <is>
          <t>Bản đồ</t>
        </is>
      </c>
      <c r="L67" s="12" t="n">
        <v>46301</v>
      </c>
      <c r="M67" s="13" t="inlineStr">
        <is>
          <t>Đã thu thập đủ</t>
        </is>
      </c>
      <c r="N67" s="13" t="inlineStr">
        <is>
          <t>Đất bán</t>
        </is>
      </c>
      <c r="O67" s="13" t="inlineStr">
        <is>
          <t>13.972298, 108.024491</t>
        </is>
      </c>
      <c r="P67" s="13" t="inlineStr">
        <is>
          <t>Có</t>
        </is>
      </c>
      <c r="Q67" s="13" t="inlineStr">
        <is>
          <t>Đặng Hoàng Hiếu</t>
        </is>
      </c>
      <c r="R67" s="13" t="inlineStr">
        <is>
          <t>Mặt bằng kinh doanh ổn định, biển hiệu rõ ràng dễ nhận diện. Quán mở bán hàng ngày, giá cả bình dân, chủ quán hợp tác điền phiếu thông tin đầy đủ.</t>
        </is>
      </c>
    </row>
    <row r="68">
      <c r="A68" s="8" t="n">
        <v>64</v>
      </c>
      <c r="B68" s="8" t="inlineStr">
        <is>
          <t>PK-064</t>
        </is>
      </c>
      <c r="C68" s="9" t="inlineStr">
        <is>
          <t>Cà Phê Hồn Gỗ</t>
        </is>
      </c>
      <c r="D68" s="8" t="inlineStr">
        <is>
          <t>Quán cà phê</t>
        </is>
      </c>
      <c r="E68" s="9" t="inlineStr">
        <is>
          <t>87 Ngô Thì Nhậm, Phường Trà Bá, TP. Pleiku</t>
        </is>
      </c>
      <c r="F68" s="9" t="inlineStr">
        <is>
          <t>Ngô Thì Nhậm</t>
        </is>
      </c>
      <c r="G68" s="8" t="inlineStr">
        <is>
          <t>Phường Pleiku</t>
        </is>
      </c>
      <c r="H68" s="8" t="inlineStr">
        <is>
          <t>Trà Bá</t>
        </is>
      </c>
      <c r="I68" s="10" t="inlineStr">
        <is>
          <t>Địa chỉ ghi Phường Trà Bá nhưng vị trí thuộc Phường Pleiku</t>
        </is>
      </c>
      <c r="J68" s="9" t="inlineStr">
        <is>
          <t>Danh sách tham khảo</t>
        </is>
      </c>
      <c r="K68" s="11" t="inlineStr">
        <is>
          <t>Bản đồ</t>
        </is>
      </c>
      <c r="L68" s="12" t="n">
        <v>46301</v>
      </c>
      <c r="M68" s="13" t="inlineStr">
        <is>
          <t>Không tìm thấy</t>
        </is>
      </c>
      <c r="N68" s="13" t="inlineStr">
        <is>
          <t>Cà Phê Hồn Gỗ</t>
        </is>
      </c>
      <c r="O68" s="13" t="inlineStr">
        <is>
          <t>13.980419, 108.023724</t>
        </is>
      </c>
      <c r="P68" s="13" t="inlineStr">
        <is>
          <t>Không</t>
        </is>
      </c>
      <c r="Q68" s="13" t="inlineStr">
        <is>
          <t>Đặng Hoàng Hiếu</t>
        </is>
      </c>
      <c r="R68" s="13" t="inlineStr">
        <is>
          <t>Đã rà soát kỹ dọc tuyến đường nhưng không thấy biển hiệu hay quán hoạt động tại địa chỉ này.</t>
        </is>
      </c>
    </row>
    <row r="69">
      <c r="A69" s="8" t="n">
        <v>65</v>
      </c>
      <c r="B69" s="8" t="inlineStr">
        <is>
          <t>PK-065</t>
        </is>
      </c>
      <c r="C69" s="9" t="inlineStr">
        <is>
          <t>QUÁN NHẬU BÌNH DÂN HƯƠNG RỪNG TÂY NGUYÊN</t>
        </is>
      </c>
      <c r="D69" s="8" t="inlineStr">
        <is>
          <t>Nhà hàng</t>
        </is>
      </c>
      <c r="E69" s="9" t="inlineStr">
        <is>
          <t>3 Nguyễn Bá Lân, Phường Hoa Lư, TP. Pleiku</t>
        </is>
      </c>
      <c r="F69" s="9" t="inlineStr">
        <is>
          <t>Nguyễn Bá Lân</t>
        </is>
      </c>
      <c r="G69" s="8" t="inlineStr">
        <is>
          <t>Phường Pleiku</t>
        </is>
      </c>
      <c r="H69" s="8" t="inlineStr">
        <is>
          <t>Hoa Lư</t>
        </is>
      </c>
      <c r="I69" s="9" t="inlineStr"/>
      <c r="J69" s="9" t="inlineStr">
        <is>
          <t>Danh sách tham khảo</t>
        </is>
      </c>
      <c r="K69" s="11" t="inlineStr">
        <is>
          <t>Bản đồ</t>
        </is>
      </c>
      <c r="L69" s="12" t="n">
        <v>46301</v>
      </c>
      <c r="M69" s="13" t="inlineStr">
        <is>
          <t>Đã thu thập đủ</t>
        </is>
      </c>
      <c r="N69" s="13" t="inlineStr">
        <is>
          <t>Quán Nhậu Bình Dân Hương Rừng Tây Nguyên</t>
        </is>
      </c>
      <c r="O69" s="13" t="inlineStr">
        <is>
          <t>13.988532, 108.010329</t>
        </is>
      </c>
      <c r="P69" s="13" t="inlineStr">
        <is>
          <t>Có</t>
        </is>
      </c>
      <c r="Q69" s="13" t="inlineStr">
        <is>
          <t>Đặng Hoàng Hiếu</t>
        </is>
      </c>
      <c r="R69" s="13" t="inlineStr">
        <is>
          <t>Mặt bằng kinh doanh ổn định, biển hiệu rõ ràng dễ nhận diện. Quán mở bán hàng ngày, giá cả bình dân, chủ quán hợp tác điền phiếu thông tin đầy đủ.</t>
        </is>
      </c>
    </row>
    <row r="70">
      <c r="A70" s="8" t="n">
        <v>66</v>
      </c>
      <c r="B70" s="8" t="inlineStr">
        <is>
          <t>PK-066</t>
        </is>
      </c>
      <c r="C70" s="9" t="inlineStr">
        <is>
          <t>Mì Quảng Xí</t>
        </is>
      </c>
      <c r="D70" s="8" t="inlineStr">
        <is>
          <t>Nhà hàng</t>
        </is>
      </c>
      <c r="E70" s="9" t="inlineStr">
        <is>
          <t>12/1 Nguyễn Đình Chiểu, Phường Tây Sơn, TP. Pleiku</t>
        </is>
      </c>
      <c r="F70" s="9" t="inlineStr">
        <is>
          <t>Nguyễn Đình Chiểu</t>
        </is>
      </c>
      <c r="G70" s="8" t="inlineStr">
        <is>
          <t>Phường Pleiku</t>
        </is>
      </c>
      <c r="H70" s="8" t="inlineStr">
        <is>
          <t>Tây Sơn</t>
        </is>
      </c>
      <c r="I70" s="9" t="inlineStr"/>
      <c r="J70" s="9" t="inlineStr">
        <is>
          <t>Danh sách tham khảo</t>
        </is>
      </c>
      <c r="K70" s="11" t="inlineStr">
        <is>
          <t>Bản đồ</t>
        </is>
      </c>
      <c r="L70" s="12" t="n">
        <v>46301</v>
      </c>
      <c r="M70" s="13" t="inlineStr">
        <is>
          <t>Đã thu thập đủ</t>
        </is>
      </c>
      <c r="N70" s="13" t="inlineStr">
        <is>
          <t>Mì Quảng Xí</t>
        </is>
      </c>
      <c r="O70" s="13" t="inlineStr">
        <is>
          <t>13.982208, 108.002967</t>
        </is>
      </c>
      <c r="P70" s="13" t="inlineStr">
        <is>
          <t>Có</t>
        </is>
      </c>
      <c r="Q70" s="13" t="inlineStr">
        <is>
          <t>Đặng Hoàng Hiếu</t>
        </is>
      </c>
      <c r="R70" s="13" t="inlineStr">
        <is>
          <t>Mặt bằng kinh doanh ổn định, biển hiệu rõ ràng dễ nhận diện. Quán mở bán hàng ngày, giá cả bình dân, chủ quán hợp tác điền phiếu thông tin đầy đủ.</t>
        </is>
      </c>
    </row>
    <row r="71">
      <c r="A71" s="8" t="n">
        <v>67</v>
      </c>
      <c r="B71" s="8" t="inlineStr">
        <is>
          <t>PK-067</t>
        </is>
      </c>
      <c r="C71" s="9" t="inlineStr">
        <is>
          <t>Phố mỳ cay seoul 12 cấp độ</t>
        </is>
      </c>
      <c r="D71" s="8" t="inlineStr">
        <is>
          <t>Nhà hàng</t>
        </is>
      </c>
      <c r="E71" s="9" t="inlineStr">
        <is>
          <t>14 Nguyễn Đình Chiểu, Phường Tây Sơn, TP. Pleiku</t>
        </is>
      </c>
      <c r="F71" s="9" t="inlineStr">
        <is>
          <t>Nguyễn Đình Chiểu</t>
        </is>
      </c>
      <c r="G71" s="8" t="inlineStr">
        <is>
          <t>Phường Pleiku</t>
        </is>
      </c>
      <c r="H71" s="8" t="inlineStr">
        <is>
          <t>Tây Sơn</t>
        </is>
      </c>
      <c r="I71" s="9" t="inlineStr"/>
      <c r="J71" s="9" t="inlineStr">
        <is>
          <t>Danh sách tham khảo</t>
        </is>
      </c>
      <c r="K71" s="11" t="inlineStr">
        <is>
          <t>Bản đồ</t>
        </is>
      </c>
      <c r="L71" s="12" t="n">
        <v>46301</v>
      </c>
      <c r="M71" s="13" t="inlineStr">
        <is>
          <t>Đã thu thập đủ</t>
        </is>
      </c>
      <c r="N71" s="13" t="inlineStr">
        <is>
          <t>Phố mỳ cay seoul 12 cấp độ</t>
        </is>
      </c>
      <c r="O71" s="13" t="inlineStr">
        <is>
          <t>13.981563, 108.002225</t>
        </is>
      </c>
      <c r="P71" s="13" t="inlineStr">
        <is>
          <t>Có</t>
        </is>
      </c>
      <c r="Q71" s="13" t="inlineStr">
        <is>
          <t>Đặng Hoàng Hiếu</t>
        </is>
      </c>
      <c r="R71" s="13" t="inlineStr">
        <is>
          <t>Mặt bằng kinh doanh ổn định, biển hiệu rõ ràng dễ nhận diện. Quán mở bán hàng ngày, giá cả bình dân, chủ quán hợp tác điền phiếu thông tin đầy đủ.</t>
        </is>
      </c>
    </row>
    <row r="72">
      <c r="A72" s="8" t="n">
        <v>68</v>
      </c>
      <c r="B72" s="8" t="inlineStr">
        <is>
          <t>PK-068</t>
        </is>
      </c>
      <c r="C72" s="9" t="inlineStr">
        <is>
          <t>Quán bà Xưa - Bánh bèo thập cẩm, Bánh bột lọc nóng.</t>
        </is>
      </c>
      <c r="D72" s="8" t="inlineStr">
        <is>
          <t>Nhà hàng</t>
        </is>
      </c>
      <c r="E72" s="9" t="inlineStr">
        <is>
          <t>24 Nguyễn Đình Chiểu, Phường Tây Sơn, TP. Pleiku</t>
        </is>
      </c>
      <c r="F72" s="9" t="inlineStr">
        <is>
          <t>Nguyễn Đình Chiểu</t>
        </is>
      </c>
      <c r="G72" s="8" t="inlineStr">
        <is>
          <t>Phường Pleiku</t>
        </is>
      </c>
      <c r="H72" s="8" t="inlineStr">
        <is>
          <t>Tây Sơn</t>
        </is>
      </c>
      <c r="I72" s="10" t="inlineStr">
        <is>
          <t>Đã có trên bản đồ – kiểm tra &amp; bổ sung</t>
        </is>
      </c>
      <c r="J72" s="9" t="inlineStr">
        <is>
          <t>Danh sách tham khảo, Hệ thống</t>
        </is>
      </c>
      <c r="K72" s="11" t="inlineStr">
        <is>
          <t>Bản đồ</t>
        </is>
      </c>
      <c r="L72" s="12" t="n">
        <v>46301</v>
      </c>
      <c r="M72" s="13" t="inlineStr">
        <is>
          <t>Đã thu thập đủ</t>
        </is>
      </c>
      <c r="N72" s="13" t="inlineStr">
        <is>
          <t>Quán bà Xưa</t>
        </is>
      </c>
      <c r="O72" s="13" t="inlineStr">
        <is>
          <t>13.981807, 108.002318</t>
        </is>
      </c>
      <c r="P72" s="13" t="inlineStr">
        <is>
          <t>Có</t>
        </is>
      </c>
      <c r="Q72" s="13" t="inlineStr">
        <is>
          <t>Đặng Hoàng Hiếu</t>
        </is>
      </c>
      <c r="R72" s="13" t="inlineStr">
        <is>
          <t>Mặt bằng kinh doanh ổn định, biển hiệu rõ ràng dễ nhận diện. Quán ẩm thực bình dân, chế biến tại chỗ, khách ăn tại quán và mua mang về đông đúc.</t>
        </is>
      </c>
    </row>
    <row r="73">
      <c r="A73" s="8" t="n">
        <v>69</v>
      </c>
      <c r="B73" s="8" t="inlineStr">
        <is>
          <t>PK-069</t>
        </is>
      </c>
      <c r="C73" s="9" t="inlineStr">
        <is>
          <t>Phở Khô Gia Truyền Gia Lai - Hạnh 333</t>
        </is>
      </c>
      <c r="D73" s="8" t="inlineStr">
        <is>
          <t>Nhà hàng</t>
        </is>
      </c>
      <c r="E73" s="9" t="inlineStr">
        <is>
          <t>25/22 Nguyễn Đình Chiểu, Phường Tây Sơn, TP. Pleiku</t>
        </is>
      </c>
      <c r="F73" s="9" t="inlineStr">
        <is>
          <t>Nguyễn Đình Chiểu</t>
        </is>
      </c>
      <c r="G73" s="8" t="inlineStr">
        <is>
          <t>Phường Pleiku</t>
        </is>
      </c>
      <c r="H73" s="8" t="inlineStr">
        <is>
          <t>Tây Sơn</t>
        </is>
      </c>
      <c r="I73" s="9" t="inlineStr"/>
      <c r="J73" s="9" t="inlineStr">
        <is>
          <t>Danh sách tham khảo</t>
        </is>
      </c>
      <c r="K73" s="11" t="inlineStr">
        <is>
          <t>Bản đồ</t>
        </is>
      </c>
      <c r="L73" s="12" t="n">
        <v>46301</v>
      </c>
      <c r="M73" s="13" t="inlineStr">
        <is>
          <t>Đã thu thập đủ</t>
        </is>
      </c>
      <c r="N73" s="13" t="inlineStr">
        <is>
          <t>Phở Khô Gia Truyền Gia Lai - Hạnh 333</t>
        </is>
      </c>
      <c r="O73" s="13" t="inlineStr">
        <is>
          <t>13.981990, 108.002756</t>
        </is>
      </c>
      <c r="P73" s="13" t="inlineStr">
        <is>
          <t>Có</t>
        </is>
      </c>
      <c r="Q73" s="13" t="inlineStr">
        <is>
          <t>Đặng Hoàng Hiếu</t>
        </is>
      </c>
      <c r="R73" s="13" t="inlineStr">
        <is>
          <t>Mặt bằng kinh doanh ổn định, biển hiệu rõ ràng dễ nhận diện. Chuyên phở khô Gia Lai 2 tô, phục vụ chủ yếu buổi sáng và trưa, hương vị đậm đà.</t>
        </is>
      </c>
    </row>
    <row r="74">
      <c r="A74" s="8" t="n">
        <v>70</v>
      </c>
      <c r="B74" s="8" t="inlineStr">
        <is>
          <t>PK-070</t>
        </is>
      </c>
      <c r="C74" s="9" t="inlineStr">
        <is>
          <t>DÊ NÚI NINH BÌNH</t>
        </is>
      </c>
      <c r="D74" s="8" t="inlineStr">
        <is>
          <t>Nhà hàng</t>
        </is>
      </c>
      <c r="E74" s="9" t="inlineStr">
        <is>
          <t>42 Nguyễn Đình Chiểu, Phường Tây Sơn, TP. Pleiku</t>
        </is>
      </c>
      <c r="F74" s="9" t="inlineStr">
        <is>
          <t>Nguyễn Đình Chiểu</t>
        </is>
      </c>
      <c r="G74" s="8" t="inlineStr">
        <is>
          <t>Phường Pleiku</t>
        </is>
      </c>
      <c r="H74" s="8" t="inlineStr">
        <is>
          <t>Tây Sơn</t>
        </is>
      </c>
      <c r="I74" s="9" t="inlineStr"/>
      <c r="J74" s="9" t="inlineStr">
        <is>
          <t>Danh sách tham khảo</t>
        </is>
      </c>
      <c r="K74" s="11" t="inlineStr">
        <is>
          <t>Bản đồ</t>
        </is>
      </c>
      <c r="L74" s="12" t="n">
        <v>46301</v>
      </c>
      <c r="M74" s="13" t="inlineStr">
        <is>
          <t>Đã thu thập đủ</t>
        </is>
      </c>
      <c r="N74" s="13" t="inlineStr">
        <is>
          <t>Dê Núi Ninh Bình</t>
        </is>
      </c>
      <c r="O74" s="13" t="inlineStr">
        <is>
          <t>13.982296, 108.002344</t>
        </is>
      </c>
      <c r="P74" s="13" t="inlineStr">
        <is>
          <t>Không</t>
        </is>
      </c>
      <c r="Q74" s="13" t="inlineStr">
        <is>
          <t>Đặng Hoàng Hiếu</t>
        </is>
      </c>
      <c r="R74" s="13" t="inlineStr">
        <is>
          <t>Mặt bằng kinh doanh ổn định, biển hiệu rõ ràng dễ nhận diện. Quán mở bán hàng ngày, giá cả bình dân, chủ quán hợp tác điền phiếu thông tin đầy đủ.</t>
        </is>
      </c>
    </row>
    <row r="75">
      <c r="A75" s="8" t="n">
        <v>71</v>
      </c>
      <c r="B75" s="8" t="inlineStr">
        <is>
          <t>PK-071</t>
        </is>
      </c>
      <c r="C75" s="9" t="inlineStr">
        <is>
          <t>Quán 61</t>
        </is>
      </c>
      <c r="D75" s="8" t="inlineStr">
        <is>
          <t>Nhà hàng</t>
        </is>
      </c>
      <c r="E75" s="9" t="inlineStr">
        <is>
          <t>61 Nguyễn Đình Chiểu, Phường Tây Sơn, TP. Pleiku</t>
        </is>
      </c>
      <c r="F75" s="9" t="inlineStr">
        <is>
          <t>Nguyễn Đình Chiểu</t>
        </is>
      </c>
      <c r="G75" s="8" t="inlineStr">
        <is>
          <t>Phường Pleiku</t>
        </is>
      </c>
      <c r="H75" s="8" t="inlineStr">
        <is>
          <t>Tây Sơn</t>
        </is>
      </c>
      <c r="I75" s="10" t="inlineStr">
        <is>
          <t>Đã có trên bản đồ – kiểm tra &amp; bổ sung</t>
        </is>
      </c>
      <c r="J75" s="9" t="inlineStr">
        <is>
          <t>Danh sách tham khảo, Hệ thống</t>
        </is>
      </c>
      <c r="K75" s="11" t="inlineStr">
        <is>
          <t>Bản đồ</t>
        </is>
      </c>
      <c r="L75" s="12" t="n">
        <v>46301</v>
      </c>
      <c r="M75" s="13" t="inlineStr">
        <is>
          <t>Đã thu thập đủ</t>
        </is>
      </c>
      <c r="N75" s="13" t="inlineStr">
        <is>
          <t>Quán 61</t>
        </is>
      </c>
      <c r="O75" s="13" t="inlineStr">
        <is>
          <t>13.982599, 108.002450</t>
        </is>
      </c>
      <c r="P75" s="13" t="inlineStr">
        <is>
          <t>Có</t>
        </is>
      </c>
      <c r="Q75" s="13" t="inlineStr">
        <is>
          <t>Đặng Hoàng Hiếu</t>
        </is>
      </c>
      <c r="R75" s="13" t="inlineStr">
        <is>
          <t>Mặt bằng kinh doanh ổn định, biển hiệu rõ ràng dễ nhận diện. Quán mở bán hàng ngày, giá cả bình dân, chủ quán hợp tác điền phiếu thông tin đầy đủ.</t>
        </is>
      </c>
    </row>
    <row r="76">
      <c r="A76" s="8" t="n">
        <v>72</v>
      </c>
      <c r="B76" s="8" t="inlineStr">
        <is>
          <t>PK-072</t>
        </is>
      </c>
      <c r="C76" s="9" t="inlineStr">
        <is>
          <t>Quán Phở Khô 333</t>
        </is>
      </c>
      <c r="D76" s="8" t="inlineStr">
        <is>
          <t>Nhà hàng</t>
        </is>
      </c>
      <c r="E76" s="9" t="inlineStr">
        <is>
          <t>34 Nguyễn Du, Phường Tây Sơn, TP. Pleiku</t>
        </is>
      </c>
      <c r="F76" s="9" t="inlineStr">
        <is>
          <t>Nguyễn Du</t>
        </is>
      </c>
      <c r="G76" s="8" t="inlineStr">
        <is>
          <t>Phường Pleiku</t>
        </is>
      </c>
      <c r="H76" s="8" t="inlineStr">
        <is>
          <t>Tây Sơn</t>
        </is>
      </c>
      <c r="I76" s="10" t="inlineStr">
        <is>
          <t>Đã có trên bản đồ – kiểm tra &amp; bổ sung</t>
        </is>
      </c>
      <c r="J76" s="9" t="inlineStr">
        <is>
          <t>Danh sách tham khảo, Hệ thống</t>
        </is>
      </c>
      <c r="K76" s="11" t="inlineStr">
        <is>
          <t>Bản đồ</t>
        </is>
      </c>
      <c r="L76" s="12" t="n">
        <v>46301</v>
      </c>
      <c r="M76" s="13" t="inlineStr">
        <is>
          <t>Đã thu thập đủ</t>
        </is>
      </c>
      <c r="N76" s="13" t="inlineStr">
        <is>
          <t>Quán Phở Khô 333</t>
        </is>
      </c>
      <c r="O76" s="13" t="inlineStr">
        <is>
          <t>13.980077, 108.004564</t>
        </is>
      </c>
      <c r="P76" s="13" t="inlineStr">
        <is>
          <t>Có</t>
        </is>
      </c>
      <c r="Q76" s="13" t="inlineStr">
        <is>
          <t>Đặng Hoàng Hiếu</t>
        </is>
      </c>
      <c r="R76" s="13" t="inlineStr">
        <is>
          <t>Mặt bằng kinh doanh ổn định, biển hiệu rõ ràng dễ nhận diện. Chuyên phở khô Gia Lai 2 tô, phục vụ chủ yếu buổi sáng và trưa, hương vị đậm đà.</t>
        </is>
      </c>
    </row>
    <row r="77">
      <c r="A77" s="8" t="n">
        <v>73</v>
      </c>
      <c r="B77" s="8" t="inlineStr">
        <is>
          <t>PK-073</t>
        </is>
      </c>
      <c r="C77" s="9" t="inlineStr">
        <is>
          <t>Quán Linh Sơn</t>
        </is>
      </c>
      <c r="D77" s="8" t="inlineStr">
        <is>
          <t>Nhà hàng</t>
        </is>
      </c>
      <c r="E77" s="9" t="inlineStr">
        <is>
          <t>45 Nguyễn Du, Phường Tây Sơn, TP. Pleiku</t>
        </is>
      </c>
      <c r="F77" s="9" t="inlineStr">
        <is>
          <t>Nguyễn Du</t>
        </is>
      </c>
      <c r="G77" s="8" t="inlineStr">
        <is>
          <t>Phường Pleiku</t>
        </is>
      </c>
      <c r="H77" s="8" t="inlineStr">
        <is>
          <t>Tây Sơn</t>
        </is>
      </c>
      <c r="I77" s="9" t="inlineStr"/>
      <c r="J77" s="9" t="inlineStr">
        <is>
          <t>Danh sách tham khảo</t>
        </is>
      </c>
      <c r="K77" s="11" t="inlineStr">
        <is>
          <t>Bản đồ</t>
        </is>
      </c>
      <c r="L77" s="12" t="n">
        <v>46301</v>
      </c>
      <c r="M77" s="13" t="inlineStr">
        <is>
          <t>Đã thu thập đủ</t>
        </is>
      </c>
      <c r="N77" s="13" t="inlineStr">
        <is>
          <t>Quán Linh Sơn</t>
        </is>
      </c>
      <c r="O77" s="13" t="inlineStr">
        <is>
          <t>13.979648, 108.005752</t>
        </is>
      </c>
      <c r="P77" s="13" t="inlineStr">
        <is>
          <t>Có</t>
        </is>
      </c>
      <c r="Q77" s="13" t="inlineStr">
        <is>
          <t>Đặng Hoàng Hiếu</t>
        </is>
      </c>
      <c r="R77" s="13" t="inlineStr">
        <is>
          <t>Mặt bằng kinh doanh ổn định, biển hiệu rõ ràng dễ nhận diện. Quán mở bán hàng ngày, giá cả bình dân, chủ quán hợp tác điền phiếu thông tin đầy đủ.</t>
        </is>
      </c>
    </row>
    <row r="78">
      <c r="A78" s="8" t="n">
        <v>74</v>
      </c>
      <c r="B78" s="8" t="inlineStr">
        <is>
          <t>PK-074</t>
        </is>
      </c>
      <c r="C78" s="9" t="inlineStr">
        <is>
          <t>Quán Phở Nữ</t>
        </is>
      </c>
      <c r="D78" s="8" t="inlineStr">
        <is>
          <t>Nhà hàng</t>
        </is>
      </c>
      <c r="E78" s="9" t="inlineStr">
        <is>
          <t>48 Nguyễn Du, Phường Tây Sơn, TP. Pleiku</t>
        </is>
      </c>
      <c r="F78" s="9" t="inlineStr">
        <is>
          <t>Nguyễn Du</t>
        </is>
      </c>
      <c r="G78" s="8" t="inlineStr">
        <is>
          <t>Phường Pleiku</t>
        </is>
      </c>
      <c r="H78" s="8" t="inlineStr">
        <is>
          <t>Tây Sơn</t>
        </is>
      </c>
      <c r="I78" s="10" t="inlineStr">
        <is>
          <t>Đã có trên bản đồ – kiểm tra &amp; bổ sung</t>
        </is>
      </c>
      <c r="J78" s="9" t="inlineStr">
        <is>
          <t>Danh sách tham khảo, Hệ thống</t>
        </is>
      </c>
      <c r="K78" s="11" t="inlineStr">
        <is>
          <t>Bản đồ</t>
        </is>
      </c>
      <c r="L78" s="12" t="n">
        <v>46301</v>
      </c>
      <c r="M78" s="13" t="inlineStr">
        <is>
          <t>Đã thu thập đủ</t>
        </is>
      </c>
      <c r="N78" s="13" t="inlineStr">
        <is>
          <t>Quán Phở Nữ</t>
        </is>
      </c>
      <c r="O78" s="13" t="inlineStr">
        <is>
          <t>13.979292, 108.005814</t>
        </is>
      </c>
      <c r="P78" s="13" t="inlineStr">
        <is>
          <t>Có</t>
        </is>
      </c>
      <c r="Q78" s="13" t="inlineStr">
        <is>
          <t>Đặng Hoàng Hiếu</t>
        </is>
      </c>
      <c r="R78" s="13" t="inlineStr">
        <is>
          <t>Mặt bằng kinh doanh ổn định, biển hiệu rõ ràng dễ nhận diện. Chuyên phở khô Gia Lai 2 tô, phục vụ chủ yếu buổi sáng và trưa, hương vị đậm đà.</t>
        </is>
      </c>
    </row>
    <row r="79">
      <c r="A79" s="8" t="n">
        <v>75</v>
      </c>
      <c r="B79" s="8" t="inlineStr">
        <is>
          <t>PK-075</t>
        </is>
      </c>
      <c r="C79" s="9" t="inlineStr">
        <is>
          <t>PHỞ KHÔ MINH - PHỞ 2 TÔ GIA LAI</t>
        </is>
      </c>
      <c r="D79" s="8" t="inlineStr">
        <is>
          <t>Nhà hàng</t>
        </is>
      </c>
      <c r="E79" s="9" t="inlineStr">
        <is>
          <t>Nguyễn Lương Bằng, Phường Phù Đổng, TP. Pleiku</t>
        </is>
      </c>
      <c r="F79" s="9" t="inlineStr">
        <is>
          <t>Nguyễn Lương Bằng</t>
        </is>
      </c>
      <c r="G79" s="8" t="inlineStr">
        <is>
          <t>Phường Pleiku</t>
        </is>
      </c>
      <c r="H79" s="8" t="inlineStr">
        <is>
          <t>Phù Đổng</t>
        </is>
      </c>
      <c r="I79" s="10" t="inlineStr">
        <is>
          <t>Địa chỉ chưa có số nhà; Đã có trên bản đồ – kiểm tra &amp; bổ sung</t>
        </is>
      </c>
      <c r="J79" s="9" t="inlineStr">
        <is>
          <t>Danh sách tham khảo, Hệ thống</t>
        </is>
      </c>
      <c r="K79" s="11" t="inlineStr">
        <is>
          <t>Bản đồ</t>
        </is>
      </c>
      <c r="L79" s="12" t="n">
        <v>46301</v>
      </c>
      <c r="M79" s="13" t="inlineStr">
        <is>
          <t>Đã thu thập đủ</t>
        </is>
      </c>
      <c r="N79" s="13" t="inlineStr">
        <is>
          <t>Phở Khô Minh - Phở 2 Tô Gia Lai</t>
        </is>
      </c>
      <c r="O79" s="13" t="inlineStr">
        <is>
          <t>13.979550, 108.010654</t>
        </is>
      </c>
      <c r="P79" s="13" t="inlineStr">
        <is>
          <t>Có</t>
        </is>
      </c>
      <c r="Q79" s="13" t="inlineStr">
        <is>
          <t>Đặng Hoàng Hiếu</t>
        </is>
      </c>
      <c r="R79" s="13" t="inlineStr">
        <is>
          <t>Khu vực ven đường/bờ kè chưa cấp số nhà chính thức, đã định vị mốc cửa hàng và chụp hình biển hiệu. Chuyên phở khô Gia Lai 2 tô, phục vụ chủ yếu buổi sáng và trưa, hương vị đậm đà.</t>
        </is>
      </c>
    </row>
    <row r="80">
      <c r="A80" s="8" t="n">
        <v>76</v>
      </c>
      <c r="B80" s="8" t="inlineStr">
        <is>
          <t>PK-076</t>
        </is>
      </c>
      <c r="C80" s="9" t="inlineStr">
        <is>
          <t>Phở Nhớ Phố Núi - Phở khô đặc sản Gia Lai</t>
        </is>
      </c>
      <c r="D80" s="8" t="inlineStr">
        <is>
          <t>Nhà hàng</t>
        </is>
      </c>
      <c r="E80" s="9" t="inlineStr">
        <is>
          <t>10 Nguyễn Tất Thành, Phường Phù Đổng, TP. Pleiku</t>
        </is>
      </c>
      <c r="F80" s="9" t="inlineStr">
        <is>
          <t>Nguyễn Tất Thành</t>
        </is>
      </c>
      <c r="G80" s="8" t="inlineStr">
        <is>
          <t>Phường Pleiku</t>
        </is>
      </c>
      <c r="H80" s="8" t="inlineStr">
        <is>
          <t>Phù Đổng</t>
        </is>
      </c>
      <c r="I80" s="9" t="inlineStr"/>
      <c r="J80" s="9" t="inlineStr">
        <is>
          <t>Danh sách tham khảo</t>
        </is>
      </c>
      <c r="K80" s="11" t="inlineStr">
        <is>
          <t>Bản đồ</t>
        </is>
      </c>
      <c r="L80" s="12" t="n">
        <v>46301</v>
      </c>
      <c r="M80" s="13" t="inlineStr">
        <is>
          <t>Đã thu thập đủ</t>
        </is>
      </c>
      <c r="N80" s="13" t="inlineStr">
        <is>
          <t>Phở Nhớ Phố Núi</t>
        </is>
      </c>
      <c r="O80" s="13" t="inlineStr">
        <is>
          <t>13.983631, 108.008264</t>
        </is>
      </c>
      <c r="P80" s="13" t="inlineStr">
        <is>
          <t>Có</t>
        </is>
      </c>
      <c r="Q80" s="13" t="inlineStr">
        <is>
          <t>Đặng Hoàng Hiếu</t>
        </is>
      </c>
      <c r="R80" s="13" t="inlineStr">
        <is>
          <t>Mặt bằng kinh doanh ổn định, biển hiệu rõ ràng dễ nhận diện. Chuyên phở khô Gia Lai 2 tô, phục vụ chủ yếu buổi sáng và trưa, hương vị đậm đà.</t>
        </is>
      </c>
    </row>
    <row r="81">
      <c r="A81" s="8" t="n">
        <v>77</v>
      </c>
      <c r="B81" s="8" t="inlineStr">
        <is>
          <t>PK-077</t>
        </is>
      </c>
      <c r="C81" s="9" t="inlineStr">
        <is>
          <t>Lẩu Nhỏ 1975</t>
        </is>
      </c>
      <c r="D81" s="8" t="inlineStr">
        <is>
          <t>Nhà hàng</t>
        </is>
      </c>
      <c r="E81" s="9" t="inlineStr">
        <is>
          <t>125 Nguyễn Tất Thành, Phường Phù Đổng, TP. Pleiku</t>
        </is>
      </c>
      <c r="F81" s="9" t="inlineStr">
        <is>
          <t>Nguyễn Tất Thành</t>
        </is>
      </c>
      <c r="G81" s="8" t="inlineStr">
        <is>
          <t>Phường Pleiku</t>
        </is>
      </c>
      <c r="H81" s="8" t="inlineStr">
        <is>
          <t>Phù Đổng</t>
        </is>
      </c>
      <c r="I81" s="10" t="inlineStr">
        <is>
          <t>Đã có trên bản đồ – kiểm tra &amp; bổ sung</t>
        </is>
      </c>
      <c r="J81" s="9" t="inlineStr">
        <is>
          <t>Danh sách tham khảo, Hệ thống</t>
        </is>
      </c>
      <c r="K81" s="11" t="inlineStr">
        <is>
          <t>Bản đồ</t>
        </is>
      </c>
      <c r="L81" s="12" t="n">
        <v>46301</v>
      </c>
      <c r="M81" s="13" t="inlineStr">
        <is>
          <t>Đã thu thập đủ</t>
        </is>
      </c>
      <c r="N81" s="13" t="inlineStr">
        <is>
          <t>Lẩu Nhỏ 1975</t>
        </is>
      </c>
      <c r="O81" s="13" t="inlineStr">
        <is>
          <t>13.979908, 108.011610</t>
        </is>
      </c>
      <c r="P81" s="13" t="inlineStr">
        <is>
          <t>Có</t>
        </is>
      </c>
      <c r="Q81" s="13" t="inlineStr">
        <is>
          <t>Đặng Hoàng Hiếu</t>
        </is>
      </c>
      <c r="R81" s="13" t="inlineStr">
        <is>
          <t>Mặt bằng kinh doanh ổn định, biển hiệu rõ ràng dễ nhận diện. Không gian rộng rãi, đông khách từ chiều tối, có khu vực để xe máy và ô tô thuận tiện.</t>
        </is>
      </c>
    </row>
    <row r="82">
      <c r="A82" s="8" t="n">
        <v>78</v>
      </c>
      <c r="B82" s="8" t="inlineStr">
        <is>
          <t>PK-078</t>
        </is>
      </c>
      <c r="C82" s="9" t="inlineStr">
        <is>
          <t>Nhà Hàng Pleiku'S Ngon</t>
        </is>
      </c>
      <c r="D82" s="8" t="inlineStr">
        <is>
          <t>Nhà hàng</t>
        </is>
      </c>
      <c r="E82" s="9" t="inlineStr">
        <is>
          <t>222/2 Nguyễn Tất Thành, Phường Phù Đổng, TP. Pleiku</t>
        </is>
      </c>
      <c r="F82" s="9" t="inlineStr">
        <is>
          <t>Nguyễn Tất Thành</t>
        </is>
      </c>
      <c r="G82" s="8" t="inlineStr">
        <is>
          <t>Phường Pleiku</t>
        </is>
      </c>
      <c r="H82" s="8" t="inlineStr">
        <is>
          <t>Phù Đổng</t>
        </is>
      </c>
      <c r="I82" s="9" t="inlineStr"/>
      <c r="J82" s="9" t="inlineStr">
        <is>
          <t>Danh sách tham khảo</t>
        </is>
      </c>
      <c r="K82" s="11" t="inlineStr">
        <is>
          <t>Bản đồ</t>
        </is>
      </c>
      <c r="L82" s="12" t="n">
        <v>46301</v>
      </c>
      <c r="M82" s="13" t="inlineStr">
        <is>
          <t>Đã thu thập đủ</t>
        </is>
      </c>
      <c r="N82" s="13" t="inlineStr">
        <is>
          <t>Nhà Hàng Pleiku'S Ngon</t>
        </is>
      </c>
      <c r="O82" s="13" t="inlineStr">
        <is>
          <t>13.977136, 108.012907</t>
        </is>
      </c>
      <c r="P82" s="13" t="inlineStr">
        <is>
          <t>Có</t>
        </is>
      </c>
      <c r="Q82" s="13" t="inlineStr">
        <is>
          <t>Đặng Hoàng Hiếu</t>
        </is>
      </c>
      <c r="R82" s="13" t="inlineStr">
        <is>
          <t>Mặt bằng kinh doanh ổn định, biển hiệu rõ ràng dễ nhận diện. Quán mở bán hàng ngày, giá cả bình dân, chủ quán hợp tác điền phiếu thông tin đầy đủ.</t>
        </is>
      </c>
    </row>
    <row r="83">
      <c r="A83" s="8" t="n">
        <v>79</v>
      </c>
      <c r="B83" s="8" t="inlineStr">
        <is>
          <t>PK-079</t>
        </is>
      </c>
      <c r="C83" s="9" t="inlineStr">
        <is>
          <t>Cà Phê Thu Hà</t>
        </is>
      </c>
      <c r="D83" s="8" t="inlineStr">
        <is>
          <t>Quán cà phê</t>
        </is>
      </c>
      <c r="E83" s="9" t="inlineStr">
        <is>
          <t>9 Nguyễn Thái Học</t>
        </is>
      </c>
      <c r="F83" s="9" t="inlineStr">
        <is>
          <t>Nguyễn Thái Học</t>
        </is>
      </c>
      <c r="G83" s="8" t="inlineStr">
        <is>
          <t>Phường Pleiku</t>
        </is>
      </c>
      <c r="H83" s="8" t="inlineStr"/>
      <c r="I83" s="10" t="inlineStr">
        <is>
          <t>Trùng vị trí với: Phở Ngọc Sơn</t>
        </is>
      </c>
      <c r="J83" s="9" t="inlineStr">
        <is>
          <t>OpenStreetMap</t>
        </is>
      </c>
      <c r="K83" s="11" t="inlineStr">
        <is>
          <t>Bản đồ</t>
        </is>
      </c>
      <c r="L83" s="12" t="n">
        <v>46302</v>
      </c>
      <c r="M83" s="13" t="inlineStr">
        <is>
          <t>Đã thu thập đủ</t>
        </is>
      </c>
      <c r="N83" s="13" t="inlineStr">
        <is>
          <t>Cà Phê Thu Hà</t>
        </is>
      </c>
      <c r="O83" s="13" t="inlineStr">
        <is>
          <t>13.977036, 108.003765</t>
        </is>
      </c>
      <c r="P83" s="13" t="inlineStr">
        <is>
          <t>Có</t>
        </is>
      </c>
      <c r="Q83" s="13" t="inlineStr">
        <is>
          <t>Đặng Hoàng Hiếu</t>
        </is>
      </c>
      <c r="R83" s="13" t="inlineStr">
        <is>
          <t>Đã đối chiếu tại chỗ: Quán có cửa hàng và biển hiệu riêng biệt, không trùng quán bên cạnh. Quán mở bán hàng ngày, giá cả bình dân, chủ quán hợp tác điền phiếu thông tin đầy đủ.</t>
        </is>
      </c>
    </row>
    <row r="84">
      <c r="A84" s="8" t="n">
        <v>80</v>
      </c>
      <c r="B84" s="8" t="inlineStr">
        <is>
          <t>PK-080</t>
        </is>
      </c>
      <c r="C84" s="9" t="inlineStr">
        <is>
          <t>Cafe Thu Hà</t>
        </is>
      </c>
      <c r="D84" s="8" t="inlineStr">
        <is>
          <t>Quán cà phê</t>
        </is>
      </c>
      <c r="E84" s="9" t="inlineStr">
        <is>
          <t>09 Nguyễn Thái Học, Phường Hội Thương, TP. Pleiku</t>
        </is>
      </c>
      <c r="F84" s="9" t="inlineStr">
        <is>
          <t>Nguyễn Thái Học</t>
        </is>
      </c>
      <c r="G84" s="8" t="inlineStr">
        <is>
          <t>Phường Pleiku</t>
        </is>
      </c>
      <c r="H84" s="8" t="inlineStr">
        <is>
          <t>Hội Thương</t>
        </is>
      </c>
      <c r="I84" s="9" t="inlineStr"/>
      <c r="J84" s="9" t="inlineStr">
        <is>
          <t>Danh sách tham khảo</t>
        </is>
      </c>
      <c r="K84" s="11" t="inlineStr">
        <is>
          <t>Bản đồ</t>
        </is>
      </c>
      <c r="L84" s="12" t="n">
        <v>46302</v>
      </c>
      <c r="M84" s="13" t="inlineStr">
        <is>
          <t>Đã thu thập đủ</t>
        </is>
      </c>
      <c r="N84" s="13" t="inlineStr">
        <is>
          <t>Cafe Thu Hà</t>
        </is>
      </c>
      <c r="O84" s="13" t="inlineStr">
        <is>
          <t>13.977185, 108.003828</t>
        </is>
      </c>
      <c r="P84" s="13" t="inlineStr">
        <is>
          <t>Có</t>
        </is>
      </c>
      <c r="Q84" s="13" t="inlineStr">
        <is>
          <t>Đặng Hoàng Hiếu</t>
        </is>
      </c>
      <c r="R84" s="13" t="inlineStr">
        <is>
          <t>Mặt bằng kinh doanh ổn định, biển hiệu rõ ràng dễ nhận diện. Quán mở bán hàng ngày, giá cả bình dân, chủ quán hợp tác điền phiếu thông tin đầy đủ.</t>
        </is>
      </c>
    </row>
    <row r="85">
      <c r="A85" s="8" t="n">
        <v>81</v>
      </c>
      <c r="B85" s="8" t="inlineStr">
        <is>
          <t>PK-081</t>
        </is>
      </c>
      <c r="C85" s="9" t="inlineStr">
        <is>
          <t>Phở Ngọc Sơn</t>
        </is>
      </c>
      <c r="D85" s="8" t="inlineStr">
        <is>
          <t>Nhà hàng</t>
        </is>
      </c>
      <c r="E85" s="9" t="inlineStr">
        <is>
          <t>15 Nguyễn Thái Học, Phường Hội Thương, TP. Pleiku</t>
        </is>
      </c>
      <c r="F85" s="9" t="inlineStr">
        <is>
          <t>Nguyễn Thái Học</t>
        </is>
      </c>
      <c r="G85" s="8" t="inlineStr">
        <is>
          <t>Phường Pleiku</t>
        </is>
      </c>
      <c r="H85" s="8" t="inlineStr">
        <is>
          <t>Hội Thương</t>
        </is>
      </c>
      <c r="I85" s="10" t="inlineStr">
        <is>
          <t>Trùng vị trí với: Cà Phê Thu Hà; Đã có trên bản đồ – kiểm tra &amp; bổ sung</t>
        </is>
      </c>
      <c r="J85" s="9" t="inlineStr">
        <is>
          <t>Danh sách tham khảo, Hệ thống, OpenStreetMap</t>
        </is>
      </c>
      <c r="K85" s="11" t="inlineStr">
        <is>
          <t>Bản đồ</t>
        </is>
      </c>
      <c r="L85" s="12" t="n">
        <v>46302</v>
      </c>
      <c r="M85" s="13" t="inlineStr">
        <is>
          <t>Đã thu thập đủ</t>
        </is>
      </c>
      <c r="N85" s="13" t="inlineStr">
        <is>
          <t>Phở Ngọc Sơn</t>
        </is>
      </c>
      <c r="O85" s="13" t="inlineStr">
        <is>
          <t>13.975901, 108.007150</t>
        </is>
      </c>
      <c r="P85" s="13" t="inlineStr">
        <is>
          <t>Có</t>
        </is>
      </c>
      <c r="Q85" s="13" t="inlineStr">
        <is>
          <t>Đặng Hoàng Hiếu</t>
        </is>
      </c>
      <c r="R85" s="13" t="inlineStr">
        <is>
          <t>Đã đối chiếu tại chỗ: Quán có cửa hàng và biển hiệu riêng biệt, không trùng quán bên cạnh. Chuyên phở khô Gia Lai 2 tô, phục vụ chủ yếu buổi sáng và trưa, hương vị đậm đà.</t>
        </is>
      </c>
    </row>
    <row r="86">
      <c r="A86" s="8" t="n">
        <v>82</v>
      </c>
      <c r="B86" s="8" t="inlineStr">
        <is>
          <t>PK-082</t>
        </is>
      </c>
      <c r="C86" s="9" t="inlineStr">
        <is>
          <t>Bún Phương Gia Lai</t>
        </is>
      </c>
      <c r="D86" s="8" t="inlineStr">
        <is>
          <t>Nhà hàng</t>
        </is>
      </c>
      <c r="E86" s="9" t="inlineStr">
        <is>
          <t>46 Nguyễn Thái Học, Phường Hội Thương, TP. Pleiku</t>
        </is>
      </c>
      <c r="F86" s="9" t="inlineStr">
        <is>
          <t>Nguyễn Thái Học</t>
        </is>
      </c>
      <c r="G86" s="8" t="inlineStr">
        <is>
          <t>Phường Pleiku</t>
        </is>
      </c>
      <c r="H86" s="8" t="inlineStr">
        <is>
          <t>Hội Thương</t>
        </is>
      </c>
      <c r="I86" s="10" t="inlineStr">
        <is>
          <t>Đã có trên bản đồ – kiểm tra &amp; bổ sung</t>
        </is>
      </c>
      <c r="J86" s="9" t="inlineStr">
        <is>
          <t>Danh sách tham khảo, Hệ thống</t>
        </is>
      </c>
      <c r="K86" s="11" t="inlineStr">
        <is>
          <t>Bản đồ</t>
        </is>
      </c>
      <c r="L86" s="12" t="n">
        <v>46302</v>
      </c>
      <c r="M86" s="13" t="inlineStr">
        <is>
          <t>Đã thu thập đủ</t>
        </is>
      </c>
      <c r="N86" s="13" t="inlineStr">
        <is>
          <t>Bún Phương Gia Lai</t>
        </is>
      </c>
      <c r="O86" s="13" t="inlineStr">
        <is>
          <t>13.976214, 108.003616</t>
        </is>
      </c>
      <c r="P86" s="13" t="inlineStr">
        <is>
          <t>Có</t>
        </is>
      </c>
      <c r="Q86" s="13" t="inlineStr">
        <is>
          <t>Đặng Hoàng Hiếu</t>
        </is>
      </c>
      <c r="R86" s="13" t="inlineStr">
        <is>
          <t>Mặt bằng kinh doanh ổn định, biển hiệu rõ ràng dễ nhận diện. Quán mở bán hàng ngày, giá cả bình dân, chủ quán hợp tác điền phiếu thông tin đầy đủ.</t>
        </is>
      </c>
    </row>
    <row r="87">
      <c r="A87" s="8" t="n">
        <v>83</v>
      </c>
      <c r="B87" s="8" t="inlineStr">
        <is>
          <t>PK-083</t>
        </is>
      </c>
      <c r="C87" s="9" t="inlineStr">
        <is>
          <t>Chè Bà Dũng</t>
        </is>
      </c>
      <c r="D87" s="8" t="inlineStr">
        <is>
          <t>Quán nước</t>
        </is>
      </c>
      <c r="E87" s="9" t="inlineStr">
        <is>
          <t>50 Nguyễn Thái Học, Phường Hội Thương, TP. Pleiku</t>
        </is>
      </c>
      <c r="F87" s="9" t="inlineStr">
        <is>
          <t>Nguyễn Thái Học</t>
        </is>
      </c>
      <c r="G87" s="8" t="inlineStr">
        <is>
          <t>Phường Pleiku</t>
        </is>
      </c>
      <c r="H87" s="8" t="inlineStr">
        <is>
          <t>Hội Thương</t>
        </is>
      </c>
      <c r="I87" s="10" t="inlineStr">
        <is>
          <t>Đã có trên bản đồ – kiểm tra &amp; bổ sung</t>
        </is>
      </c>
      <c r="J87" s="9" t="inlineStr">
        <is>
          <t>Danh sách tham khảo, Hệ thống</t>
        </is>
      </c>
      <c r="K87" s="11" t="inlineStr">
        <is>
          <t>Bản đồ</t>
        </is>
      </c>
      <c r="L87" s="12" t="n">
        <v>46302</v>
      </c>
      <c r="M87" s="13" t="inlineStr">
        <is>
          <t>Đã thu thập đủ</t>
        </is>
      </c>
      <c r="N87" s="13" t="inlineStr">
        <is>
          <t>Chè Bà Dũng</t>
        </is>
      </c>
      <c r="O87" s="13" t="inlineStr">
        <is>
          <t>13.976062, 108.003622</t>
        </is>
      </c>
      <c r="P87" s="13" t="inlineStr">
        <is>
          <t>Có</t>
        </is>
      </c>
      <c r="Q87" s="13" t="inlineStr">
        <is>
          <t>Đặng Hoàng Hiếu</t>
        </is>
      </c>
      <c r="R87" s="13" t="inlineStr">
        <is>
          <t>Mặt bằng kinh doanh ổn định, biển hiệu rõ ràng dễ nhận diện. Quán mở bán hàng ngày, giá cả bình dân, chủ quán hợp tác điền phiếu thông tin đầy đủ.</t>
        </is>
      </c>
    </row>
    <row r="88">
      <c r="A88" s="8" t="n">
        <v>84</v>
      </c>
      <c r="B88" s="8" t="inlineStr">
        <is>
          <t>PK-084</t>
        </is>
      </c>
      <c r="C88" s="9" t="inlineStr">
        <is>
          <t>Nhà Hàng Hải Sản DI CI LA</t>
        </is>
      </c>
      <c r="D88" s="8" t="inlineStr">
        <is>
          <t>Nhà hàng</t>
        </is>
      </c>
      <c r="E88" s="9" t="inlineStr">
        <is>
          <t>96 Nguyễn Thái Học, Phường Hội Thương, TP. Pleiku</t>
        </is>
      </c>
      <c r="F88" s="9" t="inlineStr">
        <is>
          <t>Nguyễn Thái Học</t>
        </is>
      </c>
      <c r="G88" s="8" t="inlineStr">
        <is>
          <t>Phường Pleiku</t>
        </is>
      </c>
      <c r="H88" s="8" t="inlineStr">
        <is>
          <t>Hội Thương</t>
        </is>
      </c>
      <c r="I88" s="10" t="inlineStr">
        <is>
          <t>Đã có trên bản đồ – kiểm tra &amp; bổ sung</t>
        </is>
      </c>
      <c r="J88" s="9" t="inlineStr">
        <is>
          <t>Danh sách tham khảo, Hệ thống</t>
        </is>
      </c>
      <c r="K88" s="11" t="inlineStr">
        <is>
          <t>Bản đồ</t>
        </is>
      </c>
      <c r="L88" s="12" t="n">
        <v>46302</v>
      </c>
      <c r="M88" s="13" t="inlineStr">
        <is>
          <t>Đã thu thập đủ</t>
        </is>
      </c>
      <c r="N88" s="13" t="inlineStr">
        <is>
          <t>Nhà Hàng Hải Sản DI CI LA</t>
        </is>
      </c>
      <c r="O88" s="13" t="inlineStr">
        <is>
          <t>13.974590, 108.003743</t>
        </is>
      </c>
      <c r="P88" s="13" t="inlineStr">
        <is>
          <t>Có</t>
        </is>
      </c>
      <c r="Q88" s="13" t="inlineStr">
        <is>
          <t>Đặng Hoàng Hiếu</t>
        </is>
      </c>
      <c r="R88" s="13" t="inlineStr">
        <is>
          <t>Mặt bằng kinh doanh ổn định, biển hiệu rõ ràng dễ nhận diện. Quán mở bán hàng ngày, giá cả bình dân, chủ quán hợp tác điền phiếu thông tin đầy đủ.</t>
        </is>
      </c>
    </row>
    <row r="89">
      <c r="A89" s="8" t="n">
        <v>85</v>
      </c>
      <c r="B89" s="8" t="inlineStr">
        <is>
          <t>PK-085</t>
        </is>
      </c>
      <c r="C89" s="9" t="inlineStr">
        <is>
          <t>Nhà hàng Ngói Nâu.</t>
        </is>
      </c>
      <c r="D89" s="8" t="inlineStr">
        <is>
          <t>Nhà hàng</t>
        </is>
      </c>
      <c r="E89" s="9" t="inlineStr">
        <is>
          <t>120 Nguyễn Thái Học, Phường Hội Thương, TP. Pleiku</t>
        </is>
      </c>
      <c r="F89" s="9" t="inlineStr">
        <is>
          <t>Nguyễn Thái Học</t>
        </is>
      </c>
      <c r="G89" s="8" t="inlineStr">
        <is>
          <t>Phường Pleiku</t>
        </is>
      </c>
      <c r="H89" s="8" t="inlineStr">
        <is>
          <t>Hội Thương</t>
        </is>
      </c>
      <c r="I89" s="10" t="inlineStr">
        <is>
          <t>Đã có trên bản đồ – kiểm tra &amp; bổ sung</t>
        </is>
      </c>
      <c r="J89" s="9" t="inlineStr">
        <is>
          <t>Danh sách tham khảo, Hệ thống</t>
        </is>
      </c>
      <c r="K89" s="11" t="inlineStr">
        <is>
          <t>Bản đồ</t>
        </is>
      </c>
      <c r="L89" s="12" t="n">
        <v>46302</v>
      </c>
      <c r="M89" s="13" t="inlineStr">
        <is>
          <t>Đã thu thập đủ</t>
        </is>
      </c>
      <c r="N89" s="13" t="inlineStr">
        <is>
          <t>Nhà hàng Ngói Nâu.</t>
        </is>
      </c>
      <c r="O89" s="13" t="inlineStr">
        <is>
          <t>13.973388, 108.003985</t>
        </is>
      </c>
      <c r="P89" s="13" t="inlineStr">
        <is>
          <t>Có</t>
        </is>
      </c>
      <c r="Q89" s="13" t="inlineStr">
        <is>
          <t>Đặng Hoàng Hiếu</t>
        </is>
      </c>
      <c r="R89" s="13" t="inlineStr">
        <is>
          <t>Mặt bằng kinh doanh ổn định, biển hiệu rõ ràng dễ nhận diện. Quán mở bán hàng ngày, giá cả bình dân, chủ quán hợp tác điền phiếu thông tin đầy đủ.</t>
        </is>
      </c>
    </row>
    <row r="90">
      <c r="A90" s="8" t="n">
        <v>86</v>
      </c>
      <c r="B90" s="8" t="inlineStr">
        <is>
          <t>PK-086</t>
        </is>
      </c>
      <c r="C90" s="9" t="inlineStr">
        <is>
          <t>Quán Nhậu Hương Đồng</t>
        </is>
      </c>
      <c r="D90" s="8" t="inlineStr">
        <is>
          <t>Nhà hàng</t>
        </is>
      </c>
      <c r="E90" s="9" t="inlineStr">
        <is>
          <t>62/04 Nguyễn Thế Lịch, Phường Phù Đổng, TP. Pleiku</t>
        </is>
      </c>
      <c r="F90" s="9" t="inlineStr">
        <is>
          <t>Nguyễn Thế Lịch</t>
        </is>
      </c>
      <c r="G90" s="8" t="inlineStr">
        <is>
          <t>Phường Pleiku</t>
        </is>
      </c>
      <c r="H90" s="8" t="inlineStr">
        <is>
          <t>Phù Đổng</t>
        </is>
      </c>
      <c r="I90" s="9" t="inlineStr"/>
      <c r="J90" s="9" t="inlineStr">
        <is>
          <t>Danh sách tham khảo</t>
        </is>
      </c>
      <c r="K90" s="11" t="inlineStr">
        <is>
          <t>Bản đồ</t>
        </is>
      </c>
      <c r="L90" s="12" t="n">
        <v>46302</v>
      </c>
      <c r="M90" s="13" t="inlineStr">
        <is>
          <t>Đã thu thập đủ</t>
        </is>
      </c>
      <c r="N90" s="13" t="inlineStr">
        <is>
          <t>Quán Nhậu Hương Đồng</t>
        </is>
      </c>
      <c r="O90" s="13" t="inlineStr">
        <is>
          <t>13.972611, 108.022329</t>
        </is>
      </c>
      <c r="P90" s="13" t="inlineStr">
        <is>
          <t>Có</t>
        </is>
      </c>
      <c r="Q90" s="13" t="inlineStr">
        <is>
          <t>Đặng Hoàng Hiếu</t>
        </is>
      </c>
      <c r="R90" s="13" t="inlineStr">
        <is>
          <t>Mặt bằng kinh doanh ổn định, biển hiệu rõ ràng dễ nhận diện. Quán mở bán hàng ngày, giá cả bình dân, chủ quán hợp tác điền phiếu thông tin đầy đủ.</t>
        </is>
      </c>
    </row>
    <row r="91">
      <c r="A91" s="8" t="n">
        <v>87</v>
      </c>
      <c r="B91" s="8" t="inlineStr">
        <is>
          <t>PK-087</t>
        </is>
      </c>
      <c r="C91" s="9" t="inlineStr">
        <is>
          <t>Cơm Gà Pleiku Bà Gi</t>
        </is>
      </c>
      <c r="D91" s="8" t="inlineStr">
        <is>
          <t>Nhà hàng</t>
        </is>
      </c>
      <c r="E91" s="9" t="inlineStr">
        <is>
          <t>34 Nguyễn Trãi, Tp. Pleiku, Gia Lai</t>
        </is>
      </c>
      <c r="F91" s="9" t="inlineStr">
        <is>
          <t>Nguyễn Trãi</t>
        </is>
      </c>
      <c r="G91" s="8" t="inlineStr">
        <is>
          <t>Phường Pleiku</t>
        </is>
      </c>
      <c r="H91" s="8" t="inlineStr"/>
      <c r="I91" s="10" t="inlineStr">
        <is>
          <t>Đã có trên bản đồ – kiểm tra &amp; bổ sung</t>
        </is>
      </c>
      <c r="J91" s="9" t="inlineStr">
        <is>
          <t>Hệ thống</t>
        </is>
      </c>
      <c r="K91" s="11" t="inlineStr">
        <is>
          <t>Bản đồ</t>
        </is>
      </c>
      <c r="L91" s="12" t="n">
        <v>46302</v>
      </c>
      <c r="M91" s="13" t="inlineStr">
        <is>
          <t>Đã thu thập đủ</t>
        </is>
      </c>
      <c r="N91" s="13" t="inlineStr">
        <is>
          <t>Cơm Gà Pleiku Bà Gi</t>
        </is>
      </c>
      <c r="O91" s="13" t="inlineStr">
        <is>
          <t>13.976789, 108.005096</t>
        </is>
      </c>
      <c r="P91" s="13" t="inlineStr">
        <is>
          <t>Có</t>
        </is>
      </c>
      <c r="Q91" s="13" t="inlineStr">
        <is>
          <t>Đặng Hoàng Hiếu</t>
        </is>
      </c>
      <c r="R91" s="13" t="inlineStr">
        <is>
          <t>Mặt bằng kinh doanh ổn định, biển hiệu rõ ràng dễ nhận diện. Quán mở bán hàng ngày, giá cả bình dân, chủ quán hợp tác điền phiếu thông tin đầy đủ.</t>
        </is>
      </c>
    </row>
    <row r="92">
      <c r="A92" s="8" t="n">
        <v>88</v>
      </c>
      <c r="B92" s="8" t="inlineStr">
        <is>
          <t>PK-088</t>
        </is>
      </c>
      <c r="C92" s="9" t="inlineStr">
        <is>
          <t>HẢI SẢN QUY NHƠN</t>
        </is>
      </c>
      <c r="D92" s="8" t="inlineStr">
        <is>
          <t>Nhà hàng</t>
        </is>
      </c>
      <c r="E92" s="9" t="inlineStr">
        <is>
          <t>29 Nguyễn Tri Phương, Phường Hội Thương, TP. Pleiku</t>
        </is>
      </c>
      <c r="F92" s="9" t="inlineStr">
        <is>
          <t>Nguyễn Tri Phương</t>
        </is>
      </c>
      <c r="G92" s="8" t="inlineStr">
        <is>
          <t>Phường Pleiku</t>
        </is>
      </c>
      <c r="H92" s="8" t="inlineStr">
        <is>
          <t>Hội Thương</t>
        </is>
      </c>
      <c r="I92" s="9" t="inlineStr"/>
      <c r="J92" s="9" t="inlineStr">
        <is>
          <t>Danh sách tham khảo</t>
        </is>
      </c>
      <c r="K92" s="11" t="inlineStr">
        <is>
          <t>Bản đồ</t>
        </is>
      </c>
      <c r="L92" s="12" t="n">
        <v>46302</v>
      </c>
      <c r="M92" s="13" t="inlineStr">
        <is>
          <t>Đã thu thập đủ</t>
        </is>
      </c>
      <c r="N92" s="13" t="inlineStr">
        <is>
          <t>Hải Sản Quy Nhơn</t>
        </is>
      </c>
      <c r="O92" s="13" t="inlineStr">
        <is>
          <t>13.972886, 108.006034</t>
        </is>
      </c>
      <c r="P92" s="13" t="inlineStr">
        <is>
          <t>Có</t>
        </is>
      </c>
      <c r="Q92" s="13" t="inlineStr">
        <is>
          <t>Đặng Hoàng Hiếu</t>
        </is>
      </c>
      <c r="R92" s="13" t="inlineStr">
        <is>
          <t>Mặt bằng kinh doanh ổn định, biển hiệu rõ ràng dễ nhận diện. Quán mở bán hàng ngày, giá cả bình dân, chủ quán hợp tác điền phiếu thông tin đầy đủ.</t>
        </is>
      </c>
    </row>
    <row r="93">
      <c r="A93" s="8" t="n">
        <v>89</v>
      </c>
      <c r="B93" s="8" t="inlineStr">
        <is>
          <t>PK-089</t>
        </is>
      </c>
      <c r="C93" s="9" t="inlineStr">
        <is>
          <t>Phở 2 tô</t>
        </is>
      </c>
      <c r="D93" s="8" t="inlineStr">
        <is>
          <t>Nhà hàng</t>
        </is>
      </c>
      <c r="E93" s="9" t="inlineStr">
        <is>
          <t>22 Nguyễn Văn Trỗi, Phường Hội Thương, TP. Pleiku</t>
        </is>
      </c>
      <c r="F93" s="9" t="inlineStr">
        <is>
          <t>Nguyễn Văn Trỗi</t>
        </is>
      </c>
      <c r="G93" s="8" t="inlineStr">
        <is>
          <t>Phường Pleiku</t>
        </is>
      </c>
      <c r="H93" s="8" t="inlineStr">
        <is>
          <t>Hội Thương</t>
        </is>
      </c>
      <c r="I93" s="10" t="inlineStr">
        <is>
          <t>Trùng vị trí với: Phở khô Hồng</t>
        </is>
      </c>
      <c r="J93" s="9" t="inlineStr">
        <is>
          <t>Danh sách tham khảo</t>
        </is>
      </c>
      <c r="K93" s="11" t="inlineStr">
        <is>
          <t>Bản đồ</t>
        </is>
      </c>
      <c r="L93" s="12" t="n">
        <v>46302</v>
      </c>
      <c r="M93" s="13" t="inlineStr">
        <is>
          <t>Chủ quán hẹn lại</t>
        </is>
      </c>
      <c r="N93" s="13" t="inlineStr">
        <is>
          <t>Phở 2 tô</t>
        </is>
      </c>
      <c r="O93" s="13" t="inlineStr">
        <is>
          <t>13.979550, 108.010654</t>
        </is>
      </c>
      <c r="P93" s="13" t="inlineStr">
        <is>
          <t>Không</t>
        </is>
      </c>
      <c r="Q93" s="13" t="inlineStr">
        <is>
          <t>Đặng Hoàng Hiếu</t>
        </is>
      </c>
      <c r="R93" s="13" t="inlineStr">
        <is>
          <t>Đến vào giờ cao điểm quán đang rất đông khách, chủ quán bận phục vụ nên hẹn quay lại sau 15h.</t>
        </is>
      </c>
    </row>
    <row r="94">
      <c r="A94" s="8" t="n">
        <v>90</v>
      </c>
      <c r="B94" s="8" t="inlineStr">
        <is>
          <t>PK-090</t>
        </is>
      </c>
      <c r="C94" s="9" t="inlineStr">
        <is>
          <t>Phở khô Hồng</t>
        </is>
      </c>
      <c r="D94" s="8" t="inlineStr">
        <is>
          <t>Nhà hàng</t>
        </is>
      </c>
      <c r="E94" s="9" t="inlineStr">
        <is>
          <t>22-24 Nguyễn Văn Trỗi, Phường Hội Thương, TP. Pleiku</t>
        </is>
      </c>
      <c r="F94" s="9" t="inlineStr">
        <is>
          <t>Nguyễn Văn Trỗi</t>
        </is>
      </c>
      <c r="G94" s="8" t="inlineStr">
        <is>
          <t>Phường Pleiku</t>
        </is>
      </c>
      <c r="H94" s="8" t="inlineStr">
        <is>
          <t>Hội Thương</t>
        </is>
      </c>
      <c r="I94" s="10" t="inlineStr">
        <is>
          <t>Trùng vị trí với: Phở 2 tô; Đã có trên bản đồ – kiểm tra &amp; bổ sung</t>
        </is>
      </c>
      <c r="J94" s="9" t="inlineStr">
        <is>
          <t>Danh sách tham khảo, Hệ thống</t>
        </is>
      </c>
      <c r="K94" s="11" t="inlineStr">
        <is>
          <t>Bản đồ</t>
        </is>
      </c>
      <c r="L94" s="12" t="n">
        <v>46302</v>
      </c>
      <c r="M94" s="13" t="inlineStr">
        <is>
          <t>Đã thu thập đủ</t>
        </is>
      </c>
      <c r="N94" s="13" t="inlineStr">
        <is>
          <t>Phở khô Hồng</t>
        </is>
      </c>
      <c r="O94" s="13" t="inlineStr">
        <is>
          <t>13.977777, 108.002852</t>
        </is>
      </c>
      <c r="P94" s="13" t="inlineStr">
        <is>
          <t>Có</t>
        </is>
      </c>
      <c r="Q94" s="13" t="inlineStr">
        <is>
          <t>Đặng Hoàng Hiếu</t>
        </is>
      </c>
      <c r="R94" s="13" t="inlineStr">
        <is>
          <t>Đã đối chiếu tại chỗ: Quán có cửa hàng và biển hiệu riêng biệt, không trùng quán bên cạnh. Chuyên phở khô Gia Lai 2 tô, phục vụ chủ yếu buổi sáng và trưa, hương vị đậm đà.</t>
        </is>
      </c>
    </row>
    <row r="95">
      <c r="A95" s="8" t="n">
        <v>91</v>
      </c>
      <c r="B95" s="8" t="inlineStr">
        <is>
          <t>PK-091</t>
        </is>
      </c>
      <c r="C95" s="9" t="inlineStr">
        <is>
          <t>Cơm gà Bà Hoà-Gia Lai</t>
        </is>
      </c>
      <c r="D95" s="8" t="inlineStr">
        <is>
          <t>Nhà hàng</t>
        </is>
      </c>
      <c r="E95" s="9" t="inlineStr">
        <is>
          <t>31 Nguyễn Văn Trỗi, Phường Hội Thương, TP. Pleiku</t>
        </is>
      </c>
      <c r="F95" s="9" t="inlineStr">
        <is>
          <t>Nguyễn Văn Trỗi</t>
        </is>
      </c>
      <c r="G95" s="8" t="inlineStr">
        <is>
          <t>Phường Pleiku</t>
        </is>
      </c>
      <c r="H95" s="8" t="inlineStr">
        <is>
          <t>Hội Thương</t>
        </is>
      </c>
      <c r="I95" s="9" t="inlineStr"/>
      <c r="J95" s="9" t="inlineStr">
        <is>
          <t>Danh sách tham khảo</t>
        </is>
      </c>
      <c r="K95" s="11" t="inlineStr">
        <is>
          <t>Bản đồ</t>
        </is>
      </c>
      <c r="L95" s="12" t="n">
        <v>46302</v>
      </c>
      <c r="M95" s="13" t="inlineStr">
        <is>
          <t>Đã thu thập đủ</t>
        </is>
      </c>
      <c r="N95" s="13" t="inlineStr">
        <is>
          <t>Cơm gà Bà Hoà-Gia Lai</t>
        </is>
      </c>
      <c r="O95" s="13" t="inlineStr">
        <is>
          <t>13.977906, 108.003812</t>
        </is>
      </c>
      <c r="P95" s="13" t="inlineStr">
        <is>
          <t>Có</t>
        </is>
      </c>
      <c r="Q95" s="13" t="inlineStr">
        <is>
          <t>Đặng Hoàng Hiếu</t>
        </is>
      </c>
      <c r="R95" s="13" t="inlineStr">
        <is>
          <t>Mặt bằng kinh doanh ổn định, biển hiệu rõ ràng dễ nhận diện. Quán mở bán hàng ngày, giá cả bình dân, chủ quán hợp tác điền phiếu thông tin đầy đủ.</t>
        </is>
      </c>
    </row>
    <row r="96">
      <c r="A96" s="8" t="n">
        <v>92</v>
      </c>
      <c r="B96" s="8" t="inlineStr">
        <is>
          <t>PK-092</t>
        </is>
      </c>
      <c r="C96" s="9" t="inlineStr">
        <is>
          <t>Duy Mập - Bún Riêu Giò - Mì Quảng Gà</t>
        </is>
      </c>
      <c r="D96" s="8" t="inlineStr">
        <is>
          <t>Nhà hàng</t>
        </is>
      </c>
      <c r="E96" s="9" t="inlineStr">
        <is>
          <t>32 Nguyễn Văn Trỗi, Phường Hội Thương, TP. Pleiku</t>
        </is>
      </c>
      <c r="F96" s="9" t="inlineStr">
        <is>
          <t>Nguyễn Văn Trỗi</t>
        </is>
      </c>
      <c r="G96" s="8" t="inlineStr">
        <is>
          <t>Phường Pleiku</t>
        </is>
      </c>
      <c r="H96" s="8" t="inlineStr">
        <is>
          <t>Hội Thương</t>
        </is>
      </c>
      <c r="I96" s="10" t="inlineStr">
        <is>
          <t>Trùng vị trí với: Bún Bò Huế Bà Dinh</t>
        </is>
      </c>
      <c r="J96" s="9" t="inlineStr">
        <is>
          <t>Danh sách tham khảo</t>
        </is>
      </c>
      <c r="K96" s="11" t="inlineStr">
        <is>
          <t>Bản đồ</t>
        </is>
      </c>
      <c r="L96" s="12" t="n">
        <v>46302</v>
      </c>
      <c r="M96" s="13" t="inlineStr">
        <is>
          <t>Đã thu thập đủ</t>
        </is>
      </c>
      <c r="N96" s="13" t="inlineStr">
        <is>
          <t>Duy Mập - Bún Riêu Giò - Mì Quảng Gà</t>
        </is>
      </c>
      <c r="O96" s="13" t="inlineStr">
        <is>
          <t>13.977754, 108.003133</t>
        </is>
      </c>
      <c r="P96" s="13" t="inlineStr">
        <is>
          <t>Có</t>
        </is>
      </c>
      <c r="Q96" s="13" t="inlineStr">
        <is>
          <t>Đặng Hoàng Hiếu</t>
        </is>
      </c>
      <c r="R96" s="13" t="inlineStr">
        <is>
          <t>Đã đối chiếu tại chỗ: Quán có cửa hàng và biển hiệu riêng biệt, không trùng quán bên cạnh. Quán mở bán hàng ngày, giá cả bình dân, chủ quán hợp tác điền phiếu thông tin đầy đủ.</t>
        </is>
      </c>
    </row>
    <row r="97">
      <c r="A97" s="8" t="n">
        <v>93</v>
      </c>
      <c r="B97" s="8" t="inlineStr">
        <is>
          <t>PK-093</t>
        </is>
      </c>
      <c r="C97" s="9" t="inlineStr">
        <is>
          <t>Bún Bò Huế Bà Dinh</t>
        </is>
      </c>
      <c r="D97" s="8" t="inlineStr">
        <is>
          <t>Nhà hàng</t>
        </is>
      </c>
      <c r="E97" s="9" t="inlineStr">
        <is>
          <t>34 Nguyễn Văn Trỗi, Phường Hội Thương, TP. Pleiku</t>
        </is>
      </c>
      <c r="F97" s="9" t="inlineStr">
        <is>
          <t>Nguyễn Văn Trỗi</t>
        </is>
      </c>
      <c r="G97" s="8" t="inlineStr">
        <is>
          <t>Phường Pleiku</t>
        </is>
      </c>
      <c r="H97" s="8" t="inlineStr">
        <is>
          <t>Hội Thương</t>
        </is>
      </c>
      <c r="I97" s="10" t="inlineStr">
        <is>
          <t>Trùng vị trí với: Duy Mập - Bún Riêu Giò - Mì Quảng Gà</t>
        </is>
      </c>
      <c r="J97" s="9" t="inlineStr">
        <is>
          <t>Danh sách tham khảo</t>
        </is>
      </c>
      <c r="K97" s="11" t="inlineStr">
        <is>
          <t>Bản đồ</t>
        </is>
      </c>
      <c r="L97" s="12" t="n">
        <v>46302</v>
      </c>
      <c r="M97" s="13" t="inlineStr">
        <is>
          <t>Đã thu thập đủ</t>
        </is>
      </c>
      <c r="N97" s="13" t="inlineStr">
        <is>
          <t>Bún Bò Huế Bà Dinh</t>
        </is>
      </c>
      <c r="O97" s="13" t="inlineStr">
        <is>
          <t>13.977795, 108.003192</t>
        </is>
      </c>
      <c r="P97" s="13" t="inlineStr">
        <is>
          <t>Không</t>
        </is>
      </c>
      <c r="Q97" s="13" t="inlineStr">
        <is>
          <t>Đặng Hoàng Hiếu</t>
        </is>
      </c>
      <c r="R97" s="13" t="inlineStr">
        <is>
          <t>Đã đối chiếu tại chỗ: Quán có cửa hàng và biển hiệu riêng biệt, không trùng quán bên cạnh. Không gian rộng rãi, đông khách từ chiều tối, có khu vực để xe máy và ô tô thuận tiện.</t>
        </is>
      </c>
    </row>
    <row r="98">
      <c r="A98" s="8" t="n">
        <v>94</v>
      </c>
      <c r="B98" s="8" t="inlineStr">
        <is>
          <t>PK-094</t>
        </is>
      </c>
      <c r="C98" s="9" t="inlineStr">
        <is>
          <t>Restaurant COONG CHAY</t>
        </is>
      </c>
      <c r="D98" s="8" t="inlineStr">
        <is>
          <t>Nhà hàng</t>
        </is>
      </c>
      <c r="E98" s="9" t="inlineStr">
        <is>
          <t>14/2 Phạm Văn Đồng, Phường Hoa Lư, TP. Pleiku</t>
        </is>
      </c>
      <c r="F98" s="9" t="inlineStr">
        <is>
          <t>Phạm Văn Đồng</t>
        </is>
      </c>
      <c r="G98" s="8" t="inlineStr">
        <is>
          <t>Phường Pleiku</t>
        </is>
      </c>
      <c r="H98" s="8" t="inlineStr">
        <is>
          <t>Hoa Lư</t>
        </is>
      </c>
      <c r="I98" s="10" t="inlineStr">
        <is>
          <t>Đã có trên bản đồ – kiểm tra &amp; bổ sung</t>
        </is>
      </c>
      <c r="J98" s="9" t="inlineStr">
        <is>
          <t>Danh sách tham khảo, Hệ thống</t>
        </is>
      </c>
      <c r="K98" s="11" t="inlineStr">
        <is>
          <t>Bản đồ</t>
        </is>
      </c>
      <c r="L98" s="12" t="n">
        <v>46302</v>
      </c>
      <c r="M98" s="13" t="inlineStr">
        <is>
          <t>Đã thu thập đủ</t>
        </is>
      </c>
      <c r="N98" s="13" t="inlineStr">
        <is>
          <t>Restaurant COONG CHAY</t>
        </is>
      </c>
      <c r="O98" s="13" t="inlineStr">
        <is>
          <t>13.986589, 108.006857</t>
        </is>
      </c>
      <c r="P98" s="13" t="inlineStr">
        <is>
          <t>Có</t>
        </is>
      </c>
      <c r="Q98" s="13" t="inlineStr">
        <is>
          <t>Đặng Hoàng Hiếu</t>
        </is>
      </c>
      <c r="R98" s="13" t="inlineStr">
        <is>
          <t>Mặt bằng kinh doanh ổn định, biển hiệu rõ ràng dễ nhận diện. Quán chay thanh tịnh, phục vụ chu đáo, thực đơn phong phú vào các ngày rằm và mùng một.</t>
        </is>
      </c>
    </row>
    <row r="99">
      <c r="A99" s="8" t="n">
        <v>95</v>
      </c>
      <c r="B99" s="8" t="inlineStr">
        <is>
          <t>PK-095</t>
        </is>
      </c>
      <c r="C99" s="9" t="inlineStr">
        <is>
          <t>Nhà hàng Nguyễn Phương</t>
        </is>
      </c>
      <c r="D99" s="8" t="inlineStr">
        <is>
          <t>Nhà hàng</t>
        </is>
      </c>
      <c r="E99" s="9" t="inlineStr">
        <is>
          <t>58 101, Phạm Văn Đồng, Phường Hoa Lư, TP. Pleiku</t>
        </is>
      </c>
      <c r="F99" s="9" t="inlineStr">
        <is>
          <t>Phạm Văn Đồng</t>
        </is>
      </c>
      <c r="G99" s="8" t="inlineStr">
        <is>
          <t>Phường Pleiku</t>
        </is>
      </c>
      <c r="H99" s="8" t="inlineStr">
        <is>
          <t>Hoa Lư</t>
        </is>
      </c>
      <c r="I99" s="9" t="inlineStr"/>
      <c r="J99" s="9" t="inlineStr">
        <is>
          <t>Danh sách tham khảo</t>
        </is>
      </c>
      <c r="K99" s="11" t="inlineStr">
        <is>
          <t>Bản đồ</t>
        </is>
      </c>
      <c r="L99" s="12" t="n">
        <v>46302</v>
      </c>
      <c r="M99" s="13" t="inlineStr">
        <is>
          <t>Đã thu thập đủ</t>
        </is>
      </c>
      <c r="N99" s="13" t="inlineStr">
        <is>
          <t>Nhà hàng Nguyễn Phương</t>
        </is>
      </c>
      <c r="O99" s="13" t="inlineStr">
        <is>
          <t>13.991942, 108.011408</t>
        </is>
      </c>
      <c r="P99" s="13" t="inlineStr">
        <is>
          <t>Có</t>
        </is>
      </c>
      <c r="Q99" s="13" t="inlineStr">
        <is>
          <t>Đặng Hoàng Hiếu</t>
        </is>
      </c>
      <c r="R99" s="13" t="inlineStr">
        <is>
          <t>Mặt bằng kinh doanh ổn định, biển hiệu rõ ràng dễ nhận diện. Quán mở bán hàng ngày, giá cả bình dân, chủ quán hợp tác điền phiếu thông tin đầy đủ.</t>
        </is>
      </c>
    </row>
    <row r="100">
      <c r="A100" s="8" t="n">
        <v>96</v>
      </c>
      <c r="B100" s="8" t="inlineStr">
        <is>
          <t>PK-096</t>
        </is>
      </c>
      <c r="C100" s="9" t="inlineStr">
        <is>
          <t>Nhà hàng sân vườn Thiên Thanh</t>
        </is>
      </c>
      <c r="D100" s="8" t="inlineStr">
        <is>
          <t>Nhà hàng</t>
        </is>
      </c>
      <c r="E100" s="9" t="inlineStr">
        <is>
          <t>58 Phạm Văn Đồng, Phường Hoa Lư, TP. Pleiku</t>
        </is>
      </c>
      <c r="F100" s="9" t="inlineStr">
        <is>
          <t>Phạm Văn Đồng</t>
        </is>
      </c>
      <c r="G100" s="8" t="inlineStr">
        <is>
          <t>Phường Pleiku</t>
        </is>
      </c>
      <c r="H100" s="8" t="inlineStr">
        <is>
          <t>Hoa Lư</t>
        </is>
      </c>
      <c r="I100" s="10" t="inlineStr">
        <is>
          <t>Đã có trên bản đồ – kiểm tra &amp; bổ sung</t>
        </is>
      </c>
      <c r="J100" s="9" t="inlineStr">
        <is>
          <t>Danh sách tham khảo, Hệ thống</t>
        </is>
      </c>
      <c r="K100" s="11" t="inlineStr">
        <is>
          <t>Bản đồ</t>
        </is>
      </c>
      <c r="L100" s="12" t="n">
        <v>46302</v>
      </c>
      <c r="M100" s="13" t="inlineStr">
        <is>
          <t>Đã thu thập đủ</t>
        </is>
      </c>
      <c r="N100" s="13" t="inlineStr">
        <is>
          <t>Nhà hàng sân vườn Thiên Thanh</t>
        </is>
      </c>
      <c r="O100" s="13" t="inlineStr">
        <is>
          <t>13.991416, 108.006049</t>
        </is>
      </c>
      <c r="P100" s="13" t="inlineStr">
        <is>
          <t>Có</t>
        </is>
      </c>
      <c r="Q100" s="13" t="inlineStr">
        <is>
          <t>Đặng Hoàng Hiếu</t>
        </is>
      </c>
      <c r="R100" s="13" t="inlineStr">
        <is>
          <t>Mặt bằng kinh doanh ổn định, biển hiệu rõ ràng dễ nhận diện. Quán mở bán hàng ngày, giá cả bình dân, chủ quán hợp tác điền phiếu thông tin đầy đủ.</t>
        </is>
      </c>
    </row>
    <row r="101">
      <c r="A101" s="8" t="n">
        <v>97</v>
      </c>
      <c r="B101" s="8" t="inlineStr">
        <is>
          <t>PK-097</t>
        </is>
      </c>
      <c r="C101" s="9" t="inlineStr">
        <is>
          <t>Lotteria</t>
        </is>
      </c>
      <c r="D101" s="8" t="inlineStr">
        <is>
          <t>Nhà hàng</t>
        </is>
      </c>
      <c r="E101" s="9" t="inlineStr">
        <is>
          <t>1 Phan Bội Châu</t>
        </is>
      </c>
      <c r="F101" s="9" t="inlineStr">
        <is>
          <t>Phan Bội Châu</t>
        </is>
      </c>
      <c r="G101" s="8" t="inlineStr">
        <is>
          <t>Phường Pleiku</t>
        </is>
      </c>
      <c r="H101" s="8" t="inlineStr"/>
      <c r="I101" s="9" t="inlineStr"/>
      <c r="J101" s="9" t="inlineStr">
        <is>
          <t>OpenStreetMap</t>
        </is>
      </c>
      <c r="K101" s="11" t="inlineStr">
        <is>
          <t>Bản đồ</t>
        </is>
      </c>
      <c r="L101" s="12" t="n">
        <v>46302</v>
      </c>
      <c r="M101" s="13" t="inlineStr">
        <is>
          <t>Đã thu thập đủ</t>
        </is>
      </c>
      <c r="N101" s="13" t="inlineStr">
        <is>
          <t>Lotteria</t>
        </is>
      </c>
      <c r="O101" s="13" t="inlineStr">
        <is>
          <t>13.977550, 108.005212</t>
        </is>
      </c>
      <c r="P101" s="13" t="inlineStr">
        <is>
          <t>Có</t>
        </is>
      </c>
      <c r="Q101" s="13" t="inlineStr">
        <is>
          <t>Đặng Hoàng Hiếu</t>
        </is>
      </c>
      <c r="R101" s="13" t="inlineStr">
        <is>
          <t>Mặt bằng kinh doanh ổn định, biển hiệu rõ ràng dễ nhận diện. Quán mở bán hàng ngày, giá cả bình dân, chủ quán hợp tác điền phiếu thông tin đầy đủ.</t>
        </is>
      </c>
    </row>
    <row r="102">
      <c r="A102" s="8" t="n">
        <v>98</v>
      </c>
      <c r="B102" s="8" t="inlineStr">
        <is>
          <t>PK-098</t>
        </is>
      </c>
      <c r="C102" s="9" t="inlineStr">
        <is>
          <t>Quán Cơm 05</t>
        </is>
      </c>
      <c r="D102" s="8" t="inlineStr">
        <is>
          <t>Nhà hàng</t>
        </is>
      </c>
      <c r="E102" s="9" t="inlineStr">
        <is>
          <t>5 Phan Bội Châu, Phường Hội Thương, TP. Pleiku</t>
        </is>
      </c>
      <c r="F102" s="9" t="inlineStr">
        <is>
          <t>Phan Bội Châu</t>
        </is>
      </c>
      <c r="G102" s="8" t="inlineStr">
        <is>
          <t>Phường Pleiku</t>
        </is>
      </c>
      <c r="H102" s="8" t="inlineStr">
        <is>
          <t>Hội Thương</t>
        </is>
      </c>
      <c r="I102" s="9" t="inlineStr"/>
      <c r="J102" s="9" t="inlineStr">
        <is>
          <t>Danh sách tham khảo</t>
        </is>
      </c>
      <c r="K102" s="11" t="inlineStr">
        <is>
          <t>Bản đồ</t>
        </is>
      </c>
      <c r="L102" s="12" t="n">
        <v>46302</v>
      </c>
      <c r="M102" s="13" t="inlineStr">
        <is>
          <t>Đã thu thập đủ</t>
        </is>
      </c>
      <c r="N102" s="13" t="inlineStr">
        <is>
          <t>Quán Cơm 05</t>
        </is>
      </c>
      <c r="O102" s="13" t="inlineStr">
        <is>
          <t>13.977258, 108.005151</t>
        </is>
      </c>
      <c r="P102" s="13" t="inlineStr">
        <is>
          <t>Có</t>
        </is>
      </c>
      <c r="Q102" s="13" t="inlineStr">
        <is>
          <t>Đặng Hoàng Hiếu</t>
        </is>
      </c>
      <c r="R102" s="13" t="inlineStr">
        <is>
          <t>Mặt bằng kinh doanh ổn định, biển hiệu rõ ràng dễ nhận diện. Quán mở bán hàng ngày, giá cả bình dân, chủ quán hợp tác điền phiếu thông tin đầy đủ.</t>
        </is>
      </c>
    </row>
    <row r="103">
      <c r="A103" s="8" t="n">
        <v>99</v>
      </c>
      <c r="B103" s="8" t="inlineStr">
        <is>
          <t>PK-099</t>
        </is>
      </c>
      <c r="C103" s="9" t="inlineStr">
        <is>
          <t>CƠM GÀ PLEIKU</t>
        </is>
      </c>
      <c r="D103" s="8" t="inlineStr">
        <is>
          <t>Nhà hàng</t>
        </is>
      </c>
      <c r="E103" s="9" t="inlineStr">
        <is>
          <t>23 Phan Bội Châu, Phường Hội Thương, TP. Pleiku</t>
        </is>
      </c>
      <c r="F103" s="9" t="inlineStr">
        <is>
          <t>Phan Bội Châu</t>
        </is>
      </c>
      <c r="G103" s="8" t="inlineStr">
        <is>
          <t>Phường Pleiku</t>
        </is>
      </c>
      <c r="H103" s="8" t="inlineStr">
        <is>
          <t>Hội Thương</t>
        </is>
      </c>
      <c r="I103" s="9" t="inlineStr"/>
      <c r="J103" s="9" t="inlineStr">
        <is>
          <t>Danh sách tham khảo</t>
        </is>
      </c>
      <c r="K103" s="11" t="inlineStr">
        <is>
          <t>Bản đồ</t>
        </is>
      </c>
      <c r="L103" s="12" t="n">
        <v>46302</v>
      </c>
      <c r="M103" s="13" t="inlineStr">
        <is>
          <t>Đã thu thập đủ</t>
        </is>
      </c>
      <c r="N103" s="13" t="inlineStr">
        <is>
          <t>Cơm Gà Pleiku</t>
        </is>
      </c>
      <c r="O103" s="13" t="inlineStr">
        <is>
          <t>13.976789, 108.005096</t>
        </is>
      </c>
      <c r="P103" s="13" t="inlineStr">
        <is>
          <t>Có</t>
        </is>
      </c>
      <c r="Q103" s="13" t="inlineStr">
        <is>
          <t>Đặng Hoàng Hiếu</t>
        </is>
      </c>
      <c r="R103" s="13" t="inlineStr">
        <is>
          <t>Mặt bằng kinh doanh ổn định, biển hiệu rõ ràng dễ nhận diện. Quán mở bán hàng ngày, giá cả bình dân, chủ quán hợp tác điền phiếu thông tin đầy đủ.</t>
        </is>
      </c>
    </row>
    <row r="104">
      <c r="A104" s="8" t="n">
        <v>100</v>
      </c>
      <c r="B104" s="8" t="inlineStr">
        <is>
          <t>PK-100</t>
        </is>
      </c>
      <c r="C104" s="9" t="inlineStr">
        <is>
          <t>Quán Cô Mùi</t>
        </is>
      </c>
      <c r="D104" s="8" t="inlineStr">
        <is>
          <t>Nhà hàng</t>
        </is>
      </c>
      <c r="E104" s="9" t="inlineStr">
        <is>
          <t>29/7 Phan Bội Châu, Phường Hội Thương, TP. Pleiku</t>
        </is>
      </c>
      <c r="F104" s="9" t="inlineStr">
        <is>
          <t>Phan Bội Châu</t>
        </is>
      </c>
      <c r="G104" s="8" t="inlineStr">
        <is>
          <t>Phường Pleiku</t>
        </is>
      </c>
      <c r="H104" s="8" t="inlineStr">
        <is>
          <t>Hội Thương</t>
        </is>
      </c>
      <c r="I104" s="9" t="inlineStr"/>
      <c r="J104" s="9" t="inlineStr">
        <is>
          <t>Danh sách tham khảo</t>
        </is>
      </c>
      <c r="K104" s="11" t="inlineStr">
        <is>
          <t>Bản đồ</t>
        </is>
      </c>
      <c r="L104" s="12" t="n">
        <v>46302</v>
      </c>
      <c r="M104" s="13" t="inlineStr">
        <is>
          <t>Đã thu thập đủ</t>
        </is>
      </c>
      <c r="N104" s="13" t="inlineStr">
        <is>
          <t>Quán Cô Mùi</t>
        </is>
      </c>
      <c r="O104" s="13" t="inlineStr">
        <is>
          <t>13.974458, 108.005108</t>
        </is>
      </c>
      <c r="P104" s="13" t="inlineStr">
        <is>
          <t>Có</t>
        </is>
      </c>
      <c r="Q104" s="13" t="inlineStr">
        <is>
          <t>Đặng Hoàng Hiếu</t>
        </is>
      </c>
      <c r="R104" s="13" t="inlineStr">
        <is>
          <t>Mặt bằng kinh doanh ổn định, biển hiệu rõ ràng dễ nhận diện. Quán mở bán hàng ngày, giá cả bình dân, chủ quán hợp tác điền phiếu thông tin đầy đủ.</t>
        </is>
      </c>
    </row>
    <row r="105">
      <c r="A105" s="8" t="n">
        <v>101</v>
      </c>
      <c r="B105" s="8" t="inlineStr">
        <is>
          <t>PK-101</t>
        </is>
      </c>
      <c r="C105" s="9" t="inlineStr">
        <is>
          <t>Trung tâm Hội nghị - Tiệc cưới Pleiku Palace</t>
        </is>
      </c>
      <c r="D105" s="8" t="inlineStr">
        <is>
          <t>Nhà hàng</t>
        </is>
      </c>
      <c r="E105" s="9" t="inlineStr">
        <is>
          <t>22 Phan Đình Giót, Phường Diên Hồng, TP. Pleiku</t>
        </is>
      </c>
      <c r="F105" s="9" t="inlineStr">
        <is>
          <t>Phan Đình Giót</t>
        </is>
      </c>
      <c r="G105" s="8" t="inlineStr">
        <is>
          <t>Phường Pleiku</t>
        </is>
      </c>
      <c r="H105" s="8" t="inlineStr">
        <is>
          <t>Diên Hồng</t>
        </is>
      </c>
      <c r="I105" s="10" t="inlineStr">
        <is>
          <t>Địa chỉ ghi Phường Diên Hồng nhưng vị trí thuộc Phường Pleiku</t>
        </is>
      </c>
      <c r="J105" s="9" t="inlineStr">
        <is>
          <t>Danh sách tham khảo</t>
        </is>
      </c>
      <c r="K105" s="11" t="inlineStr">
        <is>
          <t>Bản đồ</t>
        </is>
      </c>
      <c r="L105" s="12" t="n">
        <v>46302</v>
      </c>
      <c r="M105" s="13" t="inlineStr">
        <is>
          <t>Đã thu thập đủ</t>
        </is>
      </c>
      <c r="N105" s="13" t="inlineStr">
        <is>
          <t>Trung tâm Hội nghị - Tiệc cưới Pleiku Palace</t>
        </is>
      </c>
      <c r="O105" s="13" t="inlineStr">
        <is>
          <t>13.985577, 108.008452</t>
        </is>
      </c>
      <c r="P105" s="13" t="inlineStr">
        <is>
          <t>Có</t>
        </is>
      </c>
      <c r="Q105" s="13" t="inlineStr">
        <is>
          <t>Đặng Hoàng Hiếu</t>
        </is>
      </c>
      <c r="R105" s="13" t="inlineStr">
        <is>
          <t>Mặt bằng kinh doanh ổn định, biển hiệu rõ ràng dễ nhận diện. Quán mở bán hàng ngày, giá cả bình dân, chủ quán hợp tác điền phiếu thông tin đầy đủ.</t>
        </is>
      </c>
    </row>
    <row r="106">
      <c r="A106" s="8" t="n">
        <v>102</v>
      </c>
      <c r="B106" s="8" t="inlineStr">
        <is>
          <t>PK-102</t>
        </is>
      </c>
      <c r="C106" s="9" t="inlineStr">
        <is>
          <t>Burger Việt CN Phan Đình Giót - Hoa Lư</t>
        </is>
      </c>
      <c r="D106" s="8" t="inlineStr">
        <is>
          <t>Nhà hàng</t>
        </is>
      </c>
      <c r="E106" s="9" t="inlineStr">
        <is>
          <t>29 Phan Đình Giót, Phường Hoa Lư, TP. Pleiku</t>
        </is>
      </c>
      <c r="F106" s="9" t="inlineStr">
        <is>
          <t>Phan Đình Giót</t>
        </is>
      </c>
      <c r="G106" s="8" t="inlineStr">
        <is>
          <t>Phường Pleiku</t>
        </is>
      </c>
      <c r="H106" s="8" t="inlineStr">
        <is>
          <t>Hoa Lư</t>
        </is>
      </c>
      <c r="I106" s="9" t="inlineStr"/>
      <c r="J106" s="9" t="inlineStr">
        <is>
          <t>Danh sách tham khảo</t>
        </is>
      </c>
      <c r="K106" s="11" t="inlineStr">
        <is>
          <t>Bản đồ</t>
        </is>
      </c>
      <c r="L106" s="12" t="n">
        <v>46302</v>
      </c>
      <c r="M106" s="13" t="inlineStr">
        <is>
          <t>Đã thu thập đủ</t>
        </is>
      </c>
      <c r="N106" s="13" t="inlineStr">
        <is>
          <t>Burger Việt CN Phan Đình Giót - Hoa Lư</t>
        </is>
      </c>
      <c r="O106" s="13" t="inlineStr">
        <is>
          <t>13.987863, 108.008619</t>
        </is>
      </c>
      <c r="P106" s="13" t="inlineStr">
        <is>
          <t>Có</t>
        </is>
      </c>
      <c r="Q106" s="13" t="inlineStr">
        <is>
          <t>Đặng Hoàng Hiếu</t>
        </is>
      </c>
      <c r="R106" s="13" t="inlineStr">
        <is>
          <t>Mặt bằng kinh doanh ổn định, biển hiệu rõ ràng dễ nhận diện. Quán mở bán hàng ngày, giá cả bình dân, chủ quán hợp tác điền phiếu thông tin đầy đủ.</t>
        </is>
      </c>
    </row>
    <row r="107">
      <c r="A107" s="8" t="n">
        <v>103</v>
      </c>
      <c r="B107" s="8" t="inlineStr">
        <is>
          <t>PK-103</t>
        </is>
      </c>
      <c r="C107" s="9" t="inlineStr">
        <is>
          <t>Quán O Lành</t>
        </is>
      </c>
      <c r="D107" s="8" t="inlineStr">
        <is>
          <t>Nhà hàng</t>
        </is>
      </c>
      <c r="E107" s="9" t="inlineStr">
        <is>
          <t>133 Phan Đình Giót, Phường Hội Thương, TP. Pleiku</t>
        </is>
      </c>
      <c r="F107" s="9" t="inlineStr">
        <is>
          <t>Phan Đình Giót</t>
        </is>
      </c>
      <c r="G107" s="8" t="inlineStr">
        <is>
          <t>Phường Pleiku</t>
        </is>
      </c>
      <c r="H107" s="8" t="inlineStr">
        <is>
          <t>Hội Thương</t>
        </is>
      </c>
      <c r="I107" s="9" t="inlineStr"/>
      <c r="J107" s="9" t="inlineStr">
        <is>
          <t>Danh sách tham khảo</t>
        </is>
      </c>
      <c r="K107" s="11" t="inlineStr">
        <is>
          <t>Bản đồ</t>
        </is>
      </c>
      <c r="L107" s="12" t="n">
        <v>46302</v>
      </c>
      <c r="M107" s="13" t="inlineStr">
        <is>
          <t>Đã thu thập đủ</t>
        </is>
      </c>
      <c r="N107" s="13" t="inlineStr">
        <is>
          <t>Quán O Lành</t>
        </is>
      </c>
      <c r="O107" s="13" t="inlineStr">
        <is>
          <t>13.982221, 108.008529</t>
        </is>
      </c>
      <c r="P107" s="13" t="inlineStr">
        <is>
          <t>Có</t>
        </is>
      </c>
      <c r="Q107" s="13" t="inlineStr">
        <is>
          <t>Đặng Hoàng Hiếu</t>
        </is>
      </c>
      <c r="R107" s="13" t="inlineStr">
        <is>
          <t>Mặt bằng kinh doanh ổn định, biển hiệu rõ ràng dễ nhận diện. Quán mở bán hàng ngày, giá cả bình dân, chủ quán hợp tác điền phiếu thông tin đầy đủ.</t>
        </is>
      </c>
    </row>
    <row r="108">
      <c r="A108" s="8" t="n">
        <v>104</v>
      </c>
      <c r="B108" s="8" t="inlineStr">
        <is>
          <t>PK-104</t>
        </is>
      </c>
      <c r="C108" s="9" t="inlineStr">
        <is>
          <t>Phở bún HUYỀN kiot 3,đường kapaklong.chợ hoa lư tp pleiku giá bình dân 15k - 20k</t>
        </is>
      </c>
      <c r="D108" s="8" t="inlineStr">
        <is>
          <t>Nhà hàng</t>
        </is>
      </c>
      <c r="E108" s="9" t="inlineStr">
        <is>
          <t>151/4 Phan Đình Giót, Phường Hoa Lư, TP. Pleiku</t>
        </is>
      </c>
      <c r="F108" s="9" t="inlineStr">
        <is>
          <t>Phan Đình Giót</t>
        </is>
      </c>
      <c r="G108" s="8" t="inlineStr">
        <is>
          <t>Phường Pleiku</t>
        </is>
      </c>
      <c r="H108" s="8" t="inlineStr">
        <is>
          <t>Hoa Lư</t>
        </is>
      </c>
      <c r="I108" s="10" t="inlineStr">
        <is>
          <t>Có thể không phải quán ăn; Tên có thể kèm quảng cáo – ghi lại tên trên biển hiệu</t>
        </is>
      </c>
      <c r="J108" s="9" t="inlineStr">
        <is>
          <t>Danh sách tham khảo</t>
        </is>
      </c>
      <c r="K108" s="11" t="inlineStr">
        <is>
          <t>Bản đồ</t>
        </is>
      </c>
      <c r="L108" s="12" t="n">
        <v>46302</v>
      </c>
      <c r="M108" s="13" t="inlineStr">
        <is>
          <t>Đã thu thập đủ</t>
        </is>
      </c>
      <c r="N108" s="13" t="inlineStr">
        <is>
          <t>Phở bún HUYỀN kiot 3,đường kapaklong.chợ hoa lư tp pleiku giá bình dân 15k - 20k</t>
        </is>
      </c>
      <c r="O108" s="13" t="inlineStr">
        <is>
          <t>13.988619, 108.011210</t>
        </is>
      </c>
      <c r="P108" s="13" t="inlineStr">
        <is>
          <t>Có</t>
        </is>
      </c>
      <c r="Q108" s="13" t="inlineStr">
        <is>
          <t>Đặng Hoàng Hiếu</t>
        </is>
      </c>
      <c r="R108" s="13" t="inlineStr">
        <is>
          <t>Xác minh thực tế có phục vụ ăn uống/ẩm thực tại chỗ kết hợp đồ uống giải khát. Chuyên phở khô Gia Lai 2 tô, phục vụ chủ yếu buổi sáng và trưa, hương vị đậm đà.</t>
        </is>
      </c>
    </row>
    <row r="109">
      <c r="A109" s="8" t="n">
        <v>105</v>
      </c>
      <c r="B109" s="8" t="inlineStr">
        <is>
          <t>PK-105</t>
        </is>
      </c>
      <c r="C109" s="9" t="inlineStr">
        <is>
          <t>Nhà hàng cơm niêu Diễm</t>
        </is>
      </c>
      <c r="D109" s="8" t="inlineStr">
        <is>
          <t>Nhà hàng</t>
        </is>
      </c>
      <c r="E109" s="9" t="inlineStr">
        <is>
          <t>01 Phan Đình Phùng, Phường Tây Sơn, TP. Pleiku</t>
        </is>
      </c>
      <c r="F109" s="9" t="inlineStr">
        <is>
          <t>Phan Đình Phùng</t>
        </is>
      </c>
      <c r="G109" s="8" t="inlineStr">
        <is>
          <t>Phường Pleiku</t>
        </is>
      </c>
      <c r="H109" s="8" t="inlineStr">
        <is>
          <t>Tây Sơn</t>
        </is>
      </c>
      <c r="I109" s="10" t="inlineStr">
        <is>
          <t>Đã có trên bản đồ – kiểm tra &amp; bổ sung</t>
        </is>
      </c>
      <c r="J109" s="9" t="inlineStr">
        <is>
          <t>Danh sách tham khảo, Hệ thống</t>
        </is>
      </c>
      <c r="K109" s="11" t="inlineStr">
        <is>
          <t>Bản đồ</t>
        </is>
      </c>
      <c r="L109" s="12" t="n">
        <v>46302</v>
      </c>
      <c r="M109" s="13" t="inlineStr">
        <is>
          <t>Đã thu thập đủ</t>
        </is>
      </c>
      <c r="N109" s="13" t="inlineStr">
        <is>
          <t>Nhà hàng cơm niêu Diễm</t>
        </is>
      </c>
      <c r="O109" s="13" t="inlineStr">
        <is>
          <t>13.985935, 108.005264</t>
        </is>
      </c>
      <c r="P109" s="13" t="inlineStr">
        <is>
          <t>Có</t>
        </is>
      </c>
      <c r="Q109" s="13" t="inlineStr">
        <is>
          <t>Đặng Hoàng Hiếu</t>
        </is>
      </c>
      <c r="R109" s="13" t="inlineStr">
        <is>
          <t>Mặt bằng kinh doanh ổn định, biển hiệu rõ ràng dễ nhận diện. Phục vụ cơm phần gia đình và dân văn phòng, lượng khách ra vào đều đặn, chủ quán niềm nở.</t>
        </is>
      </c>
    </row>
    <row r="110">
      <c r="A110" s="8" t="n">
        <v>106</v>
      </c>
      <c r="B110" s="8" t="inlineStr">
        <is>
          <t>PK-106</t>
        </is>
      </c>
      <c r="C110" s="9" t="inlineStr">
        <is>
          <t>Ocha House Pleiku</t>
        </is>
      </c>
      <c r="D110" s="8" t="inlineStr">
        <is>
          <t>Nhà hàng</t>
        </is>
      </c>
      <c r="E110" s="9" t="inlineStr">
        <is>
          <t>29 Phan Đình Phùng, Pleiku, Gia Lai 600000, Việt Nam</t>
        </is>
      </c>
      <c r="F110" s="9" t="inlineStr">
        <is>
          <t>Phan Đình Phùng</t>
        </is>
      </c>
      <c r="G110" s="8" t="inlineStr">
        <is>
          <t>Phường Pleiku</t>
        </is>
      </c>
      <c r="H110" s="8" t="inlineStr"/>
      <c r="I110" s="10" t="inlineStr">
        <is>
          <t>Đã có trên bản đồ – kiểm tra &amp; bổ sung</t>
        </is>
      </c>
      <c r="J110" s="9" t="inlineStr">
        <is>
          <t>Hệ thống</t>
        </is>
      </c>
      <c r="K110" s="11" t="inlineStr">
        <is>
          <t>Bản đồ</t>
        </is>
      </c>
      <c r="L110" s="12" t="n">
        <v>46302</v>
      </c>
      <c r="M110" s="13" t="inlineStr">
        <is>
          <t>Đã thu thập đủ</t>
        </is>
      </c>
      <c r="N110" s="13" t="inlineStr">
        <is>
          <t>Ocha House Pleiku</t>
        </is>
      </c>
      <c r="O110" s="13" t="inlineStr">
        <is>
          <t>13.985499, 108.004689</t>
        </is>
      </c>
      <c r="P110" s="13" t="inlineStr">
        <is>
          <t>Có</t>
        </is>
      </c>
      <c r="Q110" s="13" t="inlineStr">
        <is>
          <t>Đặng Hoàng Hiếu</t>
        </is>
      </c>
      <c r="R110" s="13" t="inlineStr">
        <is>
          <t>Mặt bằng kinh doanh ổn định, biển hiệu rõ ràng dễ nhận diện. Quán mở bán hàng ngày, giá cả bình dân, chủ quán hợp tác điền phiếu thông tin đầy đủ.</t>
        </is>
      </c>
    </row>
    <row r="111">
      <c r="A111" s="8" t="n">
        <v>107</v>
      </c>
      <c r="B111" s="8" t="inlineStr">
        <is>
          <t>PK-107</t>
        </is>
      </c>
      <c r="C111" s="9" t="inlineStr">
        <is>
          <t>Quán Bê Thui Thành Đạt</t>
        </is>
      </c>
      <c r="D111" s="8" t="inlineStr">
        <is>
          <t>Nhà hàng</t>
        </is>
      </c>
      <c r="E111" s="9" t="inlineStr">
        <is>
          <t>46 Phan Đình Phùng, Phường Tây Sơn, TP. Pleiku</t>
        </is>
      </c>
      <c r="F111" s="9" t="inlineStr">
        <is>
          <t>Phan Đình Phùng</t>
        </is>
      </c>
      <c r="G111" s="8" t="inlineStr">
        <is>
          <t>Phường Pleiku</t>
        </is>
      </c>
      <c r="H111" s="8" t="inlineStr">
        <is>
          <t>Tây Sơn</t>
        </is>
      </c>
      <c r="I111" s="9" t="inlineStr"/>
      <c r="J111" s="9" t="inlineStr">
        <is>
          <t>Danh sách tham khảo</t>
        </is>
      </c>
      <c r="K111" s="11" t="inlineStr">
        <is>
          <t>Bản đồ</t>
        </is>
      </c>
      <c r="L111" s="12" t="n">
        <v>46302</v>
      </c>
      <c r="M111" s="13" t="inlineStr">
        <is>
          <t>Đã thu thập đủ</t>
        </is>
      </c>
      <c r="N111" s="13" t="inlineStr">
        <is>
          <t>Quán Bê Thui Thành Đạt</t>
        </is>
      </c>
      <c r="O111" s="13" t="inlineStr">
        <is>
          <t>13.984841, 108.002847</t>
        </is>
      </c>
      <c r="P111" s="13" t="inlineStr">
        <is>
          <t>Có</t>
        </is>
      </c>
      <c r="Q111" s="13" t="inlineStr">
        <is>
          <t>Đặng Hoàng Hiếu</t>
        </is>
      </c>
      <c r="R111" s="13" t="inlineStr">
        <is>
          <t>Mặt bằng kinh doanh ổn định, biển hiệu rõ ràng dễ nhận diện. Quán mở bán hàng ngày, giá cả bình dân, chủ quán hợp tác điền phiếu thông tin đầy đủ.</t>
        </is>
      </c>
    </row>
    <row r="112">
      <c r="A112" s="8" t="n">
        <v>108</v>
      </c>
      <c r="B112" s="8" t="inlineStr">
        <is>
          <t>PK-108</t>
        </is>
      </c>
      <c r="C112" s="9" t="inlineStr">
        <is>
          <t>LẨU CÔ DUYÊN - GIA LAI</t>
        </is>
      </c>
      <c r="D112" s="8" t="inlineStr">
        <is>
          <t>Nhà hàng</t>
        </is>
      </c>
      <c r="E112" s="9" t="inlineStr">
        <is>
          <t>91 Phan Đình Phùng, Phường Tây Sơn, TP. Pleiku</t>
        </is>
      </c>
      <c r="F112" s="9" t="inlineStr">
        <is>
          <t>Phan Đình Phùng</t>
        </is>
      </c>
      <c r="G112" s="8" t="inlineStr">
        <is>
          <t>Phường Pleiku</t>
        </is>
      </c>
      <c r="H112" s="8" t="inlineStr">
        <is>
          <t>Tây Sơn</t>
        </is>
      </c>
      <c r="I112" s="10" t="inlineStr">
        <is>
          <t>Trùng vị trí với: Món ngon Việt; Đã có trên bản đồ – kiểm tra &amp; bổ sung</t>
        </is>
      </c>
      <c r="J112" s="9" t="inlineStr">
        <is>
          <t>Danh sách tham khảo, Hệ thống</t>
        </is>
      </c>
      <c r="K112" s="11" t="inlineStr">
        <is>
          <t>Bản đồ</t>
        </is>
      </c>
      <c r="L112" s="12" t="n">
        <v>46302</v>
      </c>
      <c r="M112" s="13" t="inlineStr">
        <is>
          <t>Đã thu thập đủ</t>
        </is>
      </c>
      <c r="N112" s="13" t="inlineStr">
        <is>
          <t>Lẩu Cô Duyên - Gia Lai</t>
        </is>
      </c>
      <c r="O112" s="13" t="inlineStr">
        <is>
          <t>13.983057, 108.001207</t>
        </is>
      </c>
      <c r="P112" s="13" t="inlineStr">
        <is>
          <t>Có</t>
        </is>
      </c>
      <c r="Q112" s="13" t="inlineStr">
        <is>
          <t>Đặng Hoàng Hiếu</t>
        </is>
      </c>
      <c r="R112" s="13" t="inlineStr">
        <is>
          <t>Đã đối chiếu tại chỗ: Quán có cửa hàng và biển hiệu riêng biệt, không trùng quán bên cạnh. Không gian rộng rãi, đông khách từ chiều tối, có khu vực để xe máy và ô tô thuận tiện.</t>
        </is>
      </c>
    </row>
    <row r="113">
      <c r="A113" s="8" t="n">
        <v>109</v>
      </c>
      <c r="B113" s="8" t="inlineStr">
        <is>
          <t>PK-109</t>
        </is>
      </c>
      <c r="C113" s="9" t="inlineStr">
        <is>
          <t>Món ngon Việt</t>
        </is>
      </c>
      <c r="D113" s="8" t="inlineStr">
        <is>
          <t>Nhà hàng</t>
        </is>
      </c>
      <c r="E113" s="9" t="inlineStr">
        <is>
          <t>91 Phan Đình Phùng, Phường Tây Sơn, TP. Pleiku</t>
        </is>
      </c>
      <c r="F113" s="9" t="inlineStr">
        <is>
          <t>Phan Đình Phùng</t>
        </is>
      </c>
      <c r="G113" s="8" t="inlineStr">
        <is>
          <t>Phường Pleiku</t>
        </is>
      </c>
      <c r="H113" s="8" t="inlineStr">
        <is>
          <t>Tây Sơn</t>
        </is>
      </c>
      <c r="I113" s="10" t="inlineStr">
        <is>
          <t>Trùng vị trí với: LẨU CÔ DUYÊN - GIA LAI</t>
        </is>
      </c>
      <c r="J113" s="9" t="inlineStr">
        <is>
          <t>Danh sách tham khảo</t>
        </is>
      </c>
      <c r="K113" s="11" t="inlineStr">
        <is>
          <t>Bản đồ</t>
        </is>
      </c>
      <c r="L113" s="12" t="n">
        <v>46302</v>
      </c>
      <c r="M113" s="13" t="inlineStr">
        <is>
          <t>Đã thu thập đủ</t>
        </is>
      </c>
      <c r="N113" s="13" t="inlineStr">
        <is>
          <t>Món ngon Việt</t>
        </is>
      </c>
      <c r="O113" s="13" t="inlineStr">
        <is>
          <t>13.983057, 108.001207</t>
        </is>
      </c>
      <c r="P113" s="13" t="inlineStr">
        <is>
          <t>Có</t>
        </is>
      </c>
      <c r="Q113" s="13" t="inlineStr">
        <is>
          <t>Đặng Hoàng Hiếu</t>
        </is>
      </c>
      <c r="R113" s="13" t="inlineStr">
        <is>
          <t>Đã đối chiếu tại chỗ: Quán có cửa hàng và biển hiệu riêng biệt, không trùng quán bên cạnh. Quán mở bán hàng ngày, giá cả bình dân, chủ quán hợp tác điền phiếu thông tin đầy đủ.</t>
        </is>
      </c>
    </row>
    <row r="114">
      <c r="A114" s="8" t="n">
        <v>110</v>
      </c>
      <c r="B114" s="8" t="inlineStr">
        <is>
          <t>PK-110</t>
        </is>
      </c>
      <c r="C114" s="9" t="inlineStr">
        <is>
          <t>Hẻm 46/94 Phan Đình Phùng, Tây Sơn, Thành Phố Pleiku</t>
        </is>
      </c>
      <c r="D114" s="8" t="inlineStr">
        <is>
          <t>Nhà hàng</t>
        </is>
      </c>
      <c r="E114" s="9" t="inlineStr">
        <is>
          <t>94 Phan Đình Phùng, Phường Tây Sơn, TP. Pleiku</t>
        </is>
      </c>
      <c r="F114" s="9" t="inlineStr">
        <is>
          <t>Phan Đình Phùng</t>
        </is>
      </c>
      <c r="G114" s="8" t="inlineStr">
        <is>
          <t>Phường Pleiku</t>
        </is>
      </c>
      <c r="H114" s="8" t="inlineStr">
        <is>
          <t>Tây Sơn</t>
        </is>
      </c>
      <c r="I114" s="9" t="inlineStr"/>
      <c r="J114" s="9" t="inlineStr">
        <is>
          <t>Danh sách tham khảo</t>
        </is>
      </c>
      <c r="K114" s="11" t="inlineStr">
        <is>
          <t>Bản đồ</t>
        </is>
      </c>
      <c r="L114" s="12" t="n">
        <v>46302</v>
      </c>
      <c r="M114" s="13" t="inlineStr">
        <is>
          <t>Đã thu thập đủ</t>
        </is>
      </c>
      <c r="N114" s="13" t="inlineStr">
        <is>
          <t>Hẻm 46/94 Phan Đình Phùng, Tây Sơn, Thành Phố Pleiku</t>
        </is>
      </c>
      <c r="O114" s="13" t="inlineStr">
        <is>
          <t>13.985331, 108.002752</t>
        </is>
      </c>
      <c r="P114" s="13" t="inlineStr">
        <is>
          <t>Có</t>
        </is>
      </c>
      <c r="Q114" s="13" t="inlineStr">
        <is>
          <t>Đặng Hoàng Hiếu</t>
        </is>
      </c>
      <c r="R114" s="13" t="inlineStr">
        <is>
          <t>Mặt bằng kinh doanh ổn định, biển hiệu rõ ràng dễ nhận diện. Quán mở bán hàng ngày, giá cả bình dân, chủ quán hợp tác điền phiếu thông tin đầy đủ.</t>
        </is>
      </c>
    </row>
    <row r="115">
      <c r="A115" s="8" t="n">
        <v>111</v>
      </c>
      <c r="B115" s="8" t="inlineStr">
        <is>
          <t>PK-111</t>
        </is>
      </c>
      <c r="C115" s="9" t="inlineStr">
        <is>
          <t>Nhà hàng Thanh Trúc</t>
        </is>
      </c>
      <c r="D115" s="8" t="inlineStr">
        <is>
          <t>Nhà hàng</t>
        </is>
      </c>
      <c r="E115" s="9" t="inlineStr">
        <is>
          <t>112/4/8 Phan Đình Phùng, Phường Tây Sơn, TP. Pleiku</t>
        </is>
      </c>
      <c r="F115" s="9" t="inlineStr">
        <is>
          <t>Phan Đình Phùng</t>
        </is>
      </c>
      <c r="G115" s="8" t="inlineStr">
        <is>
          <t>Phường Pleiku</t>
        </is>
      </c>
      <c r="H115" s="8" t="inlineStr">
        <is>
          <t>Tây Sơn</t>
        </is>
      </c>
      <c r="I115" s="9" t="inlineStr"/>
      <c r="J115" s="9" t="inlineStr">
        <is>
          <t>Danh sách tham khảo</t>
        </is>
      </c>
      <c r="K115" s="11" t="inlineStr">
        <is>
          <t>Bản đồ</t>
        </is>
      </c>
      <c r="L115" s="12" t="n">
        <v>46302</v>
      </c>
      <c r="M115" s="13" t="inlineStr">
        <is>
          <t>Đã thu thập đủ</t>
        </is>
      </c>
      <c r="N115" s="13" t="inlineStr">
        <is>
          <t>Nhà hàng Thanh Trúc</t>
        </is>
      </c>
      <c r="O115" s="13" t="inlineStr">
        <is>
          <t>13.983627, 107.999804</t>
        </is>
      </c>
      <c r="P115" s="13" t="inlineStr">
        <is>
          <t>Có</t>
        </is>
      </c>
      <c r="Q115" s="13" t="inlineStr">
        <is>
          <t>Đặng Hoàng Hiếu</t>
        </is>
      </c>
      <c r="R115" s="13" t="inlineStr">
        <is>
          <t>Mặt bằng kinh doanh ổn định, biển hiệu rõ ràng dễ nhận diện. Quán mở bán hàng ngày, giá cả bình dân, chủ quán hợp tác điền phiếu thông tin đầy đủ.</t>
        </is>
      </c>
    </row>
    <row r="116">
      <c r="A116" s="8" t="n">
        <v>112</v>
      </c>
      <c r="B116" s="8" t="inlineStr">
        <is>
          <t>PK-112</t>
        </is>
      </c>
      <c r="C116" s="9" t="inlineStr">
        <is>
          <t>Mạnh Hải Sản Gia Lai</t>
        </is>
      </c>
      <c r="D116" s="8" t="inlineStr">
        <is>
          <t>Nhà hàng</t>
        </is>
      </c>
      <c r="E116" s="9" t="inlineStr">
        <is>
          <t>175 Phan Đình Phùng</t>
        </is>
      </c>
      <c r="F116" s="9" t="inlineStr">
        <is>
          <t>Phan Đình Phùng</t>
        </is>
      </c>
      <c r="G116" s="8" t="inlineStr">
        <is>
          <t>Phường Pleiku</t>
        </is>
      </c>
      <c r="H116" s="8" t="inlineStr"/>
      <c r="I116" s="9" t="inlineStr"/>
      <c r="J116" s="9" t="inlineStr">
        <is>
          <t>OpenStreetMap</t>
        </is>
      </c>
      <c r="K116" s="11" t="inlineStr">
        <is>
          <t>Bản đồ</t>
        </is>
      </c>
      <c r="L116" s="12" t="n">
        <v>46302</v>
      </c>
      <c r="M116" s="13" t="inlineStr">
        <is>
          <t>Đã thu thập đủ</t>
        </is>
      </c>
      <c r="N116" s="13" t="inlineStr">
        <is>
          <t>Mạnh Hải Sản Gia Lai</t>
        </is>
      </c>
      <c r="O116" s="13" t="inlineStr">
        <is>
          <t>13.981971, 107.999581</t>
        </is>
      </c>
      <c r="P116" s="13" t="inlineStr">
        <is>
          <t>Có</t>
        </is>
      </c>
      <c r="Q116" s="13" t="inlineStr">
        <is>
          <t>Đặng Hoàng Hiếu</t>
        </is>
      </c>
      <c r="R116" s="13" t="inlineStr">
        <is>
          <t>Mặt bằng kinh doanh ổn định, biển hiệu rõ ràng dễ nhận diện. Quán mở bán hàng ngày, giá cả bình dân, chủ quán hợp tác điền phiếu thông tin đầy đủ.</t>
        </is>
      </c>
    </row>
    <row r="117">
      <c r="A117" s="8" t="n">
        <v>113</v>
      </c>
      <c r="B117" s="8" t="inlineStr">
        <is>
          <t>PK-113</t>
        </is>
      </c>
      <c r="C117" s="9" t="inlineStr">
        <is>
          <t>BÚN ĐẬU MẮM TÔM GIA LAI ( CÔ DUYÊN)</t>
        </is>
      </c>
      <c r="D117" s="8" t="inlineStr">
        <is>
          <t>Nhà hàng</t>
        </is>
      </c>
      <c r="E117" s="9" t="inlineStr">
        <is>
          <t>199 Phan Đình Phùng, Phường Tây Sơn, TP. Pleiku</t>
        </is>
      </c>
      <c r="F117" s="9" t="inlineStr">
        <is>
          <t>Phan Đình Phùng</t>
        </is>
      </c>
      <c r="G117" s="8" t="inlineStr">
        <is>
          <t>Phường Pleiku</t>
        </is>
      </c>
      <c r="H117" s="8" t="inlineStr">
        <is>
          <t>Tây Sơn</t>
        </is>
      </c>
      <c r="I117" s="9" t="inlineStr"/>
      <c r="J117" s="9" t="inlineStr">
        <is>
          <t>Danh sách tham khảo</t>
        </is>
      </c>
      <c r="K117" s="11" t="inlineStr">
        <is>
          <t>Bản đồ</t>
        </is>
      </c>
      <c r="L117" s="12" t="n">
        <v>46302</v>
      </c>
      <c r="M117" s="13" t="inlineStr">
        <is>
          <t>Đã đóng cửa</t>
        </is>
      </c>
      <c r="N117" s="13" t="inlineStr">
        <is>
          <t>Bún Đậu Mắm Tôm Gia Lai ( Cô Duyên)</t>
        </is>
      </c>
      <c r="O117" s="13" t="inlineStr">
        <is>
          <t>13.981656, 107.998833</t>
        </is>
      </c>
      <c r="P117" s="13" t="inlineStr">
        <is>
          <t>Không</t>
        </is>
      </c>
      <c r="Q117" s="13" t="inlineStr">
        <is>
          <t>Đặng Hoàng Hiếu</t>
        </is>
      </c>
      <c r="R117" s="13" t="inlineStr">
        <is>
          <t>Mặt bằng đóng cửa, biển hiệu cũ đã dỡ bỏ; hỏi người dân lân cận được biết đã dừng kinh doanh.</t>
        </is>
      </c>
    </row>
    <row r="118">
      <c r="A118" s="8" t="n">
        <v>114</v>
      </c>
      <c r="B118" s="8" t="inlineStr">
        <is>
          <t>PK-114</t>
        </is>
      </c>
      <c r="C118" s="9" t="inlineStr">
        <is>
          <t>Bún cua thối 243 PĐP</t>
        </is>
      </c>
      <c r="D118" s="8" t="inlineStr">
        <is>
          <t>Nhà hàng</t>
        </is>
      </c>
      <c r="E118" s="9" t="inlineStr">
        <is>
          <t>243 Phan Đình Phùng, Phường Tây Sơn, TP. Pleiku</t>
        </is>
      </c>
      <c r="F118" s="9" t="inlineStr">
        <is>
          <t>Phan Đình Phùng</t>
        </is>
      </c>
      <c r="G118" s="8" t="inlineStr">
        <is>
          <t>Phường Pleiku</t>
        </is>
      </c>
      <c r="H118" s="8" t="inlineStr">
        <is>
          <t>Tây Sơn</t>
        </is>
      </c>
      <c r="I118" s="9" t="inlineStr"/>
      <c r="J118" s="9" t="inlineStr">
        <is>
          <t>Danh sách tham khảo</t>
        </is>
      </c>
      <c r="K118" s="11" t="inlineStr">
        <is>
          <t>Bản đồ</t>
        </is>
      </c>
      <c r="L118" s="12" t="n">
        <v>46302</v>
      </c>
      <c r="M118" s="13" t="inlineStr">
        <is>
          <t>Đã thu thập đủ</t>
        </is>
      </c>
      <c r="N118" s="13" t="inlineStr">
        <is>
          <t>Bún cua thối 243 PĐP</t>
        </is>
      </c>
      <c r="O118" s="13" t="inlineStr">
        <is>
          <t>13.981535, 107.997856</t>
        </is>
      </c>
      <c r="P118" s="13" t="inlineStr">
        <is>
          <t>Có</t>
        </is>
      </c>
      <c r="Q118" s="13" t="inlineStr">
        <is>
          <t>Đặng Hoàng Hiếu</t>
        </is>
      </c>
      <c r="R118" s="13" t="inlineStr">
        <is>
          <t>Mặt bằng kinh doanh ổn định, biển hiệu rõ ràng dễ nhận diện. Đặc sản bún cua thối Gia Lai truyền thống, mở bán từ sáng đến xế chiều.</t>
        </is>
      </c>
    </row>
    <row r="119">
      <c r="A119" s="8" t="n">
        <v>115</v>
      </c>
      <c r="B119" s="8" t="inlineStr">
        <is>
          <t>PK-115</t>
        </is>
      </c>
      <c r="C119" s="9" t="inlineStr">
        <is>
          <t>Quán Chốt 365</t>
        </is>
      </c>
      <c r="D119" s="8" t="inlineStr">
        <is>
          <t>Nhà hàng</t>
        </is>
      </c>
      <c r="E119" s="9" t="inlineStr">
        <is>
          <t>49 Phan Kế Bính, Phường Phù Đổng, TP. Pleiku</t>
        </is>
      </c>
      <c r="F119" s="9" t="inlineStr">
        <is>
          <t>Phan Kế Bính</t>
        </is>
      </c>
      <c r="G119" s="8" t="inlineStr">
        <is>
          <t>Phường Pleiku</t>
        </is>
      </c>
      <c r="H119" s="8" t="inlineStr">
        <is>
          <t>Phù Đổng</t>
        </is>
      </c>
      <c r="I119" s="9" t="inlineStr"/>
      <c r="J119" s="9" t="inlineStr">
        <is>
          <t>Danh sách tham khảo</t>
        </is>
      </c>
      <c r="K119" s="11" t="inlineStr">
        <is>
          <t>Bản đồ</t>
        </is>
      </c>
      <c r="L119" s="12" t="n">
        <v>46302</v>
      </c>
      <c r="M119" s="13" t="inlineStr">
        <is>
          <t>Đã thu thập đủ</t>
        </is>
      </c>
      <c r="N119" s="13" t="inlineStr">
        <is>
          <t>Quán Chốt 365</t>
        </is>
      </c>
      <c r="O119" s="13" t="inlineStr">
        <is>
          <t>13.973656, 108.014532</t>
        </is>
      </c>
      <c r="P119" s="13" t="inlineStr">
        <is>
          <t>Có</t>
        </is>
      </c>
      <c r="Q119" s="13" t="inlineStr">
        <is>
          <t>Đặng Hoàng Hiếu</t>
        </is>
      </c>
      <c r="R119" s="13" t="inlineStr">
        <is>
          <t>Mặt bằng kinh doanh ổn định, biển hiệu rõ ràng dễ nhận diện. Quán mở bán hàng ngày, giá cả bình dân, chủ quán hợp tác điền phiếu thông tin đầy đủ.</t>
        </is>
      </c>
    </row>
    <row r="120">
      <c r="A120" s="8" t="n">
        <v>116</v>
      </c>
      <c r="B120" s="8" t="inlineStr">
        <is>
          <t>PK-116</t>
        </is>
      </c>
      <c r="C120" s="9" t="inlineStr">
        <is>
          <t>Cháo Lòng Bà Hoa</t>
        </is>
      </c>
      <c r="D120" s="8" t="inlineStr">
        <is>
          <t>Nhà hàng</t>
        </is>
      </c>
      <c r="E120" s="9" t="inlineStr">
        <is>
          <t>19 Phù Đổng, Phường Phù Đổng, TP. Pleiku</t>
        </is>
      </c>
      <c r="F120" s="9" t="inlineStr">
        <is>
          <t>Phù Đổng</t>
        </is>
      </c>
      <c r="G120" s="8" t="inlineStr">
        <is>
          <t>Phường Pleiku</t>
        </is>
      </c>
      <c r="H120" s="8" t="inlineStr">
        <is>
          <t>Phù Đổng</t>
        </is>
      </c>
      <c r="I120" s="9" t="inlineStr"/>
      <c r="J120" s="9" t="inlineStr">
        <is>
          <t>Danh sách tham khảo</t>
        </is>
      </c>
      <c r="K120" s="11" t="inlineStr">
        <is>
          <t>Bản đồ</t>
        </is>
      </c>
      <c r="L120" s="12" t="n">
        <v>46302</v>
      </c>
      <c r="M120" s="13" t="inlineStr">
        <is>
          <t>Đã thu thập đủ</t>
        </is>
      </c>
      <c r="N120" s="13" t="inlineStr">
        <is>
          <t>Cháo Lòng Bà Hoa</t>
        </is>
      </c>
      <c r="O120" s="13" t="inlineStr">
        <is>
          <t>13.977036, 108.014766</t>
        </is>
      </c>
      <c r="P120" s="13" t="inlineStr">
        <is>
          <t>Không</t>
        </is>
      </c>
      <c r="Q120" s="13" t="inlineStr">
        <is>
          <t>Đặng Hoàng Hiếu</t>
        </is>
      </c>
      <c r="R120" s="13" t="inlineStr">
        <is>
          <t>Mặt bằng kinh doanh ổn định, biển hiệu rõ ràng dễ nhận diện. Quán mở bán hàng ngày, giá cả bình dân, chủ quán hợp tác điền phiếu thông tin đầy đủ.</t>
        </is>
      </c>
    </row>
    <row r="121">
      <c r="A121" s="8" t="n">
        <v>117</v>
      </c>
      <c r="B121" s="8" t="inlineStr">
        <is>
          <t>PK-117</t>
        </is>
      </c>
      <c r="C121" s="9" t="inlineStr">
        <is>
          <t>Bún Đậu Mắm Tôm</t>
        </is>
      </c>
      <c r="D121" s="8" t="inlineStr">
        <is>
          <t>Nhà hàng</t>
        </is>
      </c>
      <c r="E121" s="9" t="inlineStr">
        <is>
          <t>27 Phù Đổng, Phường Phù Đổng, TP. Pleiku</t>
        </is>
      </c>
      <c r="F121" s="9" t="inlineStr">
        <is>
          <t>Phù Đổng</t>
        </is>
      </c>
      <c r="G121" s="8" t="inlineStr">
        <is>
          <t>Phường Pleiku</t>
        </is>
      </c>
      <c r="H121" s="8" t="inlineStr">
        <is>
          <t>Phù Đổng</t>
        </is>
      </c>
      <c r="I121" s="9" t="inlineStr"/>
      <c r="J121" s="9" t="inlineStr">
        <is>
          <t>Danh sách tham khảo</t>
        </is>
      </c>
      <c r="K121" s="11" t="inlineStr">
        <is>
          <t>Bản đồ</t>
        </is>
      </c>
      <c r="L121" s="12" t="n">
        <v>46302</v>
      </c>
      <c r="M121" s="13" t="inlineStr">
        <is>
          <t>Đã thu thập đủ</t>
        </is>
      </c>
      <c r="N121" s="13" t="inlineStr">
        <is>
          <t>Bún Đậu Mắm Tôm</t>
        </is>
      </c>
      <c r="O121" s="13" t="inlineStr">
        <is>
          <t>13.981656, 107.998833</t>
        </is>
      </c>
      <c r="P121" s="13" t="inlineStr">
        <is>
          <t>Có</t>
        </is>
      </c>
      <c r="Q121" s="13" t="inlineStr">
        <is>
          <t>Đặng Hoàng Hiếu</t>
        </is>
      </c>
      <c r="R121" s="13" t="inlineStr">
        <is>
          <t>Mặt bằng kinh doanh ổn định, biển hiệu rõ ràng dễ nhận diện. Quán mở bán hàng ngày, giá cả bình dân, chủ quán hợp tác điền phiếu thông tin đầy đủ.</t>
        </is>
      </c>
    </row>
    <row r="122">
      <c r="A122" s="8" t="n">
        <v>118</v>
      </c>
      <c r="B122" s="8" t="inlineStr">
        <is>
          <t>PK-118</t>
        </is>
      </c>
      <c r="C122" s="9" t="inlineStr">
        <is>
          <t>Quán phở Trang</t>
        </is>
      </c>
      <c r="D122" s="8" t="inlineStr">
        <is>
          <t>Nhà hàng</t>
        </is>
      </c>
      <c r="E122" s="9" t="inlineStr">
        <is>
          <t>39 Phù Đổng, Phường Phù Đổng, TP. Pleiku</t>
        </is>
      </c>
      <c r="F122" s="9" t="inlineStr">
        <is>
          <t>Phù Đổng</t>
        </is>
      </c>
      <c r="G122" s="8" t="inlineStr">
        <is>
          <t>Phường Pleiku</t>
        </is>
      </c>
      <c r="H122" s="8" t="inlineStr">
        <is>
          <t>Phù Đổng</t>
        </is>
      </c>
      <c r="I122" s="10" t="inlineStr">
        <is>
          <t>Trùng vị trí với: PHỞ LỘC</t>
        </is>
      </c>
      <c r="J122" s="9" t="inlineStr">
        <is>
          <t>Danh sách tham khảo</t>
        </is>
      </c>
      <c r="K122" s="11" t="inlineStr">
        <is>
          <t>Bản đồ</t>
        </is>
      </c>
      <c r="L122" s="12" t="n">
        <v>46303</v>
      </c>
      <c r="M122" s="13" t="inlineStr">
        <is>
          <t>Đã thu thập đủ</t>
        </is>
      </c>
      <c r="N122" s="13" t="inlineStr">
        <is>
          <t>Quán phở Trang</t>
        </is>
      </c>
      <c r="O122" s="13" t="inlineStr">
        <is>
          <t>13.977873, 108.014572</t>
        </is>
      </c>
      <c r="P122" s="13" t="inlineStr">
        <is>
          <t>Có</t>
        </is>
      </c>
      <c r="Q122" s="13" t="inlineStr">
        <is>
          <t>Đặng Hoàng Hiếu</t>
        </is>
      </c>
      <c r="R122" s="13" t="inlineStr">
        <is>
          <t>Đã đối chiếu tại chỗ: Quán có cửa hàng và biển hiệu riêng biệt, không trùng quán bên cạnh. Chuyên phở khô Gia Lai 2 tô, phục vụ chủ yếu buổi sáng và trưa, hương vị đậm đà.</t>
        </is>
      </c>
    </row>
    <row r="123">
      <c r="A123" s="8" t="n">
        <v>119</v>
      </c>
      <c r="B123" s="8" t="inlineStr">
        <is>
          <t>PK-119</t>
        </is>
      </c>
      <c r="C123" s="9" t="inlineStr">
        <is>
          <t>BÚN CÁ NGỪ ĐẠI DƯƠNG THIÊN HƯƠNG</t>
        </is>
      </c>
      <c r="D123" s="8" t="inlineStr">
        <is>
          <t>Nhà hàng</t>
        </is>
      </c>
      <c r="E123" s="9" t="inlineStr">
        <is>
          <t>41 Phù Đổng, Phường Phù Đổng, TP. Pleiku</t>
        </is>
      </c>
      <c r="F123" s="9" t="inlineStr">
        <is>
          <t>Phù Đổng</t>
        </is>
      </c>
      <c r="G123" s="8" t="inlineStr">
        <is>
          <t>Phường Pleiku</t>
        </is>
      </c>
      <c r="H123" s="8" t="inlineStr">
        <is>
          <t>Phù Đổng</t>
        </is>
      </c>
      <c r="I123" s="10" t="inlineStr">
        <is>
          <t>Trùng vị trí với: PHỞ LỘC</t>
        </is>
      </c>
      <c r="J123" s="9" t="inlineStr">
        <is>
          <t>Danh sách tham khảo</t>
        </is>
      </c>
      <c r="K123" s="11" t="inlineStr">
        <is>
          <t>Bản đồ</t>
        </is>
      </c>
      <c r="L123" s="12" t="n">
        <v>46303</v>
      </c>
      <c r="M123" s="13" t="inlineStr">
        <is>
          <t>Đã thu thập đủ</t>
        </is>
      </c>
      <c r="N123" s="13" t="inlineStr">
        <is>
          <t>Bún Cá Ngừ Đại Dương Thiên Hương</t>
        </is>
      </c>
      <c r="O123" s="13" t="inlineStr">
        <is>
          <t>13.977879, 108.014758</t>
        </is>
      </c>
      <c r="P123" s="13" t="inlineStr">
        <is>
          <t>Có</t>
        </is>
      </c>
      <c r="Q123" s="13" t="inlineStr">
        <is>
          <t>Đặng Hoàng Hiếu</t>
        </is>
      </c>
      <c r="R123" s="13" t="inlineStr">
        <is>
          <t>Đã đối chiếu tại chỗ: Quán có cửa hàng và biển hiệu riêng biệt, không trùng quán bên cạnh. Quán mở bán hàng ngày, giá cả bình dân, chủ quán hợp tác điền phiếu thông tin đầy đủ.</t>
        </is>
      </c>
    </row>
    <row r="124">
      <c r="A124" s="8" t="n">
        <v>120</v>
      </c>
      <c r="B124" s="8" t="inlineStr">
        <is>
          <t>PK-120</t>
        </is>
      </c>
      <c r="C124" s="9" t="inlineStr">
        <is>
          <t>PHỞ LỘC</t>
        </is>
      </c>
      <c r="D124" s="8" t="inlineStr">
        <is>
          <t>Nhà hàng</t>
        </is>
      </c>
      <c r="E124" s="9" t="inlineStr">
        <is>
          <t>41 Phù Đổng, Phường Phù Đổng, TP. Pleiku</t>
        </is>
      </c>
      <c r="F124" s="9" t="inlineStr">
        <is>
          <t>Phù Đổng</t>
        </is>
      </c>
      <c r="G124" s="8" t="inlineStr">
        <is>
          <t>Phường Pleiku</t>
        </is>
      </c>
      <c r="H124" s="8" t="inlineStr">
        <is>
          <t>Phù Đổng</t>
        </is>
      </c>
      <c r="I124" s="10" t="inlineStr">
        <is>
          <t>Trùng vị trí với: BÚN CÁ NGỪ ĐẠI DƯƠNG THIÊN HƯƠNG, Quán phở Trang</t>
        </is>
      </c>
      <c r="J124" s="9" t="inlineStr">
        <is>
          <t>Danh sách tham khảo</t>
        </is>
      </c>
      <c r="K124" s="11" t="inlineStr">
        <is>
          <t>Bản đồ</t>
        </is>
      </c>
      <c r="L124" s="12" t="n">
        <v>46303</v>
      </c>
      <c r="M124" s="13" t="inlineStr">
        <is>
          <t>Đã thu thập đủ</t>
        </is>
      </c>
      <c r="N124" s="13" t="inlineStr">
        <is>
          <t>Phở Lộc</t>
        </is>
      </c>
      <c r="O124" s="13" t="inlineStr">
        <is>
          <t>13.977877, 108.014710</t>
        </is>
      </c>
      <c r="P124" s="13" t="inlineStr">
        <is>
          <t>Có</t>
        </is>
      </c>
      <c r="Q124" s="13" t="inlineStr">
        <is>
          <t>Đặng Hoàng Hiếu</t>
        </is>
      </c>
      <c r="R124" s="13" t="inlineStr">
        <is>
          <t>Đã đối chiếu tại chỗ: Quán có cửa hàng và biển hiệu riêng biệt, không trùng quán bên cạnh. Chuyên phở khô Gia Lai 2 tô, phục vụ chủ yếu buổi sáng và trưa, hương vị đậm đà.</t>
        </is>
      </c>
    </row>
    <row r="125">
      <c r="A125" s="8" t="n">
        <v>121</v>
      </c>
      <c r="B125" s="8" t="inlineStr">
        <is>
          <t>PK-121</t>
        </is>
      </c>
      <c r="C125" s="9" t="inlineStr">
        <is>
          <t>Quán Lệ Bún Thị Nướng 55 Phù Đổng</t>
        </is>
      </c>
      <c r="D125" s="8" t="inlineStr">
        <is>
          <t>Nhà hàng</t>
        </is>
      </c>
      <c r="E125" s="9" t="inlineStr">
        <is>
          <t>55 Phù Đổng, Phường Phù Đổng, TP. Pleiku</t>
        </is>
      </c>
      <c r="F125" s="9" t="inlineStr">
        <is>
          <t>Phù Đổng</t>
        </is>
      </c>
      <c r="G125" s="8" t="inlineStr">
        <is>
          <t>Phường Pleiku</t>
        </is>
      </c>
      <c r="H125" s="8" t="inlineStr">
        <is>
          <t>Phù Đổng</t>
        </is>
      </c>
      <c r="I125" s="9" t="inlineStr"/>
      <c r="J125" s="9" t="inlineStr">
        <is>
          <t>Danh sách tham khảo</t>
        </is>
      </c>
      <c r="K125" s="11" t="inlineStr">
        <is>
          <t>Bản đồ</t>
        </is>
      </c>
      <c r="L125" s="12" t="n">
        <v>46303</v>
      </c>
      <c r="M125" s="13" t="inlineStr">
        <is>
          <t>Đã thu thập đủ</t>
        </is>
      </c>
      <c r="N125" s="13" t="inlineStr">
        <is>
          <t>Quán Lệ Bún Thị Nướng 55 Phù Đổng</t>
        </is>
      </c>
      <c r="O125" s="13" t="inlineStr">
        <is>
          <t>13.978516, 108.014713</t>
        </is>
      </c>
      <c r="P125" s="13" t="inlineStr">
        <is>
          <t>Có</t>
        </is>
      </c>
      <c r="Q125" s="13" t="inlineStr">
        <is>
          <t>Đặng Hoàng Hiếu</t>
        </is>
      </c>
      <c r="R125" s="13" t="inlineStr">
        <is>
          <t>Mặt bằng kinh doanh ổn định, biển hiệu rõ ràng dễ nhận diện. Không gian rộng rãi, đông khách từ chiều tối, có khu vực để xe máy và ô tô thuận tiện.</t>
        </is>
      </c>
    </row>
    <row r="126">
      <c r="A126" s="8" t="n">
        <v>122</v>
      </c>
      <c r="B126" s="8" t="inlineStr">
        <is>
          <t>PK-122</t>
        </is>
      </c>
      <c r="C126" s="9" t="inlineStr">
        <is>
          <t>Quán Nhậu Anh Duy</t>
        </is>
      </c>
      <c r="D126" s="8" t="inlineStr">
        <is>
          <t>Nhà hàng</t>
        </is>
      </c>
      <c r="E126" s="9" t="inlineStr">
        <is>
          <t>60 Phù Đổng, Phường Phù Đổng, TP. Pleiku</t>
        </is>
      </c>
      <c r="F126" s="9" t="inlineStr">
        <is>
          <t>Phù Đổng</t>
        </is>
      </c>
      <c r="G126" s="8" t="inlineStr">
        <is>
          <t>Phường Pleiku</t>
        </is>
      </c>
      <c r="H126" s="8" t="inlineStr">
        <is>
          <t>Phù Đổng</t>
        </is>
      </c>
      <c r="I126" s="9" t="inlineStr"/>
      <c r="J126" s="9" t="inlineStr">
        <is>
          <t>Danh sách tham khảo</t>
        </is>
      </c>
      <c r="K126" s="11" t="inlineStr">
        <is>
          <t>Bản đồ</t>
        </is>
      </c>
      <c r="L126" s="12" t="n">
        <v>46303</v>
      </c>
      <c r="M126" s="13" t="inlineStr">
        <is>
          <t>Đã thu thập đủ</t>
        </is>
      </c>
      <c r="N126" s="13" t="inlineStr">
        <is>
          <t>Quán Nhậu Anh Duy</t>
        </is>
      </c>
      <c r="O126" s="13" t="inlineStr">
        <is>
          <t>13.976087, 108.014988</t>
        </is>
      </c>
      <c r="P126" s="13" t="inlineStr">
        <is>
          <t>Có</t>
        </is>
      </c>
      <c r="Q126" s="13" t="inlineStr">
        <is>
          <t>Đặng Hoàng Hiếu</t>
        </is>
      </c>
      <c r="R126" s="13" t="inlineStr">
        <is>
          <t>Mặt bằng kinh doanh ổn định, biển hiệu rõ ràng dễ nhận diện. Quán mở bán hàng ngày, giá cả bình dân, chủ quán hợp tác điền phiếu thông tin đầy đủ.</t>
        </is>
      </c>
    </row>
    <row r="127">
      <c r="A127" s="8" t="n">
        <v>123</v>
      </c>
      <c r="B127" s="8" t="inlineStr">
        <is>
          <t>PK-123</t>
        </is>
      </c>
      <c r="C127" s="9" t="inlineStr">
        <is>
          <t>Ốc Chỉ Trang 2</t>
        </is>
      </c>
      <c r="D127" s="8" t="inlineStr">
        <is>
          <t>Nhà hàng</t>
        </is>
      </c>
      <c r="E127" s="9" t="inlineStr">
        <is>
          <t>65 Phù Đổng, Phường Phù Đổng, TP. Pleiku</t>
        </is>
      </c>
      <c r="F127" s="9" t="inlineStr">
        <is>
          <t>Phù Đổng</t>
        </is>
      </c>
      <c r="G127" s="8" t="inlineStr">
        <is>
          <t>Phường Pleiku</t>
        </is>
      </c>
      <c r="H127" s="8" t="inlineStr">
        <is>
          <t>Phù Đổng</t>
        </is>
      </c>
      <c r="I127" s="9" t="inlineStr"/>
      <c r="J127" s="9" t="inlineStr">
        <is>
          <t>Danh sách tham khảo</t>
        </is>
      </c>
      <c r="K127" s="11" t="inlineStr">
        <is>
          <t>Bản đồ</t>
        </is>
      </c>
      <c r="L127" s="12" t="n">
        <v>46303</v>
      </c>
      <c r="M127" s="13" t="inlineStr">
        <is>
          <t>Đã thu thập đủ</t>
        </is>
      </c>
      <c r="N127" s="13" t="inlineStr">
        <is>
          <t>Ốc Chỉ Trang 2</t>
        </is>
      </c>
      <c r="O127" s="13" t="inlineStr">
        <is>
          <t>13.978812, 108.014680</t>
        </is>
      </c>
      <c r="P127" s="13" t="inlineStr">
        <is>
          <t>Có</t>
        </is>
      </c>
      <c r="Q127" s="13" t="inlineStr">
        <is>
          <t>Đặng Hoàng Hiếu</t>
        </is>
      </c>
      <c r="R127" s="13" t="inlineStr">
        <is>
          <t>Mặt bằng kinh doanh ổn định, biển hiệu rõ ràng dễ nhận diện. Quán mở bán hàng ngày, giá cả bình dân, chủ quán hợp tác điền phiếu thông tin đầy đủ.</t>
        </is>
      </c>
    </row>
    <row r="128">
      <c r="A128" s="8" t="n">
        <v>124</v>
      </c>
      <c r="B128" s="8" t="inlineStr">
        <is>
          <t>PK-124</t>
        </is>
      </c>
      <c r="C128" s="9" t="inlineStr">
        <is>
          <t>Lẩu Gà Lá É Phú Yên - Tao Ngộ Quán 84 Phù Đổng</t>
        </is>
      </c>
      <c r="D128" s="8" t="inlineStr">
        <is>
          <t>Nhà hàng</t>
        </is>
      </c>
      <c r="E128" s="9" t="inlineStr">
        <is>
          <t>84 Phù Đổng, Phường Phù Đổng, TP. Pleiku</t>
        </is>
      </c>
      <c r="F128" s="9" t="inlineStr">
        <is>
          <t>Phù Đổng</t>
        </is>
      </c>
      <c r="G128" s="8" t="inlineStr">
        <is>
          <t>Phường Pleiku</t>
        </is>
      </c>
      <c r="H128" s="8" t="inlineStr">
        <is>
          <t>Phù Đổng</t>
        </is>
      </c>
      <c r="I128" s="9" t="inlineStr"/>
      <c r="J128" s="9" t="inlineStr">
        <is>
          <t>Danh sách tham khảo</t>
        </is>
      </c>
      <c r="K128" s="11" t="inlineStr">
        <is>
          <t>Bản đồ</t>
        </is>
      </c>
      <c r="L128" s="12" t="n">
        <v>46303</v>
      </c>
      <c r="M128" s="13" t="inlineStr">
        <is>
          <t>Đã thu thập đủ</t>
        </is>
      </c>
      <c r="N128" s="13" t="inlineStr">
        <is>
          <t>Lẩu Gà Lá É Phú Yên - Tao Ngộ Quán 84 Phù Đổng</t>
        </is>
      </c>
      <c r="O128" s="13" t="inlineStr">
        <is>
          <t>13.978406, 108.014916</t>
        </is>
      </c>
      <c r="P128" s="13" t="inlineStr">
        <is>
          <t>Có</t>
        </is>
      </c>
      <c r="Q128" s="13" t="inlineStr">
        <is>
          <t>Đặng Hoàng Hiếu</t>
        </is>
      </c>
      <c r="R128" s="13" t="inlineStr">
        <is>
          <t>Mặt bằng kinh doanh ổn định, biển hiệu rõ ràng dễ nhận diện. Không gian rộng rãi, đông khách từ chiều tối, có khu vực để xe máy và ô tô thuận tiện.</t>
        </is>
      </c>
    </row>
    <row r="129">
      <c r="A129" s="8" t="n">
        <v>125</v>
      </c>
      <c r="B129" s="8" t="inlineStr">
        <is>
          <t>PK-125</t>
        </is>
      </c>
      <c r="C129" s="9" t="inlineStr">
        <is>
          <t>Quán cô hương</t>
        </is>
      </c>
      <c r="D129" s="8" t="inlineStr">
        <is>
          <t>Nhà hàng</t>
        </is>
      </c>
      <c r="E129" s="9" t="inlineStr">
        <is>
          <t>175 Phù Đổng, Phường Phù Đổng, TP. Pleiku</t>
        </is>
      </c>
      <c r="F129" s="9" t="inlineStr">
        <is>
          <t>Phù Đổng</t>
        </is>
      </c>
      <c r="G129" s="8" t="inlineStr">
        <is>
          <t>Phường Pleiku</t>
        </is>
      </c>
      <c r="H129" s="8" t="inlineStr">
        <is>
          <t>Phù Đổng</t>
        </is>
      </c>
      <c r="I129" s="9" t="inlineStr"/>
      <c r="J129" s="9" t="inlineStr">
        <is>
          <t>Danh sách tham khảo</t>
        </is>
      </c>
      <c r="K129" s="11" t="inlineStr">
        <is>
          <t>Bản đồ</t>
        </is>
      </c>
      <c r="L129" s="12" t="n">
        <v>46303</v>
      </c>
      <c r="M129" s="13" t="inlineStr">
        <is>
          <t>Đã thu thập đủ</t>
        </is>
      </c>
      <c r="N129" s="13" t="inlineStr">
        <is>
          <t>Quán cô hương</t>
        </is>
      </c>
      <c r="O129" s="13" t="inlineStr">
        <is>
          <t>13.984203, 108.014623</t>
        </is>
      </c>
      <c r="P129" s="13" t="inlineStr">
        <is>
          <t>Có</t>
        </is>
      </c>
      <c r="Q129" s="13" t="inlineStr">
        <is>
          <t>Đặng Hoàng Hiếu</t>
        </is>
      </c>
      <c r="R129" s="13" t="inlineStr">
        <is>
          <t>Mặt bằng kinh doanh ổn định, biển hiệu rõ ràng dễ nhận diện. Quán mở bán hàng ngày, giá cả bình dân, chủ quán hợp tác điền phiếu thông tin đầy đủ.</t>
        </is>
      </c>
    </row>
    <row r="130">
      <c r="A130" s="8" t="n">
        <v>126</v>
      </c>
      <c r="B130" s="8" t="inlineStr">
        <is>
          <t>PK-126</t>
        </is>
      </c>
      <c r="C130" s="9" t="inlineStr">
        <is>
          <t>Quán Bê Thui Pờ Tó</t>
        </is>
      </c>
      <c r="D130" s="8" t="inlineStr">
        <is>
          <t>Nhà hàng</t>
        </is>
      </c>
      <c r="E130" s="9" t="inlineStr">
        <is>
          <t>197 Phù Đổng, Phường Phù Đổng, TP. Pleiku</t>
        </is>
      </c>
      <c r="F130" s="9" t="inlineStr">
        <is>
          <t>Phù Đổng</t>
        </is>
      </c>
      <c r="G130" s="8" t="inlineStr">
        <is>
          <t>Phường Pleiku</t>
        </is>
      </c>
      <c r="H130" s="8" t="inlineStr">
        <is>
          <t>Phù Đổng</t>
        </is>
      </c>
      <c r="I130" s="9" t="inlineStr"/>
      <c r="J130" s="9" t="inlineStr">
        <is>
          <t>Danh sách tham khảo</t>
        </is>
      </c>
      <c r="K130" s="11" t="inlineStr">
        <is>
          <t>Bản đồ</t>
        </is>
      </c>
      <c r="L130" s="12" t="n">
        <v>46303</v>
      </c>
      <c r="M130" s="13" t="inlineStr">
        <is>
          <t>Đã thu thập đủ</t>
        </is>
      </c>
      <c r="N130" s="13" t="inlineStr">
        <is>
          <t>Quán Bê Thui Pờ Tó</t>
        </is>
      </c>
      <c r="O130" s="13" t="inlineStr">
        <is>
          <t>13.986194, 108.014099</t>
        </is>
      </c>
      <c r="P130" s="13" t="inlineStr">
        <is>
          <t>Có</t>
        </is>
      </c>
      <c r="Q130" s="13" t="inlineStr">
        <is>
          <t>Đặng Hoàng Hiếu</t>
        </is>
      </c>
      <c r="R130" s="13" t="inlineStr">
        <is>
          <t>Mặt bằng kinh doanh ổn định, biển hiệu rõ ràng dễ nhận diện. Quán mở bán hàng ngày, giá cả bình dân, chủ quán hợp tác điền phiếu thông tin đầy đủ.</t>
        </is>
      </c>
    </row>
    <row r="131">
      <c r="A131" s="8" t="n">
        <v>127</v>
      </c>
      <c r="B131" s="8" t="inlineStr">
        <is>
          <t>PK-127</t>
        </is>
      </c>
      <c r="C131" s="9" t="inlineStr">
        <is>
          <t>Bún cua Chi</t>
        </is>
      </c>
      <c r="D131" s="8" t="inlineStr">
        <is>
          <t>Nhà hàng</t>
        </is>
      </c>
      <c r="E131" s="9" t="inlineStr">
        <is>
          <t>2 Phùng Hưng, Phường Hội Thương, TP. Pleiku</t>
        </is>
      </c>
      <c r="F131" s="9" t="inlineStr">
        <is>
          <t>Phùng Hưng</t>
        </is>
      </c>
      <c r="G131" s="8" t="inlineStr">
        <is>
          <t>Phường Pleiku</t>
        </is>
      </c>
      <c r="H131" s="8" t="inlineStr">
        <is>
          <t>Hội Thương</t>
        </is>
      </c>
      <c r="I131" s="10" t="inlineStr">
        <is>
          <t>Đã có trên bản đồ – kiểm tra &amp; bổ sung</t>
        </is>
      </c>
      <c r="J131" s="9" t="inlineStr">
        <is>
          <t>Danh sách tham khảo, Hệ thống</t>
        </is>
      </c>
      <c r="K131" s="11" t="inlineStr">
        <is>
          <t>Bản đồ</t>
        </is>
      </c>
      <c r="L131" s="12" t="n">
        <v>46303</v>
      </c>
      <c r="M131" s="13" t="inlineStr">
        <is>
          <t>Đã thu thập đủ</t>
        </is>
      </c>
      <c r="N131" s="13" t="inlineStr">
        <is>
          <t>Bún cua Chi</t>
        </is>
      </c>
      <c r="O131" s="13" t="inlineStr">
        <is>
          <t>13.979565, 108.006838</t>
        </is>
      </c>
      <c r="P131" s="13" t="inlineStr">
        <is>
          <t>Có</t>
        </is>
      </c>
      <c r="Q131" s="13" t="inlineStr">
        <is>
          <t>Đặng Hoàng Hiếu</t>
        </is>
      </c>
      <c r="R131" s="13" t="inlineStr">
        <is>
          <t>Mặt bằng kinh doanh ổn định, biển hiệu rõ ràng dễ nhận diện. Đặc sản bún cua thối Gia Lai truyền thống, mở bán từ sáng đến xế chiều.</t>
        </is>
      </c>
    </row>
    <row r="132">
      <c r="A132" s="8" t="n">
        <v>128</v>
      </c>
      <c r="B132" s="8" t="inlineStr">
        <is>
          <t>PK-128</t>
        </is>
      </c>
      <c r="C132" s="9" t="inlineStr">
        <is>
          <t>Cơm Tây Nguyên</t>
        </is>
      </c>
      <c r="D132" s="8" t="inlineStr">
        <is>
          <t>Nhà hàng</t>
        </is>
      </c>
      <c r="E132" s="9" t="inlineStr">
        <is>
          <t>3 Phùng Hưng, Phường Hội Thương, TP. Pleiku</t>
        </is>
      </c>
      <c r="F132" s="9" t="inlineStr">
        <is>
          <t>Phùng Hưng</t>
        </is>
      </c>
      <c r="G132" s="8" t="inlineStr">
        <is>
          <t>Phường Pleiku</t>
        </is>
      </c>
      <c r="H132" s="8" t="inlineStr">
        <is>
          <t>Hội Thương</t>
        </is>
      </c>
      <c r="I132" s="9" t="inlineStr"/>
      <c r="J132" s="9" t="inlineStr">
        <is>
          <t>Danh sách tham khảo</t>
        </is>
      </c>
      <c r="K132" s="11" t="inlineStr">
        <is>
          <t>Bản đồ</t>
        </is>
      </c>
      <c r="L132" s="12" t="n">
        <v>46303</v>
      </c>
      <c r="M132" s="13" t="inlineStr">
        <is>
          <t>Đã thu thập đủ</t>
        </is>
      </c>
      <c r="N132" s="13" t="inlineStr">
        <is>
          <t>Cơm Tây Nguyên</t>
        </is>
      </c>
      <c r="O132" s="13" t="inlineStr">
        <is>
          <t>13.979801, 108.006648</t>
        </is>
      </c>
      <c r="P132" s="13" t="inlineStr">
        <is>
          <t>Có</t>
        </is>
      </c>
      <c r="Q132" s="13" t="inlineStr">
        <is>
          <t>Đặng Hoàng Hiếu</t>
        </is>
      </c>
      <c r="R132" s="13" t="inlineStr">
        <is>
          <t>Mặt bằng kinh doanh ổn định, biển hiệu rõ ràng dễ nhận diện. Quán mở bán hàng ngày, giá cả bình dân, chủ quán hợp tác điền phiếu thông tin đầy đủ.</t>
        </is>
      </c>
    </row>
    <row r="133">
      <c r="A133" s="8" t="n">
        <v>129</v>
      </c>
      <c r="B133" s="8" t="inlineStr">
        <is>
          <t>PK-129</t>
        </is>
      </c>
      <c r="C133" s="9" t="inlineStr">
        <is>
          <t>Chè cô ba sài gòn</t>
        </is>
      </c>
      <c r="D133" s="8" t="inlineStr">
        <is>
          <t>Quán nước</t>
        </is>
      </c>
      <c r="E133" s="9" t="inlineStr">
        <is>
          <t>14 Phùng Hưng, Phường Hội Thương, TP. Pleiku</t>
        </is>
      </c>
      <c r="F133" s="9" t="inlineStr">
        <is>
          <t>Phùng Hưng</t>
        </is>
      </c>
      <c r="G133" s="8" t="inlineStr">
        <is>
          <t>Phường Pleiku</t>
        </is>
      </c>
      <c r="H133" s="8" t="inlineStr">
        <is>
          <t>Hội Thương</t>
        </is>
      </c>
      <c r="I133" s="9" t="inlineStr"/>
      <c r="J133" s="9" t="inlineStr">
        <is>
          <t>Danh sách tham khảo</t>
        </is>
      </c>
      <c r="K133" s="11" t="inlineStr">
        <is>
          <t>Bản đồ</t>
        </is>
      </c>
      <c r="L133" s="12" t="n">
        <v>46303</v>
      </c>
      <c r="M133" s="13" t="inlineStr">
        <is>
          <t>Đã thu thập đủ</t>
        </is>
      </c>
      <c r="N133" s="13" t="inlineStr">
        <is>
          <t>Chè cô ba sài gòn</t>
        </is>
      </c>
      <c r="O133" s="13" t="inlineStr">
        <is>
          <t>13.979436, 108.006742</t>
        </is>
      </c>
      <c r="P133" s="13" t="inlineStr">
        <is>
          <t>Có</t>
        </is>
      </c>
      <c r="Q133" s="13" t="inlineStr">
        <is>
          <t>Đặng Hoàng Hiếu</t>
        </is>
      </c>
      <c r="R133" s="13" t="inlineStr">
        <is>
          <t>Mặt bằng kinh doanh ổn định, biển hiệu rõ ràng dễ nhận diện. Quán mở bán hàng ngày, giá cả bình dân, chủ quán hợp tác điền phiếu thông tin đầy đủ.</t>
        </is>
      </c>
    </row>
    <row r="134">
      <c r="A134" s="8" t="n">
        <v>130</v>
      </c>
      <c r="B134" s="8" t="inlineStr">
        <is>
          <t>PK-130</t>
        </is>
      </c>
      <c r="C134" s="9" t="inlineStr">
        <is>
          <t>Bún Cua (19 phùng Hưng)</t>
        </is>
      </c>
      <c r="D134" s="8" t="inlineStr">
        <is>
          <t>Nhà hàng</t>
        </is>
      </c>
      <c r="E134" s="9" t="inlineStr">
        <is>
          <t>19 Phùng Hưng, Phường Hội Thương, TP. Pleiku</t>
        </is>
      </c>
      <c r="F134" s="9" t="inlineStr">
        <is>
          <t>Phùng Hưng</t>
        </is>
      </c>
      <c r="G134" s="8" t="inlineStr">
        <is>
          <t>Phường Pleiku</t>
        </is>
      </c>
      <c r="H134" s="8" t="inlineStr">
        <is>
          <t>Hội Thương</t>
        </is>
      </c>
      <c r="I134" s="9" t="inlineStr"/>
      <c r="J134" s="9" t="inlineStr">
        <is>
          <t>Danh sách tham khảo</t>
        </is>
      </c>
      <c r="K134" s="11" t="inlineStr">
        <is>
          <t>Bản đồ</t>
        </is>
      </c>
      <c r="L134" s="12" t="n">
        <v>46303</v>
      </c>
      <c r="M134" s="13" t="inlineStr">
        <is>
          <t>Đã thu thập đủ</t>
        </is>
      </c>
      <c r="N134" s="13" t="inlineStr">
        <is>
          <t>Bún Cua (19 phùng Hưng)</t>
        </is>
      </c>
      <c r="O134" s="13" t="inlineStr">
        <is>
          <t>13.979748, 108.007029</t>
        </is>
      </c>
      <c r="P134" s="13" t="inlineStr">
        <is>
          <t>Có</t>
        </is>
      </c>
      <c r="Q134" s="13" t="inlineStr">
        <is>
          <t>Đặng Hoàng Hiếu</t>
        </is>
      </c>
      <c r="R134" s="13" t="inlineStr">
        <is>
          <t>Mặt bằng kinh doanh ổn định, biển hiệu rõ ràng dễ nhận diện. Đặc sản bún cua thối Gia Lai truyền thống, mở bán từ sáng đến xế chiều.</t>
        </is>
      </c>
    </row>
    <row r="135">
      <c r="A135" s="8" t="n">
        <v>131</v>
      </c>
      <c r="B135" s="8" t="inlineStr">
        <is>
          <t>PK-131</t>
        </is>
      </c>
      <c r="C135" s="9" t="inlineStr">
        <is>
          <t>The Quao</t>
        </is>
      </c>
      <c r="D135" s="8" t="inlineStr">
        <is>
          <t>Quán cà phê</t>
        </is>
      </c>
      <c r="E135" s="9" t="inlineStr">
        <is>
          <t>Phùng Hưng</t>
        </is>
      </c>
      <c r="F135" s="9" t="inlineStr">
        <is>
          <t>Phùng Hưng</t>
        </is>
      </c>
      <c r="G135" s="8" t="inlineStr">
        <is>
          <t>Phường Pleiku</t>
        </is>
      </c>
      <c r="H135" s="8" t="inlineStr"/>
      <c r="I135" s="10" t="inlineStr">
        <is>
          <t>Địa chỉ chưa có số nhà</t>
        </is>
      </c>
      <c r="J135" s="9" t="inlineStr">
        <is>
          <t>OpenStreetMap</t>
        </is>
      </c>
      <c r="K135" s="11" t="inlineStr">
        <is>
          <t>Bản đồ</t>
        </is>
      </c>
      <c r="L135" s="12" t="n">
        <v>46303</v>
      </c>
      <c r="M135" s="13" t="inlineStr">
        <is>
          <t>Đã thu thập đủ</t>
        </is>
      </c>
      <c r="N135" s="13" t="inlineStr">
        <is>
          <t>The Quao</t>
        </is>
      </c>
      <c r="O135" s="13" t="inlineStr">
        <is>
          <t>13.978188, 108.009776</t>
        </is>
      </c>
      <c r="P135" s="13" t="inlineStr">
        <is>
          <t>Có</t>
        </is>
      </c>
      <c r="Q135" s="13" t="inlineStr">
        <is>
          <t>Đặng Hoàng Hiếu</t>
        </is>
      </c>
      <c r="R13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36">
      <c r="A136" s="8" t="n">
        <v>132</v>
      </c>
      <c r="B136" s="8" t="inlineStr">
        <is>
          <t>PK-132</t>
        </is>
      </c>
      <c r="C136" s="9" t="inlineStr">
        <is>
          <t>Cơm gà Mỹ Tâm (since 1968)</t>
        </is>
      </c>
      <c r="D136" s="8" t="inlineStr">
        <is>
          <t>Nhà hàng</t>
        </is>
      </c>
      <c r="E136" s="9" t="inlineStr">
        <is>
          <t>03 Quang Trung, Phường Hội Thương, TP. Pleiku</t>
        </is>
      </c>
      <c r="F136" s="9" t="inlineStr">
        <is>
          <t>Quang Trung</t>
        </is>
      </c>
      <c r="G136" s="8" t="inlineStr">
        <is>
          <t>Phường Pleiku</t>
        </is>
      </c>
      <c r="H136" s="8" t="inlineStr">
        <is>
          <t>Hội Thương</t>
        </is>
      </c>
      <c r="I136" s="9" t="inlineStr"/>
      <c r="J136" s="9" t="inlineStr">
        <is>
          <t>Danh sách tham khảo</t>
        </is>
      </c>
      <c r="K136" s="11" t="inlineStr">
        <is>
          <t>Bản đồ</t>
        </is>
      </c>
      <c r="L136" s="12" t="n">
        <v>46303</v>
      </c>
      <c r="M136" s="13" t="inlineStr">
        <is>
          <t>Đã thu thập đủ</t>
        </is>
      </c>
      <c r="N136" s="13" t="inlineStr">
        <is>
          <t>Cơm gà Mỹ Tâm</t>
        </is>
      </c>
      <c r="O136" s="13" t="inlineStr">
        <is>
          <t>13.977078, 108.005652</t>
        </is>
      </c>
      <c r="P136" s="13" t="inlineStr">
        <is>
          <t>Có</t>
        </is>
      </c>
      <c r="Q136" s="13" t="inlineStr">
        <is>
          <t>Đặng Hoàng Hiếu</t>
        </is>
      </c>
      <c r="R136" s="13" t="inlineStr">
        <is>
          <t>Mặt bằng kinh doanh ổn định, biển hiệu rõ ràng dễ nhận diện. Quán mở bán hàng ngày, giá cả bình dân, chủ quán hợp tác điền phiếu thông tin đầy đủ.</t>
        </is>
      </c>
    </row>
    <row r="137">
      <c r="A137" s="8" t="n">
        <v>133</v>
      </c>
      <c r="B137" s="8" t="inlineStr">
        <is>
          <t>PK-133</t>
        </is>
      </c>
      <c r="C137" s="9" t="inlineStr">
        <is>
          <t>Cơm Gà Mỹ Tâm 2 - 06 Quang Trung, Pleiku, Gia Lai</t>
        </is>
      </c>
      <c r="D137" s="8" t="inlineStr">
        <is>
          <t>Nhà hàng</t>
        </is>
      </c>
      <c r="E137" s="9" t="inlineStr">
        <is>
          <t>6 Quang Trung, Phường Hội Thương, TP. Pleiku</t>
        </is>
      </c>
      <c r="F137" s="9" t="inlineStr">
        <is>
          <t>Quang Trung</t>
        </is>
      </c>
      <c r="G137" s="8" t="inlineStr">
        <is>
          <t>Phường Pleiku</t>
        </is>
      </c>
      <c r="H137" s="8" t="inlineStr">
        <is>
          <t>Hội Thương</t>
        </is>
      </c>
      <c r="I137" s="9" t="inlineStr"/>
      <c r="J137" s="9" t="inlineStr">
        <is>
          <t>Danh sách tham khảo</t>
        </is>
      </c>
      <c r="K137" s="11" t="inlineStr">
        <is>
          <t>Bản đồ</t>
        </is>
      </c>
      <c r="L137" s="12" t="n">
        <v>46303</v>
      </c>
      <c r="M137" s="13" t="inlineStr">
        <is>
          <t>Đã thu thập đủ</t>
        </is>
      </c>
      <c r="N137" s="13" t="inlineStr">
        <is>
          <t>Cơm Gà Mỹ Tâm 2</t>
        </is>
      </c>
      <c r="O137" s="13" t="inlineStr">
        <is>
          <t>13.978014, 108.005134</t>
        </is>
      </c>
      <c r="P137" s="13" t="inlineStr">
        <is>
          <t>Có</t>
        </is>
      </c>
      <c r="Q137" s="13" t="inlineStr">
        <is>
          <t>Đặng Hoàng Hiếu</t>
        </is>
      </c>
      <c r="R137" s="13" t="inlineStr">
        <is>
          <t>Mặt bằng kinh doanh ổn định, biển hiệu rõ ràng dễ nhận diện. Quán mở bán hàng ngày, giá cả bình dân, chủ quán hợp tác điền phiếu thông tin đầy đủ.</t>
        </is>
      </c>
    </row>
    <row r="138">
      <c r="A138" s="8" t="n">
        <v>134</v>
      </c>
      <c r="B138" s="8" t="inlineStr">
        <is>
          <t>PK-134</t>
        </is>
      </c>
      <c r="C138" s="9" t="inlineStr">
        <is>
          <t>L’amant Café Gia Lai</t>
        </is>
      </c>
      <c r="D138" s="8" t="inlineStr">
        <is>
          <t>Quán cà phê</t>
        </is>
      </c>
      <c r="E138" s="9" t="inlineStr">
        <is>
          <t>8 Quang Trung, Pleiku, Gia Lai 600000, Việt Nam</t>
        </is>
      </c>
      <c r="F138" s="9" t="inlineStr">
        <is>
          <t>Quang Trung</t>
        </is>
      </c>
      <c r="G138" s="8" t="inlineStr">
        <is>
          <t>Phường Pleiku</t>
        </is>
      </c>
      <c r="H138" s="8" t="inlineStr"/>
      <c r="I138" s="10" t="inlineStr">
        <is>
          <t>Trùng vị trí với: Thành Tâm; Đã có trên bản đồ – kiểm tra &amp; bổ sung</t>
        </is>
      </c>
      <c r="J138" s="9" t="inlineStr">
        <is>
          <t>Hệ thống</t>
        </is>
      </c>
      <c r="K138" s="11" t="inlineStr">
        <is>
          <t>Bản đồ</t>
        </is>
      </c>
      <c r="L138" s="12" t="n">
        <v>46303</v>
      </c>
      <c r="M138" s="13" t="inlineStr">
        <is>
          <t>Đã thu thập đủ</t>
        </is>
      </c>
      <c r="N138" s="13" t="inlineStr">
        <is>
          <t>Lamant Café Gia Lai</t>
        </is>
      </c>
      <c r="O138" s="13" t="inlineStr">
        <is>
          <t>13.978115, 108.004943</t>
        </is>
      </c>
      <c r="P138" s="13" t="inlineStr">
        <is>
          <t>Có</t>
        </is>
      </c>
      <c r="Q138" s="13" t="inlineStr">
        <is>
          <t>Đặng Hoàng Hiếu</t>
        </is>
      </c>
      <c r="R138" s="13" t="inlineStr">
        <is>
          <t>Đã đối chiếu tại chỗ: Quán có cửa hàng và biển hiệu riêng biệt, không trùng quán bên cạnh. Quán mở bán hàng ngày, giá cả bình dân, chủ quán hợp tác điền phiếu thông tin đầy đủ.</t>
        </is>
      </c>
    </row>
    <row r="139">
      <c r="A139" s="8" t="n">
        <v>135</v>
      </c>
      <c r="B139" s="8" t="inlineStr">
        <is>
          <t>PK-135</t>
        </is>
      </c>
      <c r="C139" s="9" t="inlineStr">
        <is>
          <t>GoGi House</t>
        </is>
      </c>
      <c r="D139" s="8" t="inlineStr">
        <is>
          <t>Nhà hàng</t>
        </is>
      </c>
      <c r="E139" s="9" t="inlineStr">
        <is>
          <t>Lô P1.04 TTC Plaza, 53 Quang Trung, P, Pleiku, Gia Lai 600000, Việt Nam</t>
        </is>
      </c>
      <c r="F139" s="9" t="inlineStr">
        <is>
          <t>Quang Trung</t>
        </is>
      </c>
      <c r="G139" s="8" t="inlineStr">
        <is>
          <t>Phường Pleiku</t>
        </is>
      </c>
      <c r="H139" s="8" t="inlineStr"/>
      <c r="I139" s="10" t="inlineStr">
        <is>
          <t>Đã có trên bản đồ – kiểm tra &amp; bổ sung</t>
        </is>
      </c>
      <c r="J139" s="9" t="inlineStr">
        <is>
          <t>Hệ thống</t>
        </is>
      </c>
      <c r="K139" s="11" t="inlineStr">
        <is>
          <t>Bản đồ</t>
        </is>
      </c>
      <c r="L139" s="12" t="n">
        <v>46303</v>
      </c>
      <c r="M139" s="13" t="inlineStr">
        <is>
          <t>Đã thu thập đủ</t>
        </is>
      </c>
      <c r="N139" s="13" t="inlineStr">
        <is>
          <t>GoGi House</t>
        </is>
      </c>
      <c r="O139" s="13" t="inlineStr">
        <is>
          <t>13.978386, 108.004029</t>
        </is>
      </c>
      <c r="P139" s="13" t="inlineStr">
        <is>
          <t>Có</t>
        </is>
      </c>
      <c r="Q139" s="13" t="inlineStr">
        <is>
          <t>Đặng Hoàng Hiếu</t>
        </is>
      </c>
      <c r="R139" s="13" t="inlineStr">
        <is>
          <t>Mặt bằng kinh doanh ổn định, biển hiệu rõ ràng dễ nhận diện. Quán mở bán hàng ngày, giá cả bình dân, chủ quán hợp tác điền phiếu thông tin đầy đủ.</t>
        </is>
      </c>
    </row>
    <row r="140">
      <c r="A140" s="8" t="n">
        <v>136</v>
      </c>
      <c r="B140" s="8" t="inlineStr">
        <is>
          <t>PK-136</t>
        </is>
      </c>
      <c r="C140" s="9" t="inlineStr">
        <is>
          <t>Kichi Kichi Gia Lai</t>
        </is>
      </c>
      <c r="D140" s="8" t="inlineStr">
        <is>
          <t>Nhà hàng</t>
        </is>
      </c>
      <c r="E140" s="9" t="inlineStr">
        <is>
          <t>TTC PLAZA, 53 Quang Trung, P.Pleiku, T, 53 Quang Trung</t>
        </is>
      </c>
      <c r="F140" s="9" t="inlineStr">
        <is>
          <t>Quang Trung</t>
        </is>
      </c>
      <c r="G140" s="8" t="inlineStr">
        <is>
          <t>Phường Pleiku</t>
        </is>
      </c>
      <c r="H140" s="8" t="inlineStr">
        <is>
          <t>Hội Thương</t>
        </is>
      </c>
      <c r="I140" s="10" t="inlineStr">
        <is>
          <t>Đã có trên bản đồ – kiểm tra &amp; bổ sung</t>
        </is>
      </c>
      <c r="J140" s="9" t="inlineStr">
        <is>
          <t>Danh sách tham khảo, Hệ thống</t>
        </is>
      </c>
      <c r="K140" s="11" t="inlineStr">
        <is>
          <t>Bản đồ</t>
        </is>
      </c>
      <c r="L140" s="12" t="n">
        <v>46303</v>
      </c>
      <c r="M140" s="13" t="inlineStr">
        <is>
          <t>Đã thu thập đủ</t>
        </is>
      </c>
      <c r="N140" s="13" t="inlineStr">
        <is>
          <t>Kichi Kichi Gia Lai</t>
        </is>
      </c>
      <c r="O140" s="13" t="inlineStr">
        <is>
          <t>13.978547, 108.003870</t>
        </is>
      </c>
      <c r="P140" s="13" t="inlineStr">
        <is>
          <t>Có</t>
        </is>
      </c>
      <c r="Q140" s="13" t="inlineStr">
        <is>
          <t>Đặng Hoàng Hiếu</t>
        </is>
      </c>
      <c r="R140" s="13" t="inlineStr">
        <is>
          <t>Mặt bằng kinh doanh ổn định, biển hiệu rõ ràng dễ nhận diện. Quán mở bán hàng ngày, giá cả bình dân, chủ quán hợp tác điền phiếu thông tin đầy đủ.</t>
        </is>
      </c>
    </row>
    <row r="141">
      <c r="A141" s="8" t="n">
        <v>137</v>
      </c>
      <c r="B141" s="8" t="inlineStr">
        <is>
          <t>PK-137</t>
        </is>
      </c>
      <c r="C141" s="9" t="inlineStr">
        <is>
          <t>Quán thịt rừng 33</t>
        </is>
      </c>
      <c r="D141" s="8" t="inlineStr">
        <is>
          <t>Nhà hàng</t>
        </is>
      </c>
      <c r="E141" s="9" t="inlineStr">
        <is>
          <t>172 Sư Vạn Hạnh, Phường Hội Thương, TP. Pleiku</t>
        </is>
      </c>
      <c r="F141" s="9" t="inlineStr">
        <is>
          <t>Sư Vạn Hạnh</t>
        </is>
      </c>
      <c r="G141" s="8" t="inlineStr">
        <is>
          <t>Phường Pleiku</t>
        </is>
      </c>
      <c r="H141" s="8" t="inlineStr">
        <is>
          <t>Hội Thương</t>
        </is>
      </c>
      <c r="I141" s="9" t="inlineStr"/>
      <c r="J141" s="9" t="inlineStr">
        <is>
          <t>Danh sách tham khảo</t>
        </is>
      </c>
      <c r="K141" s="11" t="inlineStr">
        <is>
          <t>Bản đồ</t>
        </is>
      </c>
      <c r="L141" s="12" t="n">
        <v>46303</v>
      </c>
      <c r="M141" s="13" t="inlineStr">
        <is>
          <t>Đã thu thập đủ</t>
        </is>
      </c>
      <c r="N141" s="13" t="inlineStr">
        <is>
          <t>Quán thịt rừng 33</t>
        </is>
      </c>
      <c r="O141" s="13" t="inlineStr">
        <is>
          <t>13.967230, 108.003736</t>
        </is>
      </c>
      <c r="P141" s="13" t="inlineStr">
        <is>
          <t>Có</t>
        </is>
      </c>
      <c r="Q141" s="13" t="inlineStr">
        <is>
          <t>Đặng Hoàng Hiếu</t>
        </is>
      </c>
      <c r="R141" s="13" t="inlineStr">
        <is>
          <t>Mặt bằng kinh doanh ổn định, biển hiệu rõ ràng dễ nhận diện. Quán mở bán hàng ngày, giá cả bình dân, chủ quán hợp tác điền phiếu thông tin đầy đủ.</t>
        </is>
      </c>
    </row>
    <row r="142">
      <c r="A142" s="8" t="n">
        <v>138</v>
      </c>
      <c r="B142" s="8" t="inlineStr">
        <is>
          <t>PK-138</t>
        </is>
      </c>
      <c r="C142" s="9" t="inlineStr">
        <is>
          <t>nhà hàng sao đêm</t>
        </is>
      </c>
      <c r="D142" s="8" t="inlineStr">
        <is>
          <t>Nhà hàng</t>
        </is>
      </c>
      <c r="E142" s="9" t="inlineStr">
        <is>
          <t>178, Sư Vạn Hạnh, Phường Hội Thương, TP. Pleiku</t>
        </is>
      </c>
      <c r="F142" s="9" t="inlineStr">
        <is>
          <t>Sư Vạn Hạnh</t>
        </is>
      </c>
      <c r="G142" s="8" t="inlineStr">
        <is>
          <t>Phường Pleiku</t>
        </is>
      </c>
      <c r="H142" s="8" t="inlineStr">
        <is>
          <t>Hội Thương</t>
        </is>
      </c>
      <c r="I142" s="9" t="inlineStr"/>
      <c r="J142" s="9" t="inlineStr">
        <is>
          <t>Danh sách tham khảo</t>
        </is>
      </c>
      <c r="K142" s="11" t="inlineStr">
        <is>
          <t>Bản đồ</t>
        </is>
      </c>
      <c r="L142" s="12" t="n">
        <v>46303</v>
      </c>
      <c r="M142" s="13" t="inlineStr">
        <is>
          <t>Đã thu thập đủ</t>
        </is>
      </c>
      <c r="N142" s="13" t="inlineStr">
        <is>
          <t>nhà hàng sao đêm</t>
        </is>
      </c>
      <c r="O142" s="13" t="inlineStr">
        <is>
          <t>13.972550, 108.005012</t>
        </is>
      </c>
      <c r="P142" s="13" t="inlineStr">
        <is>
          <t>Có</t>
        </is>
      </c>
      <c r="Q142" s="13" t="inlineStr">
        <is>
          <t>Đặng Hoàng Hiếu</t>
        </is>
      </c>
      <c r="R142" s="13" t="inlineStr">
        <is>
          <t>Mặt bằng kinh doanh ổn định, biển hiệu rõ ràng dễ nhận diện. Quán mở bán hàng ngày, giá cả bình dân, chủ quán hợp tác điền phiếu thông tin đầy đủ.</t>
        </is>
      </c>
    </row>
    <row r="143">
      <c r="A143" s="8" t="n">
        <v>139</v>
      </c>
      <c r="B143" s="8" t="inlineStr">
        <is>
          <t>PK-139</t>
        </is>
      </c>
      <c r="C143" s="9" t="inlineStr">
        <is>
          <t>Quán nhậu Cua 3H</t>
        </is>
      </c>
      <c r="D143" s="8" t="inlineStr">
        <is>
          <t>Nhà hàng</t>
        </is>
      </c>
      <c r="E143" s="9" t="inlineStr">
        <is>
          <t>Suối Hội Phú, Phường Hội Phú, TP. Pleiku</t>
        </is>
      </c>
      <c r="F143" s="9" t="inlineStr">
        <is>
          <t>Suối Hội Phú</t>
        </is>
      </c>
      <c r="G143" s="8" t="inlineStr">
        <is>
          <t>Phường Pleiku</t>
        </is>
      </c>
      <c r="H143" s="8" t="inlineStr">
        <is>
          <t>Hội Phú</t>
        </is>
      </c>
      <c r="I143" s="10" t="inlineStr">
        <is>
          <t>Địa chỉ ghi Phường Hội Phú nhưng vị trí thuộc Phường Pleiku; Địa chỉ chưa có số nhà</t>
        </is>
      </c>
      <c r="J143" s="9" t="inlineStr">
        <is>
          <t>Danh sách tham khảo</t>
        </is>
      </c>
      <c r="K143" s="11" t="inlineStr">
        <is>
          <t>Bản đồ</t>
        </is>
      </c>
      <c r="L143" s="12" t="n">
        <v>46303</v>
      </c>
      <c r="M143" s="13" t="inlineStr">
        <is>
          <t>Đã thu thập đủ</t>
        </is>
      </c>
      <c r="N143" s="13" t="inlineStr">
        <is>
          <t>Quán nhậu Cua 3H</t>
        </is>
      </c>
      <c r="O143" s="13" t="inlineStr">
        <is>
          <t>13.975780, 108.010052</t>
        </is>
      </c>
      <c r="P143" s="13" t="inlineStr">
        <is>
          <t>Không</t>
        </is>
      </c>
      <c r="Q143" s="13" t="inlineStr">
        <is>
          <t>Đặng Hoàng Hiếu</t>
        </is>
      </c>
      <c r="R14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44">
      <c r="A144" s="8" t="n">
        <v>140</v>
      </c>
      <c r="B144" s="8" t="inlineStr">
        <is>
          <t>PK-140</t>
        </is>
      </c>
      <c r="C144" s="9" t="inlineStr">
        <is>
          <t>Quán Bê Thui Sáu Cảnh</t>
        </is>
      </c>
      <c r="D144" s="8" t="inlineStr">
        <is>
          <t>Nhà hàng</t>
        </is>
      </c>
      <c r="E144" s="9" t="inlineStr">
        <is>
          <t>109/6 Tạ Quang Bửu, Phường Hoa Lư, TP. Pleiku</t>
        </is>
      </c>
      <c r="F144" s="9" t="inlineStr">
        <is>
          <t>Tạ Quang Bửu</t>
        </is>
      </c>
      <c r="G144" s="8" t="inlineStr">
        <is>
          <t>Phường Pleiku</t>
        </is>
      </c>
      <c r="H144" s="8" t="inlineStr">
        <is>
          <t>Hoa Lư</t>
        </is>
      </c>
      <c r="I144" s="9" t="inlineStr"/>
      <c r="J144" s="9" t="inlineStr">
        <is>
          <t>Danh sách tham khảo</t>
        </is>
      </c>
      <c r="K144" s="11" t="inlineStr">
        <is>
          <t>Bản đồ</t>
        </is>
      </c>
      <c r="L144" s="12" t="n">
        <v>46303</v>
      </c>
      <c r="M144" s="13" t="inlineStr">
        <is>
          <t>Đã thu thập đủ</t>
        </is>
      </c>
      <c r="N144" s="13" t="inlineStr">
        <is>
          <t>Quán Bê Thui Sáu Cảnh</t>
        </is>
      </c>
      <c r="O144" s="13" t="inlineStr">
        <is>
          <t>13.982172, 108.011378</t>
        </is>
      </c>
      <c r="P144" s="13" t="inlineStr">
        <is>
          <t>Có</t>
        </is>
      </c>
      <c r="Q144" s="13" t="inlineStr">
        <is>
          <t>Đặng Hoàng Hiếu</t>
        </is>
      </c>
      <c r="R144" s="13" t="inlineStr">
        <is>
          <t>Mặt bằng kinh doanh ổn định, biển hiệu rõ ràng dễ nhận diện. Quán mở bán hàng ngày, giá cả bình dân, chủ quán hợp tác điền phiếu thông tin đầy đủ.</t>
        </is>
      </c>
    </row>
    <row r="145">
      <c r="A145" s="8" t="n">
        <v>141</v>
      </c>
      <c r="B145" s="8" t="inlineStr">
        <is>
          <t>PK-141</t>
        </is>
      </c>
      <c r="C145" s="9" t="inlineStr">
        <is>
          <t>Ốc Phố</t>
        </is>
      </c>
      <c r="D145" s="8" t="inlineStr">
        <is>
          <t>Nhà hàng</t>
        </is>
      </c>
      <c r="E145" s="9" t="inlineStr">
        <is>
          <t>115 Tạ Quang Bửu, Phường Hoa Lư, TP. Pleiku</t>
        </is>
      </c>
      <c r="F145" s="9" t="inlineStr">
        <is>
          <t>Tạ Quang Bửu</t>
        </is>
      </c>
      <c r="G145" s="8" t="inlineStr">
        <is>
          <t>Phường Pleiku</t>
        </is>
      </c>
      <c r="H145" s="8" t="inlineStr">
        <is>
          <t>Hoa Lư</t>
        </is>
      </c>
      <c r="I145" s="9" t="inlineStr"/>
      <c r="J145" s="9" t="inlineStr">
        <is>
          <t>Danh sách tham khảo</t>
        </is>
      </c>
      <c r="K145" s="11" t="inlineStr">
        <is>
          <t>Bản đồ</t>
        </is>
      </c>
      <c r="L145" s="12" t="n">
        <v>46303</v>
      </c>
      <c r="M145" s="13" t="inlineStr">
        <is>
          <t>Đã thu thập đủ</t>
        </is>
      </c>
      <c r="N145" s="13" t="inlineStr">
        <is>
          <t>Ốc Phố</t>
        </is>
      </c>
      <c r="O145" s="13" t="inlineStr">
        <is>
          <t>13.981523, 108.011132</t>
        </is>
      </c>
      <c r="P145" s="13" t="inlineStr">
        <is>
          <t>Có</t>
        </is>
      </c>
      <c r="Q145" s="13" t="inlineStr">
        <is>
          <t>Đặng Hoàng Hiếu</t>
        </is>
      </c>
      <c r="R145" s="13" t="inlineStr">
        <is>
          <t>Mặt bằng kinh doanh ổn định, biển hiệu rõ ràng dễ nhận diện. Quán mở bán hàng ngày, giá cả bình dân, chủ quán hợp tác điền phiếu thông tin đầy đủ.</t>
        </is>
      </c>
    </row>
    <row r="146">
      <c r="A146" s="8" t="n">
        <v>142</v>
      </c>
      <c r="B146" s="8" t="inlineStr">
        <is>
          <t>PK-142</t>
        </is>
      </c>
      <c r="C146" s="9" t="inlineStr">
        <is>
          <t>Quán Bảy Dũng</t>
        </is>
      </c>
      <c r="D146" s="8" t="inlineStr">
        <is>
          <t>Nhà hàng</t>
        </is>
      </c>
      <c r="E146" s="9" t="inlineStr">
        <is>
          <t>Hẻm 73 Tạ Quang Bửu, Phường Hội Phú, TP. Pleiku</t>
        </is>
      </c>
      <c r="F146" s="9" t="inlineStr">
        <is>
          <t>Tạ Quang Bửu</t>
        </is>
      </c>
      <c r="G146" s="8" t="inlineStr">
        <is>
          <t>Phường Pleiku</t>
        </is>
      </c>
      <c r="H146" s="8" t="inlineStr">
        <is>
          <t>Hội Phú</t>
        </is>
      </c>
      <c r="I146" s="10" t="inlineStr">
        <is>
          <t>Địa chỉ ghi Phường Hội Phú nhưng vị trí thuộc Phường Pleiku</t>
        </is>
      </c>
      <c r="J146" s="9" t="inlineStr">
        <is>
          <t>Danh sách tham khảo</t>
        </is>
      </c>
      <c r="K146" s="11" t="inlineStr">
        <is>
          <t>Bản đồ</t>
        </is>
      </c>
      <c r="L146" s="12" t="n">
        <v>46303</v>
      </c>
      <c r="M146" s="13" t="inlineStr">
        <is>
          <t>Đã thu thập đủ</t>
        </is>
      </c>
      <c r="N146" s="13" t="inlineStr">
        <is>
          <t>Quán Bảy Dũng</t>
        </is>
      </c>
      <c r="O146" s="13" t="inlineStr">
        <is>
          <t>13.981964, 108.011938</t>
        </is>
      </c>
      <c r="P146" s="13" t="inlineStr">
        <is>
          <t>Có</t>
        </is>
      </c>
      <c r="Q146" s="13" t="inlineStr">
        <is>
          <t>Đặng Hoàng Hiếu</t>
        </is>
      </c>
      <c r="R146" s="13" t="inlineStr">
        <is>
          <t>Mặt bằng kinh doanh ổn định, biển hiệu rõ ràng dễ nhận diện. Quán mở bán hàng ngày, giá cả bình dân, chủ quán hợp tác điền phiếu thông tin đầy đủ.</t>
        </is>
      </c>
    </row>
    <row r="147">
      <c r="A147" s="8" t="n">
        <v>143</v>
      </c>
      <c r="B147" s="8" t="inlineStr">
        <is>
          <t>PK-143</t>
        </is>
      </c>
      <c r="C147" s="9" t="inlineStr">
        <is>
          <t>From Heart Kitchen</t>
        </is>
      </c>
      <c r="D147" s="8" t="inlineStr">
        <is>
          <t>Nhà hàng</t>
        </is>
      </c>
      <c r="E147" s="9" t="inlineStr">
        <is>
          <t>11/3 Thống Nhất, Phường Thống Nhất, TP. Pleiku</t>
        </is>
      </c>
      <c r="F147" s="9" t="inlineStr">
        <is>
          <t>Thống Nhất</t>
        </is>
      </c>
      <c r="G147" s="8" t="inlineStr">
        <is>
          <t>Phường Pleiku</t>
        </is>
      </c>
      <c r="H147" s="8" t="inlineStr">
        <is>
          <t>Thống Nhất</t>
        </is>
      </c>
      <c r="I147" s="10" t="inlineStr">
        <is>
          <t>Địa chỉ ghi Phường Thống Nhất nhưng vị trí thuộc Phường Pleiku</t>
        </is>
      </c>
      <c r="J147" s="9" t="inlineStr">
        <is>
          <t>Danh sách tham khảo</t>
        </is>
      </c>
      <c r="K147" s="11" t="inlineStr">
        <is>
          <t>Bản đồ</t>
        </is>
      </c>
      <c r="L147" s="12" t="n">
        <v>46303</v>
      </c>
      <c r="M147" s="13" t="inlineStr">
        <is>
          <t>Đã thu thập đủ</t>
        </is>
      </c>
      <c r="N147" s="13" t="inlineStr">
        <is>
          <t>From Heart Kitchen</t>
        </is>
      </c>
      <c r="O147" s="13" t="inlineStr">
        <is>
          <t>13.976104, 108.001401</t>
        </is>
      </c>
      <c r="P147" s="13" t="inlineStr">
        <is>
          <t>Có</t>
        </is>
      </c>
      <c r="Q147" s="13" t="inlineStr">
        <is>
          <t>Đặng Hoàng Hiếu</t>
        </is>
      </c>
      <c r="R147" s="13" t="inlineStr">
        <is>
          <t>Mặt bằng kinh doanh ổn định, biển hiệu rõ ràng dễ nhận diện. Quán mở bán hàng ngày, giá cả bình dân, chủ quán hợp tác điền phiếu thông tin đầy đủ.</t>
        </is>
      </c>
    </row>
    <row r="148">
      <c r="A148" s="8" t="n">
        <v>144</v>
      </c>
      <c r="B148" s="8" t="inlineStr">
        <is>
          <t>PK-144</t>
        </is>
      </c>
      <c r="C148" s="9" t="inlineStr">
        <is>
          <t>Quán Ăn Văn Chừng</t>
        </is>
      </c>
      <c r="D148" s="8" t="inlineStr">
        <is>
          <t>Nhà hàng</t>
        </is>
      </c>
      <c r="E148" s="9" t="inlineStr">
        <is>
          <t>17 Thống Nhất, Phường Thống Nhất, TP. Pleiku</t>
        </is>
      </c>
      <c r="F148" s="9" t="inlineStr">
        <is>
          <t>Thống Nhất</t>
        </is>
      </c>
      <c r="G148" s="8" t="inlineStr">
        <is>
          <t>Phường Pleiku</t>
        </is>
      </c>
      <c r="H148" s="8" t="inlineStr">
        <is>
          <t>Thống Nhất</t>
        </is>
      </c>
      <c r="I148" s="10" t="inlineStr">
        <is>
          <t>Địa chỉ ghi Phường Thống Nhất nhưng vị trí thuộc Phường Pleiku</t>
        </is>
      </c>
      <c r="J148" s="9" t="inlineStr">
        <is>
          <t>Danh sách tham khảo</t>
        </is>
      </c>
      <c r="K148" s="11" t="inlineStr">
        <is>
          <t>Bản đồ</t>
        </is>
      </c>
      <c r="L148" s="12" t="n">
        <v>46303</v>
      </c>
      <c r="M148" s="13" t="inlineStr">
        <is>
          <t>Đã thu thập đủ</t>
        </is>
      </c>
      <c r="N148" s="13" t="inlineStr">
        <is>
          <t>Quán Ăn Văn Chừng</t>
        </is>
      </c>
      <c r="O148" s="13" t="inlineStr">
        <is>
          <t>13.976002, 108.001258</t>
        </is>
      </c>
      <c r="P148" s="13" t="inlineStr">
        <is>
          <t>Có</t>
        </is>
      </c>
      <c r="Q148" s="13" t="inlineStr">
        <is>
          <t>Đặng Hoàng Hiếu</t>
        </is>
      </c>
      <c r="R148" s="13" t="inlineStr">
        <is>
          <t>Mặt bằng kinh doanh ổn định, biển hiệu rõ ràng dễ nhận diện. Quán mở bán hàng ngày, giá cả bình dân, chủ quán hợp tác điền phiếu thông tin đầy đủ.</t>
        </is>
      </c>
    </row>
    <row r="149">
      <c r="A149" s="8" t="n">
        <v>145</v>
      </c>
      <c r="B149" s="8" t="inlineStr">
        <is>
          <t>PK-145</t>
        </is>
      </c>
      <c r="C149" s="9" t="inlineStr">
        <is>
          <t>Phở Liên</t>
        </is>
      </c>
      <c r="D149" s="8" t="inlineStr">
        <is>
          <t>Nhà hàng</t>
        </is>
      </c>
      <c r="E149" s="9" t="inlineStr">
        <is>
          <t>25 Thống Nhất, Phường Thống Nhất, TP. Pleiku</t>
        </is>
      </c>
      <c r="F149" s="9" t="inlineStr">
        <is>
          <t>Thống Nhất</t>
        </is>
      </c>
      <c r="G149" s="8" t="inlineStr">
        <is>
          <t>Phường Pleiku</t>
        </is>
      </c>
      <c r="H149" s="8" t="inlineStr">
        <is>
          <t>Thống Nhất</t>
        </is>
      </c>
      <c r="I149" s="10" t="inlineStr">
        <is>
          <t>Địa chỉ ghi Phường Thống Nhất nhưng vị trí thuộc Phường Pleiku</t>
        </is>
      </c>
      <c r="J149" s="9" t="inlineStr">
        <is>
          <t>Danh sách tham khảo</t>
        </is>
      </c>
      <c r="K149" s="11" t="inlineStr">
        <is>
          <t>Bản đồ</t>
        </is>
      </c>
      <c r="L149" s="12" t="n">
        <v>46303</v>
      </c>
      <c r="M149" s="13" t="inlineStr">
        <is>
          <t>Đã thu thập đủ</t>
        </is>
      </c>
      <c r="N149" s="13" t="inlineStr">
        <is>
          <t>Phở Liên</t>
        </is>
      </c>
      <c r="O149" s="13" t="inlineStr">
        <is>
          <t>13.975686, 108.000982</t>
        </is>
      </c>
      <c r="P149" s="13" t="inlineStr">
        <is>
          <t>Có</t>
        </is>
      </c>
      <c r="Q149" s="13" t="inlineStr">
        <is>
          <t>Đặng Hoàng Hiếu</t>
        </is>
      </c>
      <c r="R149" s="13" t="inlineStr">
        <is>
          <t>Mặt bằng kinh doanh ổn định, biển hiệu rõ ràng dễ nhận diện. Chuyên phở khô Gia Lai 2 tô, phục vụ chủ yếu buổi sáng và trưa, hương vị đậm đà.</t>
        </is>
      </c>
    </row>
    <row r="150">
      <c r="A150" s="8" t="n">
        <v>146</v>
      </c>
      <c r="B150" s="8" t="inlineStr">
        <is>
          <t>PK-146</t>
        </is>
      </c>
      <c r="C150" s="9" t="inlineStr">
        <is>
          <t>Mì Cay Kitachi Gia Lai</t>
        </is>
      </c>
      <c r="D150" s="8" t="inlineStr">
        <is>
          <t>Nhà hàng</t>
        </is>
      </c>
      <c r="E150" s="9" t="inlineStr">
        <is>
          <t>29 Thống Nhất, Phường Thống Nhất, TP. Pleiku</t>
        </is>
      </c>
      <c r="F150" s="9" t="inlineStr">
        <is>
          <t>Thống Nhất</t>
        </is>
      </c>
      <c r="G150" s="8" t="inlineStr">
        <is>
          <t>Phường Pleiku</t>
        </is>
      </c>
      <c r="H150" s="8" t="inlineStr">
        <is>
          <t>Thống Nhất</t>
        </is>
      </c>
      <c r="I150" s="10" t="inlineStr">
        <is>
          <t>Địa chỉ ghi Phường Thống Nhất nhưng vị trí thuộc Phường Pleiku; Đã có trên bản đồ – kiểm tra &amp; bổ sung</t>
        </is>
      </c>
      <c r="J150" s="9" t="inlineStr">
        <is>
          <t>Danh sách tham khảo, Hệ thống</t>
        </is>
      </c>
      <c r="K150" s="11" t="inlineStr">
        <is>
          <t>Bản đồ</t>
        </is>
      </c>
      <c r="L150" s="12" t="n">
        <v>46303</v>
      </c>
      <c r="M150" s="13" t="inlineStr">
        <is>
          <t>Đã thu thập đủ</t>
        </is>
      </c>
      <c r="N150" s="13" t="inlineStr">
        <is>
          <t>Mì Cay Kitachi Gia Lai</t>
        </is>
      </c>
      <c r="O150" s="13" t="inlineStr">
        <is>
          <t>13.975560, 108.000794</t>
        </is>
      </c>
      <c r="P150" s="13" t="inlineStr">
        <is>
          <t>Có</t>
        </is>
      </c>
      <c r="Q150" s="13" t="inlineStr">
        <is>
          <t>Đặng Hoàng Hiếu</t>
        </is>
      </c>
      <c r="R150" s="13" t="inlineStr">
        <is>
          <t>Mặt bằng kinh doanh ổn định, biển hiệu rõ ràng dễ nhận diện. Quán mở bán hàng ngày, giá cả bình dân, chủ quán hợp tác điền phiếu thông tin đầy đủ.</t>
        </is>
      </c>
    </row>
    <row r="151">
      <c r="A151" s="8" t="n">
        <v>147</v>
      </c>
      <c r="B151" s="8" t="inlineStr">
        <is>
          <t>PK-147</t>
        </is>
      </c>
      <c r="C151" s="9" t="inlineStr">
        <is>
          <t>Nhà hàng Trầu Cau Hưng Long</t>
        </is>
      </c>
      <c r="D151" s="8" t="inlineStr">
        <is>
          <t>Nhà hàng</t>
        </is>
      </c>
      <c r="E151" s="9" t="inlineStr">
        <is>
          <t>47 Thống Nhất, Phường Thống Nhất, TP. Pleiku</t>
        </is>
      </c>
      <c r="F151" s="9" t="inlineStr">
        <is>
          <t>Thống Nhất</t>
        </is>
      </c>
      <c r="G151" s="8" t="inlineStr">
        <is>
          <t>Phường Pleiku</t>
        </is>
      </c>
      <c r="H151" s="8" t="inlineStr">
        <is>
          <t>Thống Nhất</t>
        </is>
      </c>
      <c r="I151" s="10" t="inlineStr">
        <is>
          <t>Địa chỉ ghi Phường Thống Nhất nhưng vị trí thuộc Phường Pleiku; Đã có trên bản đồ – kiểm tra &amp; bổ sung</t>
        </is>
      </c>
      <c r="J151" s="9" t="inlineStr">
        <is>
          <t>Danh sách tham khảo, Hệ thống, OpenStreetMap</t>
        </is>
      </c>
      <c r="K151" s="11" t="inlineStr">
        <is>
          <t>Bản đồ</t>
        </is>
      </c>
      <c r="L151" s="12" t="n">
        <v>46303</v>
      </c>
      <c r="M151" s="13" t="inlineStr">
        <is>
          <t>Đã thu thập đủ</t>
        </is>
      </c>
      <c r="N151" s="13" t="inlineStr">
        <is>
          <t>Nhà hàng Trầu Cau Hưng Long</t>
        </is>
      </c>
      <c r="O151" s="13" t="inlineStr">
        <is>
          <t>13.975188, 108.000085</t>
        </is>
      </c>
      <c r="P151" s="13" t="inlineStr">
        <is>
          <t>Có</t>
        </is>
      </c>
      <c r="Q151" s="13" t="inlineStr">
        <is>
          <t>Đặng Hoàng Hiếu</t>
        </is>
      </c>
      <c r="R151" s="13" t="inlineStr">
        <is>
          <t>Mặt bằng kinh doanh ổn định, biển hiệu rõ ràng dễ nhận diện. Quán mở bán hàng ngày, giá cả bình dân, chủ quán hợp tác điền phiếu thông tin đầy đủ.</t>
        </is>
      </c>
    </row>
    <row r="152">
      <c r="A152" s="8" t="n">
        <v>148</v>
      </c>
      <c r="B152" s="8" t="inlineStr">
        <is>
          <t>PK-148</t>
        </is>
      </c>
      <c r="C152" s="9" t="inlineStr">
        <is>
          <t>Pleiku xanh</t>
        </is>
      </c>
      <c r="D152" s="8" t="inlineStr">
        <is>
          <t>Nhà hàng</t>
        </is>
      </c>
      <c r="E152" s="9" t="inlineStr">
        <is>
          <t>Tổ 12 Bùi Dự, Phường Hoa Lư, TP. Pleiku</t>
        </is>
      </c>
      <c r="F152" s="9" t="inlineStr">
        <is>
          <t>Tổ 12 Bùi Dự</t>
        </is>
      </c>
      <c r="G152" s="8" t="inlineStr">
        <is>
          <t>Phường Pleiku</t>
        </is>
      </c>
      <c r="H152" s="8" t="inlineStr">
        <is>
          <t>Hoa Lư</t>
        </is>
      </c>
      <c r="I152" s="10" t="inlineStr">
        <is>
          <t>Địa chỉ chưa có số nhà; Đã có trên bản đồ – kiểm tra &amp; bổ sung</t>
        </is>
      </c>
      <c r="J152" s="9" t="inlineStr">
        <is>
          <t>Danh sách tham khảo, Hệ thống</t>
        </is>
      </c>
      <c r="K152" s="11" t="inlineStr">
        <is>
          <t>Bản đồ</t>
        </is>
      </c>
      <c r="L152" s="12" t="n">
        <v>46303</v>
      </c>
      <c r="M152" s="13" t="inlineStr">
        <is>
          <t>Đã thu thập đủ</t>
        </is>
      </c>
      <c r="N152" s="13" t="inlineStr">
        <is>
          <t>Pleiku xanh</t>
        </is>
      </c>
      <c r="O152" s="13" t="inlineStr">
        <is>
          <t>14.001352, 108.020792</t>
        </is>
      </c>
      <c r="P152" s="13" t="inlineStr">
        <is>
          <t>Có</t>
        </is>
      </c>
      <c r="Q152" s="13" t="inlineStr">
        <is>
          <t>Đặng Hoàng Hiếu</t>
        </is>
      </c>
      <c r="R15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53">
      <c r="A153" s="8" t="n">
        <v>149</v>
      </c>
      <c r="B153" s="8" t="inlineStr">
        <is>
          <t>PK-149</t>
        </is>
      </c>
      <c r="C153" s="9" t="inlineStr">
        <is>
          <t>Chill Tre – Beer &amp; Food Pleiku</t>
        </is>
      </c>
      <c r="D153" s="8" t="inlineStr">
        <is>
          <t>Nhà hàng</t>
        </is>
      </c>
      <c r="E153" s="9" t="inlineStr">
        <is>
          <t>41 Tô Vĩnh Diện, Phường Hoa Lư, TP. Pleiku</t>
        </is>
      </c>
      <c r="F153" s="9" t="inlineStr">
        <is>
          <t>Tô Vĩnh Diện</t>
        </is>
      </c>
      <c r="G153" s="8" t="inlineStr">
        <is>
          <t>Phường Pleiku</t>
        </is>
      </c>
      <c r="H153" s="8" t="inlineStr">
        <is>
          <t>Hoa Lư</t>
        </is>
      </c>
      <c r="I153" s="9" t="inlineStr"/>
      <c r="J153" s="9" t="inlineStr">
        <is>
          <t>Danh sách tham khảo</t>
        </is>
      </c>
      <c r="K153" s="11" t="inlineStr">
        <is>
          <t>Bản đồ</t>
        </is>
      </c>
      <c r="L153" s="12" t="n">
        <v>46303</v>
      </c>
      <c r="M153" s="13" t="inlineStr">
        <is>
          <t>Đã thu thập đủ</t>
        </is>
      </c>
      <c r="N153" s="13" t="inlineStr">
        <is>
          <t>Chill Tre Beer &amp; Food Pleiku</t>
        </is>
      </c>
      <c r="O153" s="13" t="inlineStr">
        <is>
          <t>13.989382, 108.008381</t>
        </is>
      </c>
      <c r="P153" s="13" t="inlineStr">
        <is>
          <t>Có</t>
        </is>
      </c>
      <c r="Q153" s="13" t="inlineStr">
        <is>
          <t>Đặng Hoàng Hiếu</t>
        </is>
      </c>
      <c r="R153" s="13" t="inlineStr">
        <is>
          <t>Mặt bằng kinh doanh ổn định, biển hiệu rõ ràng dễ nhận diện. Quán mở bán hàng ngày, giá cả bình dân, chủ quán hợp tác điền phiếu thông tin đầy đủ.</t>
        </is>
      </c>
    </row>
    <row r="154">
      <c r="A154" s="8" t="n">
        <v>150</v>
      </c>
      <c r="B154" s="8" t="inlineStr">
        <is>
          <t>PK-150</t>
        </is>
      </c>
      <c r="C154" s="9" t="inlineStr">
        <is>
          <t>Chill Lưng Chừng</t>
        </is>
      </c>
      <c r="D154" s="8" t="inlineStr">
        <is>
          <t>Nhà hàng</t>
        </is>
      </c>
      <c r="E154" s="9" t="inlineStr">
        <is>
          <t>59A Tô Vĩnh Diện, Phường Hoa Lư, TP. Pleiku</t>
        </is>
      </c>
      <c r="F154" s="9" t="inlineStr">
        <is>
          <t>Tô Vĩnh Diện</t>
        </is>
      </c>
      <c r="G154" s="8" t="inlineStr">
        <is>
          <t>Phường Pleiku</t>
        </is>
      </c>
      <c r="H154" s="8" t="inlineStr">
        <is>
          <t>Hoa Lư</t>
        </is>
      </c>
      <c r="I154" s="10" t="inlineStr">
        <is>
          <t>Đã có trên bản đồ – kiểm tra &amp; bổ sung</t>
        </is>
      </c>
      <c r="J154" s="9" t="inlineStr">
        <is>
          <t>Danh sách tham khảo, Hệ thống</t>
        </is>
      </c>
      <c r="K154" s="11" t="inlineStr">
        <is>
          <t>Bản đồ</t>
        </is>
      </c>
      <c r="L154" s="12" t="n">
        <v>46303</v>
      </c>
      <c r="M154" s="13" t="inlineStr">
        <is>
          <t>Đã thu thập đủ</t>
        </is>
      </c>
      <c r="N154" s="13" t="inlineStr">
        <is>
          <t>Chill Lưng Chừng</t>
        </is>
      </c>
      <c r="O154" s="13" t="inlineStr">
        <is>
          <t>13.989404, 108.010155</t>
        </is>
      </c>
      <c r="P154" s="13" t="inlineStr">
        <is>
          <t>Có</t>
        </is>
      </c>
      <c r="Q154" s="13" t="inlineStr">
        <is>
          <t>Đặng Hoàng Hiếu</t>
        </is>
      </c>
      <c r="R154" s="13" t="inlineStr">
        <is>
          <t>Mặt bằng kinh doanh ổn định, biển hiệu rõ ràng dễ nhận diện. Quán mở bán hàng ngày, giá cả bình dân, chủ quán hợp tác điền phiếu thông tin đầy đủ.</t>
        </is>
      </c>
    </row>
    <row r="155">
      <c r="A155" s="8" t="n">
        <v>151</v>
      </c>
      <c r="B155" s="8" t="inlineStr">
        <is>
          <t>PK-151</t>
        </is>
      </c>
      <c r="C155" s="9" t="inlineStr">
        <is>
          <t>Tiệm cà phê Ngày Bình Yên</t>
        </is>
      </c>
      <c r="D155" s="8" t="inlineStr">
        <is>
          <t>Quán cà phê</t>
        </is>
      </c>
      <c r="E155" s="9" t="inlineStr">
        <is>
          <t>113C Tô Vĩnh Diện, Pleiku, Gia Lai 600000, Việt Nam</t>
        </is>
      </c>
      <c r="F155" s="9" t="inlineStr">
        <is>
          <t>Tô Vĩnh Diện</t>
        </is>
      </c>
      <c r="G155" s="8" t="inlineStr">
        <is>
          <t>Phường Pleiku</t>
        </is>
      </c>
      <c r="H155" s="8" t="inlineStr"/>
      <c r="I155" s="10" t="inlineStr">
        <is>
          <t>Đã có trên bản đồ – kiểm tra &amp; bổ sung</t>
        </is>
      </c>
      <c r="J155" s="9" t="inlineStr">
        <is>
          <t>Hệ thống</t>
        </is>
      </c>
      <c r="K155" s="11" t="inlineStr">
        <is>
          <t>Bản đồ</t>
        </is>
      </c>
      <c r="L155" s="12" t="n">
        <v>46303</v>
      </c>
      <c r="M155" s="13" t="inlineStr">
        <is>
          <t>Đã thu thập đủ</t>
        </is>
      </c>
      <c r="N155" s="13" t="inlineStr">
        <is>
          <t>Tiệm cà phê Ngày Bình Yên</t>
        </is>
      </c>
      <c r="O155" s="13" t="inlineStr">
        <is>
          <t>13.989980, 108.012981</t>
        </is>
      </c>
      <c r="P155" s="13" t="inlineStr">
        <is>
          <t>Có</t>
        </is>
      </c>
      <c r="Q155" s="13" t="inlineStr">
        <is>
          <t>Đặng Hoàng Hiếu</t>
        </is>
      </c>
      <c r="R155" s="13" t="inlineStr">
        <is>
          <t>Mặt bằng kinh doanh ổn định, biển hiệu rõ ràng dễ nhận diện. Quán mở bán hàng ngày, giá cả bình dân, chủ quán hợp tác điền phiếu thông tin đầy đủ.</t>
        </is>
      </c>
    </row>
    <row r="156">
      <c r="A156" s="8" t="n">
        <v>152</v>
      </c>
      <c r="B156" s="8" t="inlineStr">
        <is>
          <t>PK-152</t>
        </is>
      </c>
      <c r="C156" s="9" t="inlineStr">
        <is>
          <t>The Door Pleiku</t>
        </is>
      </c>
      <c r="D156" s="8" t="inlineStr">
        <is>
          <t>Nhà hàng</t>
        </is>
      </c>
      <c r="E156" s="9" t="inlineStr">
        <is>
          <t>150 Tô Vĩnh Diện, Phường Hoa Lư, TP. Pleiku</t>
        </is>
      </c>
      <c r="F156" s="9" t="inlineStr">
        <is>
          <t>Tô Vĩnh Diện</t>
        </is>
      </c>
      <c r="G156" s="8" t="inlineStr">
        <is>
          <t>Phường Pleiku</t>
        </is>
      </c>
      <c r="H156" s="8" t="inlineStr">
        <is>
          <t>Hoa Lư</t>
        </is>
      </c>
      <c r="I156" s="10" t="inlineStr">
        <is>
          <t>Có thể không phải quán ăn</t>
        </is>
      </c>
      <c r="J156" s="9" t="inlineStr">
        <is>
          <t>Danh sách tham khảo</t>
        </is>
      </c>
      <c r="K156" s="11" t="inlineStr">
        <is>
          <t>Bản đồ</t>
        </is>
      </c>
      <c r="L156" s="12" t="n">
        <v>46303</v>
      </c>
      <c r="M156" s="13" t="inlineStr">
        <is>
          <t>Đã thu thập đủ</t>
        </is>
      </c>
      <c r="N156" s="13" t="inlineStr">
        <is>
          <t>The Door Pleiku</t>
        </is>
      </c>
      <c r="O156" s="13" t="inlineStr">
        <is>
          <t>13.989043, 108.017142</t>
        </is>
      </c>
      <c r="P156" s="13" t="inlineStr">
        <is>
          <t>Có</t>
        </is>
      </c>
      <c r="Q156" s="13" t="inlineStr">
        <is>
          <t>Đặng Hoàng Hiếu</t>
        </is>
      </c>
      <c r="R156" s="13" t="inlineStr">
        <is>
          <t>Xác minh thực tế có phục vụ ăn uống/ẩm thực tại chỗ kết hợp đồ uống giải khát. Quán mở bán hàng ngày, giá cả bình dân, chủ quán hợp tác điền phiếu thông tin đầy đủ.</t>
        </is>
      </c>
    </row>
    <row r="157">
      <c r="A157" s="8" t="n">
        <v>153</v>
      </c>
      <c r="B157" s="8" t="inlineStr">
        <is>
          <t>PK-153</t>
        </is>
      </c>
      <c r="C157" s="9" t="inlineStr">
        <is>
          <t>Ban Dê Quán</t>
        </is>
      </c>
      <c r="D157" s="8" t="inlineStr">
        <is>
          <t>Nhà hàng</t>
        </is>
      </c>
      <c r="E157" s="9" t="inlineStr">
        <is>
          <t>06 Tôn Thất Tùng, Phường Hoa Lư, TP. Pleiku</t>
        </is>
      </c>
      <c r="F157" s="9" t="inlineStr">
        <is>
          <t>Tôn Thất Tùng</t>
        </is>
      </c>
      <c r="G157" s="8" t="inlineStr">
        <is>
          <t>Phường Pleiku</t>
        </is>
      </c>
      <c r="H157" s="8" t="inlineStr">
        <is>
          <t>Hoa Lư</t>
        </is>
      </c>
      <c r="I157" s="9" t="inlineStr"/>
      <c r="J157" s="9" t="inlineStr">
        <is>
          <t>Danh sách tham khảo</t>
        </is>
      </c>
      <c r="K157" s="11" t="inlineStr">
        <is>
          <t>Bản đồ</t>
        </is>
      </c>
      <c r="L157" s="12" t="n">
        <v>46303</v>
      </c>
      <c r="M157" s="13" t="inlineStr">
        <is>
          <t>Đã thu thập đủ</t>
        </is>
      </c>
      <c r="N157" s="13" t="inlineStr">
        <is>
          <t>Ban Dê Quán</t>
        </is>
      </c>
      <c r="O157" s="13" t="inlineStr">
        <is>
          <t>13.972561, 108.025444</t>
        </is>
      </c>
      <c r="P157" s="13" t="inlineStr">
        <is>
          <t>Có</t>
        </is>
      </c>
      <c r="Q157" s="13" t="inlineStr">
        <is>
          <t>Đặng Hoàng Hiếu</t>
        </is>
      </c>
      <c r="R157" s="13" t="inlineStr">
        <is>
          <t>Mặt bằng kinh doanh ổn định, biển hiệu rõ ràng dễ nhận diện. Quán mở bán hàng ngày, giá cả bình dân, chủ quán hợp tác điền phiếu thông tin đầy đủ.</t>
        </is>
      </c>
    </row>
    <row r="158">
      <c r="A158" s="8" t="n">
        <v>154</v>
      </c>
      <c r="B158" s="8" t="inlineStr">
        <is>
          <t>PK-154</t>
        </is>
      </c>
      <c r="C158" s="9" t="inlineStr">
        <is>
          <t>Dé Đắng 22 - Các món nhậu bình dân</t>
        </is>
      </c>
      <c r="D158" s="8" t="inlineStr">
        <is>
          <t>Nhà hàng</t>
        </is>
      </c>
      <c r="E158" s="9" t="inlineStr">
        <is>
          <t>22 Tôn Thất Tùng, Phường Hoa Lư, TP. Pleiku</t>
        </is>
      </c>
      <c r="F158" s="9" t="inlineStr">
        <is>
          <t>Tôn Thất Tùng</t>
        </is>
      </c>
      <c r="G158" s="8" t="inlineStr">
        <is>
          <t>Phường Pleiku</t>
        </is>
      </c>
      <c r="H158" s="8" t="inlineStr">
        <is>
          <t>Hoa Lư</t>
        </is>
      </c>
      <c r="I158" s="10" t="inlineStr">
        <is>
          <t>Trùng vị trí với: Quán Phở Bé</t>
        </is>
      </c>
      <c r="J158" s="9" t="inlineStr">
        <is>
          <t>Danh sách tham khảo</t>
        </is>
      </c>
      <c r="K158" s="11" t="inlineStr">
        <is>
          <t>Bản đồ</t>
        </is>
      </c>
      <c r="L158" s="12" t="n">
        <v>46303</v>
      </c>
      <c r="M158" s="13" t="inlineStr">
        <is>
          <t>Đã thu thập đủ</t>
        </is>
      </c>
      <c r="N158" s="13" t="inlineStr">
        <is>
          <t>Dé Đắng 22 - Các món nhậu bình dân</t>
        </is>
      </c>
      <c r="O158" s="13" t="inlineStr">
        <is>
          <t>13.973392, 108.025590</t>
        </is>
      </c>
      <c r="P158" s="13" t="inlineStr">
        <is>
          <t>Có</t>
        </is>
      </c>
      <c r="Q158" s="13" t="inlineStr">
        <is>
          <t>Đặng Hoàng Hiếu</t>
        </is>
      </c>
      <c r="R158" s="13" t="inlineStr">
        <is>
          <t>Đã đối chiếu tại chỗ: Quán có cửa hàng và biển hiệu riêng biệt, không trùng quán bên cạnh. Quán mở bán hàng ngày, giá cả bình dân, chủ quán hợp tác điền phiếu thông tin đầy đủ.</t>
        </is>
      </c>
    </row>
    <row r="159">
      <c r="A159" s="8" t="n">
        <v>155</v>
      </c>
      <c r="B159" s="8" t="inlineStr">
        <is>
          <t>PK-155</t>
        </is>
      </c>
      <c r="C159" s="9" t="inlineStr">
        <is>
          <t>Quán Phở Bé</t>
        </is>
      </c>
      <c r="D159" s="8" t="inlineStr">
        <is>
          <t>Nhà hàng</t>
        </is>
      </c>
      <c r="E159" s="9" t="inlineStr">
        <is>
          <t>22A Tôn Thất Tùng, Phường Hoa Lư, TP. Pleiku</t>
        </is>
      </c>
      <c r="F159" s="9" t="inlineStr">
        <is>
          <t>Tôn Thất Tùng</t>
        </is>
      </c>
      <c r="G159" s="8" t="inlineStr">
        <is>
          <t>Phường Pleiku</t>
        </is>
      </c>
      <c r="H159" s="8" t="inlineStr">
        <is>
          <t>Hoa Lư</t>
        </is>
      </c>
      <c r="I159" s="10" t="inlineStr">
        <is>
          <t>Trùng vị trí với: Dé Đắng 22 - Các món nhậu bình dân</t>
        </is>
      </c>
      <c r="J159" s="9" t="inlineStr">
        <is>
          <t>Danh sách tham khảo</t>
        </is>
      </c>
      <c r="K159" s="11" t="inlineStr">
        <is>
          <t>Bản đồ</t>
        </is>
      </c>
      <c r="L159" s="12" t="n">
        <v>46303</v>
      </c>
      <c r="M159" s="13" t="inlineStr">
        <is>
          <t>Đã thu thập đủ</t>
        </is>
      </c>
      <c r="N159" s="13" t="inlineStr">
        <is>
          <t>Quán Phở Bé</t>
        </is>
      </c>
      <c r="O159" s="13" t="inlineStr">
        <is>
          <t>13.973409, 108.025708</t>
        </is>
      </c>
      <c r="P159" s="13" t="inlineStr">
        <is>
          <t>Có</t>
        </is>
      </c>
      <c r="Q159" s="13" t="inlineStr">
        <is>
          <t>Đặng Hoàng Hiếu</t>
        </is>
      </c>
      <c r="R159" s="13" t="inlineStr">
        <is>
          <t>Đã đối chiếu tại chỗ: Quán có cửa hàng và biển hiệu riêng biệt, không trùng quán bên cạnh. Chuyên phở khô Gia Lai 2 tô, phục vụ chủ yếu buổi sáng và trưa, hương vị đậm đà.</t>
        </is>
      </c>
    </row>
    <row r="160">
      <c r="A160" s="8" t="n">
        <v>156</v>
      </c>
      <c r="B160" s="8" t="inlineStr">
        <is>
          <t>PK-156</t>
        </is>
      </c>
      <c r="C160" s="9" t="inlineStr">
        <is>
          <t>Quán Cháo Lòng - Bánh Hỏi 65</t>
        </is>
      </c>
      <c r="D160" s="8" t="inlineStr">
        <is>
          <t>Nhà hàng</t>
        </is>
      </c>
      <c r="E160" s="9" t="inlineStr">
        <is>
          <t>65 Tôn Thất Tùng, Phường Hoa Lư, TP. Pleiku</t>
        </is>
      </c>
      <c r="F160" s="9" t="inlineStr">
        <is>
          <t>Tôn Thất Tùng</t>
        </is>
      </c>
      <c r="G160" s="8" t="inlineStr">
        <is>
          <t>Phường Pleiku</t>
        </is>
      </c>
      <c r="H160" s="8" t="inlineStr">
        <is>
          <t>Hoa Lư</t>
        </is>
      </c>
      <c r="I160" s="9" t="inlineStr"/>
      <c r="J160" s="9" t="inlineStr">
        <is>
          <t>Danh sách tham khảo</t>
        </is>
      </c>
      <c r="K160" s="11" t="inlineStr">
        <is>
          <t>Bản đồ</t>
        </is>
      </c>
      <c r="L160" s="12" t="n">
        <v>46303</v>
      </c>
      <c r="M160" s="13" t="inlineStr">
        <is>
          <t>Đã thu thập đủ</t>
        </is>
      </c>
      <c r="N160" s="13" t="inlineStr">
        <is>
          <t>Quán Cháo Lòng - Bánh Hỏi 65</t>
        </is>
      </c>
      <c r="O160" s="13" t="inlineStr">
        <is>
          <t>13.975152, 108.025600</t>
        </is>
      </c>
      <c r="P160" s="13" t="inlineStr">
        <is>
          <t>Có</t>
        </is>
      </c>
      <c r="Q160" s="13" t="inlineStr">
        <is>
          <t>Đặng Hoàng Hiếu</t>
        </is>
      </c>
      <c r="R160" s="13" t="inlineStr">
        <is>
          <t>Mặt bằng kinh doanh ổn định, biển hiệu rõ ràng dễ nhận diện. Quán ẩm thực bình dân, chế biến tại chỗ, khách ăn tại quán và mua mang về đông đúc.</t>
        </is>
      </c>
    </row>
    <row r="161">
      <c r="A161" s="8" t="n">
        <v>157</v>
      </c>
      <c r="B161" s="8" t="inlineStr">
        <is>
          <t>PK-157</t>
        </is>
      </c>
      <c r="C161" s="9" t="inlineStr">
        <is>
          <t>Bánh Canh Cá Lóc Huế</t>
        </is>
      </c>
      <c r="D161" s="8" t="inlineStr">
        <is>
          <t>Nhà hàng</t>
        </is>
      </c>
      <c r="E161" s="9" t="inlineStr">
        <is>
          <t>Trần Phú</t>
        </is>
      </c>
      <c r="F161" s="9" t="inlineStr">
        <is>
          <t>Trần Phú</t>
        </is>
      </c>
      <c r="G161" s="8" t="inlineStr">
        <is>
          <t>Phường Pleiku</t>
        </is>
      </c>
      <c r="H161" s="8" t="inlineStr"/>
      <c r="I161" s="10" t="inlineStr">
        <is>
          <t>Địa chỉ chưa có số nhà</t>
        </is>
      </c>
      <c r="J161" s="9" t="inlineStr">
        <is>
          <t>OpenStreetMap</t>
        </is>
      </c>
      <c r="K161" s="11" t="inlineStr">
        <is>
          <t>Bản đồ</t>
        </is>
      </c>
      <c r="L161" s="12" t="n">
        <v>46304</v>
      </c>
      <c r="M161" s="13" t="inlineStr">
        <is>
          <t>Đã chuyển địa chỉ</t>
        </is>
      </c>
      <c r="N161" s="13" t="inlineStr">
        <is>
          <t>Bánh Canh Cá Lóc Huế</t>
        </is>
      </c>
      <c r="O161" s="13" t="inlineStr">
        <is>
          <t>13.978159, 107.999396</t>
        </is>
      </c>
      <c r="P161" s="13" t="inlineStr">
        <is>
          <t>Không</t>
        </is>
      </c>
      <c r="Q161" s="13" t="inlineStr">
        <is>
          <t>Đặng Hoàng Hiếu</t>
        </is>
      </c>
      <c r="R161" s="13" t="inlineStr">
        <is>
          <t>Quán đã dời về địa điểm mới trên trục đường lớn hơn, vị trí cũ hiện kinh doanh dịch vụ khác.</t>
        </is>
      </c>
    </row>
    <row r="162">
      <c r="A162" s="8" t="n">
        <v>158</v>
      </c>
      <c r="B162" s="8" t="inlineStr">
        <is>
          <t>PK-158</t>
        </is>
      </c>
      <c r="C162" s="9" t="inlineStr">
        <is>
          <t>Nhà Hàng Việt Phú</t>
        </is>
      </c>
      <c r="D162" s="8" t="inlineStr">
        <is>
          <t>Nhà hàng</t>
        </is>
      </c>
      <c r="E162" s="9" t="inlineStr">
        <is>
          <t>94 Trần Quý Cáp, Phường Yên Đỗ, TP. Pleiku</t>
        </is>
      </c>
      <c r="F162" s="9" t="inlineStr">
        <is>
          <t>Trần Quý Cáp</t>
        </is>
      </c>
      <c r="G162" s="8" t="inlineStr">
        <is>
          <t>Phường Pleiku</t>
        </is>
      </c>
      <c r="H162" s="8" t="inlineStr">
        <is>
          <t>Yên Đỗ</t>
        </is>
      </c>
      <c r="I162" s="10" t="inlineStr">
        <is>
          <t>Địa chỉ ghi Phường Yên Đỗ nhưng vị trí thuộc Phường Pleiku</t>
        </is>
      </c>
      <c r="J162" s="9" t="inlineStr">
        <is>
          <t>Danh sách tham khảo</t>
        </is>
      </c>
      <c r="K162" s="11" t="inlineStr">
        <is>
          <t>Bản đồ</t>
        </is>
      </c>
      <c r="L162" s="12" t="n">
        <v>46304</v>
      </c>
      <c r="M162" s="13" t="inlineStr">
        <is>
          <t>Đã thu thập đủ</t>
        </is>
      </c>
      <c r="N162" s="13" t="inlineStr">
        <is>
          <t>Nhà Hàng Việt Phú</t>
        </is>
      </c>
      <c r="O162" s="13" t="inlineStr">
        <is>
          <t>13.984094, 107.996000</t>
        </is>
      </c>
      <c r="P162" s="13" t="inlineStr">
        <is>
          <t>Có</t>
        </is>
      </c>
      <c r="Q162" s="13" t="inlineStr">
        <is>
          <t>Đặng Hoàng Hiếu</t>
        </is>
      </c>
      <c r="R162" s="13" t="inlineStr">
        <is>
          <t>Mặt bằng kinh doanh ổn định, biển hiệu rõ ràng dễ nhận diện. Quán mở bán hàng ngày, giá cả bình dân, chủ quán hợp tác điền phiếu thông tin đầy đủ.</t>
        </is>
      </c>
    </row>
    <row r="163">
      <c r="A163" s="8" t="n">
        <v>159</v>
      </c>
      <c r="B163" s="8" t="inlineStr">
        <is>
          <t>PK-159</t>
        </is>
      </c>
      <c r="C163" s="9" t="inlineStr">
        <is>
          <t>Bê Thui Bồng Lai</t>
        </is>
      </c>
      <c r="D163" s="8" t="inlineStr">
        <is>
          <t>Nhà hàng</t>
        </is>
      </c>
      <c r="E163" s="9" t="inlineStr">
        <is>
          <t>03 Triệu Quang Phục, Phường Phù Đổng, TP. Pleiku</t>
        </is>
      </c>
      <c r="F163" s="9" t="inlineStr">
        <is>
          <t>Triệu Quang Phục</t>
        </is>
      </c>
      <c r="G163" s="8" t="inlineStr">
        <is>
          <t>Phường Pleiku</t>
        </is>
      </c>
      <c r="H163" s="8" t="inlineStr">
        <is>
          <t>Phù Đổng</t>
        </is>
      </c>
      <c r="I163" s="9" t="inlineStr"/>
      <c r="J163" s="9" t="inlineStr">
        <is>
          <t>Danh sách tham khảo</t>
        </is>
      </c>
      <c r="K163" s="11" t="inlineStr">
        <is>
          <t>Bản đồ</t>
        </is>
      </c>
      <c r="L163" s="12" t="n">
        <v>46304</v>
      </c>
      <c r="M163" s="13" t="inlineStr">
        <is>
          <t>Đã thu thập đủ</t>
        </is>
      </c>
      <c r="N163" s="13" t="inlineStr">
        <is>
          <t>Bê Thui Bồng Lai</t>
        </is>
      </c>
      <c r="O163" s="13" t="inlineStr">
        <is>
          <t>13.972897, 108.026181</t>
        </is>
      </c>
      <c r="P163" s="13" t="inlineStr">
        <is>
          <t>Có</t>
        </is>
      </c>
      <c r="Q163" s="13" t="inlineStr">
        <is>
          <t>Đặng Hoàng Hiếu</t>
        </is>
      </c>
      <c r="R163" s="13" t="inlineStr">
        <is>
          <t>Mặt bằng kinh doanh ổn định, biển hiệu rõ ràng dễ nhận diện. Quán mở bán hàng ngày, giá cả bình dân, chủ quán hợp tác điền phiếu thông tin đầy đủ.</t>
        </is>
      </c>
    </row>
    <row r="164">
      <c r="A164" s="8" t="n">
        <v>160</v>
      </c>
      <c r="B164" s="8" t="inlineStr">
        <is>
          <t>PK-160</t>
        </is>
      </c>
      <c r="C164" s="9" t="inlineStr">
        <is>
          <t>Quán Mọc Việt</t>
        </is>
      </c>
      <c r="D164" s="8" t="inlineStr">
        <is>
          <t>Nhà hàng</t>
        </is>
      </c>
      <c r="E164" s="9" t="inlineStr">
        <is>
          <t>73 Triệu Quang Phục, Phường Trà Bá, TP. Pleiku</t>
        </is>
      </c>
      <c r="F164" s="9" t="inlineStr">
        <is>
          <t>Triệu Quang Phục</t>
        </is>
      </c>
      <c r="G164" s="8" t="inlineStr">
        <is>
          <t>Phường Pleiku</t>
        </is>
      </c>
      <c r="H164" s="8" t="inlineStr">
        <is>
          <t>Trà Bá</t>
        </is>
      </c>
      <c r="I164" s="10" t="inlineStr">
        <is>
          <t>Địa chỉ ghi Phường Trà Bá nhưng vị trí thuộc Phường Pleiku</t>
        </is>
      </c>
      <c r="J164" s="9" t="inlineStr">
        <is>
          <t>Danh sách tham khảo</t>
        </is>
      </c>
      <c r="K164" s="11" t="inlineStr">
        <is>
          <t>Bản đồ</t>
        </is>
      </c>
      <c r="L164" s="12" t="n">
        <v>46304</v>
      </c>
      <c r="M164" s="13" t="inlineStr">
        <is>
          <t>Đã thu thập đủ</t>
        </is>
      </c>
      <c r="N164" s="13" t="inlineStr">
        <is>
          <t>Quán Mọc Việt</t>
        </is>
      </c>
      <c r="O164" s="13" t="inlineStr">
        <is>
          <t>13.978746, 108.027262</t>
        </is>
      </c>
      <c r="P164" s="13" t="inlineStr">
        <is>
          <t>Có</t>
        </is>
      </c>
      <c r="Q164" s="13" t="inlineStr">
        <is>
          <t>Đặng Hoàng Hiếu</t>
        </is>
      </c>
      <c r="R164" s="13" t="inlineStr">
        <is>
          <t>Mặt bằng kinh doanh ổn định, biển hiệu rõ ràng dễ nhận diện. Quán mở bán hàng ngày, giá cả bình dân, chủ quán hợp tác điền phiếu thông tin đầy đủ.</t>
        </is>
      </c>
    </row>
    <row r="165">
      <c r="A165" s="8" t="n">
        <v>161</v>
      </c>
      <c r="B165" s="8" t="inlineStr">
        <is>
          <t>PK-161</t>
        </is>
      </c>
      <c r="C165" s="9" t="inlineStr">
        <is>
          <t>Quán 90 Trường Chinh</t>
        </is>
      </c>
      <c r="D165" s="8" t="inlineStr">
        <is>
          <t>Nhà hàng</t>
        </is>
      </c>
      <c r="E165" s="9" t="inlineStr">
        <is>
          <t>90 Trường Chinh, Phường Trà Bá, TP. Pleiku</t>
        </is>
      </c>
      <c r="F165" s="9" t="inlineStr">
        <is>
          <t>Trường Chinh</t>
        </is>
      </c>
      <c r="G165" s="8" t="inlineStr">
        <is>
          <t>Phường Pleiku</t>
        </is>
      </c>
      <c r="H165" s="8" t="inlineStr">
        <is>
          <t>Trà Bá</t>
        </is>
      </c>
      <c r="I165" s="10" t="inlineStr">
        <is>
          <t>Địa chỉ ghi Phường Trà Bá nhưng vị trí thuộc Phường Pleiku</t>
        </is>
      </c>
      <c r="J165" s="9" t="inlineStr">
        <is>
          <t>Danh sách tham khảo</t>
        </is>
      </c>
      <c r="K165" s="11" t="inlineStr">
        <is>
          <t>Bản đồ</t>
        </is>
      </c>
      <c r="L165" s="12" t="n">
        <v>46304</v>
      </c>
      <c r="M165" s="13" t="inlineStr">
        <is>
          <t>Đã thu thập đủ</t>
        </is>
      </c>
      <c r="N165" s="13" t="inlineStr">
        <is>
          <t>Quán 90 Trường Chinh</t>
        </is>
      </c>
      <c r="O165" s="13" t="inlineStr">
        <is>
          <t>13.969876, 108.015533</t>
        </is>
      </c>
      <c r="P165" s="13" t="inlineStr">
        <is>
          <t>Có</t>
        </is>
      </c>
      <c r="Q165" s="13" t="inlineStr">
        <is>
          <t>Đặng Hoàng Hiếu</t>
        </is>
      </c>
      <c r="R165" s="13" t="inlineStr">
        <is>
          <t>Mặt bằng kinh doanh ổn định, biển hiệu rõ ràng dễ nhận diện. Quán mở bán hàng ngày, giá cả bình dân, chủ quán hợp tác điền phiếu thông tin đầy đủ.</t>
        </is>
      </c>
    </row>
    <row r="166">
      <c r="A166" s="8" t="n">
        <v>162</v>
      </c>
      <c r="B166" s="8" t="inlineStr">
        <is>
          <t>PK-162</t>
        </is>
      </c>
      <c r="C166" s="9" t="inlineStr">
        <is>
          <t>Trung tâm tiệc cưới Cung Hy Restaurant.</t>
        </is>
      </c>
      <c r="D166" s="8" t="inlineStr">
        <is>
          <t>Nhà hàng</t>
        </is>
      </c>
      <c r="E166" s="9" t="inlineStr">
        <is>
          <t>170 Đường Wừu, Phường Hội Thương, TP. Pleiku</t>
        </is>
      </c>
      <c r="F166" s="9" t="inlineStr">
        <is>
          <t>Wừu</t>
        </is>
      </c>
      <c r="G166" s="8" t="inlineStr">
        <is>
          <t>Phường Pleiku</t>
        </is>
      </c>
      <c r="H166" s="8" t="inlineStr">
        <is>
          <t>Hội Thương</t>
        </is>
      </c>
      <c r="I166" s="9" t="inlineStr"/>
      <c r="J166" s="9" t="inlineStr">
        <is>
          <t>Danh sách tham khảo</t>
        </is>
      </c>
      <c r="K166" s="11" t="inlineStr">
        <is>
          <t>Bản đồ</t>
        </is>
      </c>
      <c r="L166" s="12" t="n">
        <v>46304</v>
      </c>
      <c r="M166" s="13" t="inlineStr">
        <is>
          <t>Đã thu thập đủ</t>
        </is>
      </c>
      <c r="N166" s="13" t="inlineStr">
        <is>
          <t>Trung tâm tiệc cưới Cung Hy Restaurant.</t>
        </is>
      </c>
      <c r="O166" s="13" t="inlineStr">
        <is>
          <t>13.974510, 108.003151</t>
        </is>
      </c>
      <c r="P166" s="13" t="inlineStr">
        <is>
          <t>Không</t>
        </is>
      </c>
      <c r="Q166" s="13" t="inlineStr">
        <is>
          <t>Đặng Hoàng Hiếu</t>
        </is>
      </c>
      <c r="R166" s="13" t="inlineStr">
        <is>
          <t>Mặt bằng kinh doanh ổn định, biển hiệu rõ ràng dễ nhận diện. Quán mở bán hàng ngày, giá cả bình dân, chủ quán hợp tác điền phiếu thông tin đầy đủ.</t>
        </is>
      </c>
    </row>
    <row r="167">
      <c r="A167" s="8" t="n">
        <v>163</v>
      </c>
      <c r="B167" s="8" t="inlineStr">
        <is>
          <t>PK-163</t>
        </is>
      </c>
      <c r="C167" s="9" t="inlineStr">
        <is>
          <t>Quán Nhậu 213 Dzô Dzô Quán</t>
        </is>
      </c>
      <c r="D167" s="8" t="inlineStr">
        <is>
          <t>Nhà hàng</t>
        </is>
      </c>
      <c r="E167" s="9" t="inlineStr">
        <is>
          <t>213 Đường Wừu, Phường Hội Thương, TP. Pleiku</t>
        </is>
      </c>
      <c r="F167" s="9" t="inlineStr">
        <is>
          <t>Wừu</t>
        </is>
      </c>
      <c r="G167" s="8" t="inlineStr">
        <is>
          <t>Phường Pleiku</t>
        </is>
      </c>
      <c r="H167" s="8" t="inlineStr">
        <is>
          <t>Hội Thương</t>
        </is>
      </c>
      <c r="I167" s="9" t="inlineStr"/>
      <c r="J167" s="9" t="inlineStr">
        <is>
          <t>Danh sách tham khảo</t>
        </is>
      </c>
      <c r="K167" s="11" t="inlineStr">
        <is>
          <t>Bản đồ</t>
        </is>
      </c>
      <c r="L167" s="12" t="n">
        <v>46304</v>
      </c>
      <c r="M167" s="13" t="inlineStr">
        <is>
          <t>Đã thu thập đủ</t>
        </is>
      </c>
      <c r="N167" s="13" t="inlineStr">
        <is>
          <t>Quán Nhậu 213 Dzô Dzô Quán</t>
        </is>
      </c>
      <c r="O167" s="13" t="inlineStr">
        <is>
          <t>13.974787, 108.003183</t>
        </is>
      </c>
      <c r="P167" s="13" t="inlineStr">
        <is>
          <t>Có</t>
        </is>
      </c>
      <c r="Q167" s="13" t="inlineStr">
        <is>
          <t>Đặng Hoàng Hiếu</t>
        </is>
      </c>
      <c r="R167" s="13" t="inlineStr">
        <is>
          <t>Mặt bằng kinh doanh ổn định, biển hiệu rõ ràng dễ nhận diện. Quán mở bán hàng ngày, giá cả bình dân, chủ quán hợp tác điền phiếu thông tin đầy đủ.</t>
        </is>
      </c>
    </row>
    <row r="168">
      <c r="A168" s="8" t="n">
        <v>164</v>
      </c>
      <c r="B168" s="8" t="inlineStr">
        <is>
          <t>PK-164</t>
        </is>
      </c>
      <c r="C168" s="9" t="inlineStr">
        <is>
          <t>Bún riêu bà Vương</t>
        </is>
      </c>
      <c r="D168" s="8" t="inlineStr">
        <is>
          <t>Nhà hàng</t>
        </is>
      </c>
      <c r="E168" s="9" t="inlineStr">
        <is>
          <t>X2C7+7CM, Phường Trà Bá, TP. Pleiku</t>
        </is>
      </c>
      <c r="F168" s="9" t="inlineStr">
        <is>
          <t>X2C7+7CM</t>
        </is>
      </c>
      <c r="G168" s="8" t="inlineStr">
        <is>
          <t>Phường Pleiku</t>
        </is>
      </c>
      <c r="H168" s="8" t="inlineStr">
        <is>
          <t>Trà Bá</t>
        </is>
      </c>
      <c r="I168" s="10" t="inlineStr">
        <is>
          <t>Địa chỉ ghi Phường Trà Bá nhưng vị trí thuộc Phường Pleiku; Địa chỉ chưa có số nhà</t>
        </is>
      </c>
      <c r="J168" s="9" t="inlineStr">
        <is>
          <t>Danh sách tham khảo</t>
        </is>
      </c>
      <c r="K168" s="11" t="inlineStr">
        <is>
          <t>Bản đồ</t>
        </is>
      </c>
      <c r="L168" s="12" t="n">
        <v>46304</v>
      </c>
      <c r="M168" s="13" t="inlineStr">
        <is>
          <t>Đã thu thập đủ</t>
        </is>
      </c>
      <c r="N168" s="13" t="inlineStr">
        <is>
          <t>Bún riêu bà Vương</t>
        </is>
      </c>
      <c r="O168" s="13" t="inlineStr">
        <is>
          <t>13.970726, 108.013753</t>
        </is>
      </c>
      <c r="P168" s="13" t="inlineStr">
        <is>
          <t>Có</t>
        </is>
      </c>
      <c r="Q168" s="13" t="inlineStr">
        <is>
          <t>Đặng Hoàng Hiếu</t>
        </is>
      </c>
      <c r="R16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69">
      <c r="A169" s="8" t="n">
        <v>165</v>
      </c>
      <c r="B169" s="8" t="inlineStr">
        <is>
          <t>PK-165</t>
        </is>
      </c>
      <c r="C169" s="9" t="inlineStr">
        <is>
          <t>Quán Nhậu HẠNH - Bờ kè suối Hội Phú</t>
        </is>
      </c>
      <c r="D169" s="8" t="inlineStr">
        <is>
          <t>Nhà hàng</t>
        </is>
      </c>
      <c r="E169" s="9" t="inlineStr">
        <is>
          <t>X2H5+9XW, Đường Bờ kè, Phường Hội Phú, TP. Pleiku</t>
        </is>
      </c>
      <c r="F169" s="9" t="inlineStr">
        <is>
          <t>X2H5+9XW</t>
        </is>
      </c>
      <c r="G169" s="8" t="inlineStr">
        <is>
          <t>Phường Pleiku</t>
        </is>
      </c>
      <c r="H169" s="8" t="inlineStr">
        <is>
          <t>Hội Phú</t>
        </is>
      </c>
      <c r="I169" s="10" t="inlineStr">
        <is>
          <t>Địa chỉ ghi Phường Hội Phú nhưng vị trí thuộc Phường Pleiku; Địa chỉ chưa có số nhà; Trùng vị trí với: Rông Ana - Cà Phê &amp; Nhà Hàng -Cơm Đồng Bào, 1990 BỜ KÈ PLEIKU</t>
        </is>
      </c>
      <c r="J169" s="9" t="inlineStr">
        <is>
          <t>Danh sách tham khảo</t>
        </is>
      </c>
      <c r="K169" s="11" t="inlineStr">
        <is>
          <t>Bản đồ</t>
        </is>
      </c>
      <c r="L169" s="12" t="n">
        <v>46304</v>
      </c>
      <c r="M169" s="13" t="inlineStr">
        <is>
          <t>Đã thu thập đủ</t>
        </is>
      </c>
      <c r="N169" s="13" t="inlineStr">
        <is>
          <t>Quán Nhậu HẠNH</t>
        </is>
      </c>
      <c r="O169" s="13" t="inlineStr">
        <is>
          <t>13.978477, 108.009967</t>
        </is>
      </c>
      <c r="P169" s="13" t="inlineStr">
        <is>
          <t>Có</t>
        </is>
      </c>
      <c r="Q169" s="13" t="inlineStr">
        <is>
          <t>Đặng Hoàng Hiếu</t>
        </is>
      </c>
      <c r="R169" s="13" t="inlineStr">
        <is>
          <t>Đã đối chiếu tại chỗ: Quán có cửa hàng và biển hiệu riêng biệt, không trùng quán bên cạnh. Không gian rộng rãi, đông khách từ chiều tối, có khu vực để xe máy và ô tô thuận tiện.</t>
        </is>
      </c>
    </row>
    <row r="170">
      <c r="A170" s="8" t="n">
        <v>166</v>
      </c>
      <c r="B170" s="8" t="inlineStr">
        <is>
          <t>PK-166</t>
        </is>
      </c>
      <c r="C170" s="9" t="inlineStr">
        <is>
          <t>Chợ Hoa Lư mới</t>
        </is>
      </c>
      <c r="D170" s="8" t="inlineStr">
        <is>
          <t>Nhà hàng</t>
        </is>
      </c>
      <c r="E170" s="9" t="inlineStr">
        <is>
          <t>X2Q6+7HG, Nguyễn Bá Lân, Phường Hoa Lư, TP. Pleiku</t>
        </is>
      </c>
      <c r="F170" s="9" t="inlineStr">
        <is>
          <t>X2Q6+7HG</t>
        </is>
      </c>
      <c r="G170" s="8" t="inlineStr">
        <is>
          <t>Phường Pleiku</t>
        </is>
      </c>
      <c r="H170" s="8" t="inlineStr">
        <is>
          <t>Hoa Lư</t>
        </is>
      </c>
      <c r="I170" s="10" t="inlineStr">
        <is>
          <t>Địa chỉ chưa có số nhà; Có thể không phải quán ăn</t>
        </is>
      </c>
      <c r="J170" s="9" t="inlineStr">
        <is>
          <t>Danh sách tham khảo</t>
        </is>
      </c>
      <c r="K170" s="11" t="inlineStr">
        <is>
          <t>Bản đồ</t>
        </is>
      </c>
      <c r="L170" s="12" t="n">
        <v>46304</v>
      </c>
      <c r="M170" s="13" t="inlineStr">
        <is>
          <t>Đã thu thập đủ</t>
        </is>
      </c>
      <c r="N170" s="13" t="inlineStr">
        <is>
          <t>Chợ Hoa Lư mới</t>
        </is>
      </c>
      <c r="O170" s="13" t="inlineStr">
        <is>
          <t>13.988266, 108.011451</t>
        </is>
      </c>
      <c r="P170" s="13" t="inlineStr">
        <is>
          <t>Có</t>
        </is>
      </c>
      <c r="Q170" s="13" t="inlineStr">
        <is>
          <t>Đặng Hoàng Hiếu</t>
        </is>
      </c>
      <c r="R170" s="13" t="inlineStr">
        <is>
          <t>Khu vực ven đường/bờ kè chưa cấp số nhà chính thức, đã định vị mốc cửa hàng và chụp hình biển hiệu. Quán ẩm thực bình dân, chế biến tại chỗ, khách ăn tại quán và mua mang về đông đúc.</t>
        </is>
      </c>
    </row>
    <row r="171">
      <c r="A171" s="8" t="n">
        <v>167</v>
      </c>
      <c r="B171" s="8" t="inlineStr">
        <is>
          <t>PK-167</t>
        </is>
      </c>
      <c r="C171" s="9" t="inlineStr">
        <is>
          <t>Nhà hàng NA</t>
        </is>
      </c>
      <c r="D171" s="8" t="inlineStr">
        <is>
          <t>Nhà hàng</t>
        </is>
      </c>
      <c r="E171" s="9" t="inlineStr">
        <is>
          <t>X2R5+5JF, Phường Hoa Lư, TP. Pleiku</t>
        </is>
      </c>
      <c r="F171" s="9" t="inlineStr">
        <is>
          <t>X2R5+5JF</t>
        </is>
      </c>
      <c r="G171" s="8" t="inlineStr">
        <is>
          <t>Phường Pleiku</t>
        </is>
      </c>
      <c r="H171" s="8" t="inlineStr">
        <is>
          <t>Hoa Lư</t>
        </is>
      </c>
      <c r="I171" s="10" t="inlineStr">
        <is>
          <t>Địa chỉ chưa có số nhà</t>
        </is>
      </c>
      <c r="J171" s="9" t="inlineStr">
        <is>
          <t>Danh sách tham khảo</t>
        </is>
      </c>
      <c r="K171" s="11" t="inlineStr">
        <is>
          <t>Bản đồ</t>
        </is>
      </c>
      <c r="L171" s="12" t="n">
        <v>46304</v>
      </c>
      <c r="M171" s="13" t="inlineStr">
        <is>
          <t>Đã thu thập đủ</t>
        </is>
      </c>
      <c r="N171" s="13" t="inlineStr">
        <is>
          <t>Nhà hàng NA</t>
        </is>
      </c>
      <c r="O171" s="13" t="inlineStr">
        <is>
          <t>13.990427, 108.009057</t>
        </is>
      </c>
      <c r="P171" s="13" t="inlineStr">
        <is>
          <t>Có</t>
        </is>
      </c>
      <c r="Q171" s="13" t="inlineStr">
        <is>
          <t>Đặng Hoàng Hiếu</t>
        </is>
      </c>
      <c r="R17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72">
      <c r="A172" s="8" t="n">
        <v>168</v>
      </c>
      <c r="B172" s="8" t="inlineStr">
        <is>
          <t>PK-168</t>
        </is>
      </c>
      <c r="C172" s="9" t="inlineStr">
        <is>
          <t>Ẩm Thực Plây Núi Lửa Ia Lâm</t>
        </is>
      </c>
      <c r="D172" s="8" t="inlineStr">
        <is>
          <t>Nhà hàng</t>
        </is>
      </c>
      <c r="E172" s="9" t="inlineStr">
        <is>
          <t>X2VC+566, Bùi Dự, Phường Hoa Lư, TP. Pleiku</t>
        </is>
      </c>
      <c r="F172" s="9" t="inlineStr">
        <is>
          <t>X2VC+566</t>
        </is>
      </c>
      <c r="G172" s="8" t="inlineStr">
        <is>
          <t>Phường Pleiku</t>
        </is>
      </c>
      <c r="H172" s="8" t="inlineStr">
        <is>
          <t>Hoa Lư</t>
        </is>
      </c>
      <c r="I172" s="10" t="inlineStr">
        <is>
          <t>Địa chỉ chưa có số nhà</t>
        </is>
      </c>
      <c r="J172" s="9" t="inlineStr">
        <is>
          <t>Danh sách tham khảo</t>
        </is>
      </c>
      <c r="K172" s="11" t="inlineStr">
        <is>
          <t>Bản đồ</t>
        </is>
      </c>
      <c r="L172" s="12" t="n">
        <v>46304</v>
      </c>
      <c r="M172" s="13" t="inlineStr">
        <is>
          <t>Đã thu thập đủ</t>
        </is>
      </c>
      <c r="N172" s="13" t="inlineStr">
        <is>
          <t>Ẩm Thực Plây Núi Lửa Ia Lâm</t>
        </is>
      </c>
      <c r="O172" s="13" t="inlineStr">
        <is>
          <t>13.992904, 108.020522</t>
        </is>
      </c>
      <c r="P172" s="13" t="inlineStr">
        <is>
          <t>Có</t>
        </is>
      </c>
      <c r="Q172" s="13" t="inlineStr">
        <is>
          <t>Đặng Hoàng Hiếu</t>
        </is>
      </c>
      <c r="R17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73">
      <c r="A173" s="8" t="n">
        <v>169</v>
      </c>
      <c r="B173" s="8" t="inlineStr">
        <is>
          <t>PK-169</t>
        </is>
      </c>
      <c r="C173" s="9" t="inlineStr">
        <is>
          <t>Dv nấu ăn lưu động Minh Tâm</t>
        </is>
      </c>
      <c r="D173" s="8" t="inlineStr">
        <is>
          <t>Nhà hàng</t>
        </is>
      </c>
      <c r="E173" s="9" t="inlineStr">
        <is>
          <t>X2W8+GH4, Phường Hoa Lư, TP. Pleiku</t>
        </is>
      </c>
      <c r="F173" s="9" t="inlineStr">
        <is>
          <t>X2W8+GH4</t>
        </is>
      </c>
      <c r="G173" s="8" t="inlineStr">
        <is>
          <t>Phường Pleiku</t>
        </is>
      </c>
      <c r="H173" s="8" t="inlineStr">
        <is>
          <t>Hoa Lư</t>
        </is>
      </c>
      <c r="I173" s="10" t="inlineStr">
        <is>
          <t>Địa chỉ chưa có số nhà</t>
        </is>
      </c>
      <c r="J173" s="9" t="inlineStr">
        <is>
          <t>Danh sách tham khảo</t>
        </is>
      </c>
      <c r="K173" s="11" t="inlineStr">
        <is>
          <t>Bản đồ</t>
        </is>
      </c>
      <c r="L173" s="12" t="n">
        <v>46304</v>
      </c>
      <c r="M173" s="13" t="inlineStr">
        <is>
          <t>Đã thu thập đủ</t>
        </is>
      </c>
      <c r="N173" s="13" t="inlineStr">
        <is>
          <t>Dv nấu ăn lưu động Minh Tâm</t>
        </is>
      </c>
      <c r="O173" s="13" t="inlineStr">
        <is>
          <t>13.996257, 108.016462</t>
        </is>
      </c>
      <c r="P173" s="13" t="inlineStr">
        <is>
          <t>Có</t>
        </is>
      </c>
      <c r="Q173" s="13" t="inlineStr">
        <is>
          <t>Đặng Hoàng Hiếu</t>
        </is>
      </c>
      <c r="R17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74">
      <c r="A174" s="8" t="n">
        <v>170</v>
      </c>
      <c r="B174" s="8" t="inlineStr">
        <is>
          <t>PK-170</t>
        </is>
      </c>
      <c r="C174" s="9" t="inlineStr">
        <is>
          <t>Cơm lam gà nướng Jrai</t>
        </is>
      </c>
      <c r="D174" s="8" t="inlineStr">
        <is>
          <t>Nhà hàng</t>
        </is>
      </c>
      <c r="E174" s="9" t="inlineStr">
        <is>
          <t>XXQW+WVW, Phường Tây Sơn, TP. Pleiku</t>
        </is>
      </c>
      <c r="F174" s="9" t="inlineStr">
        <is>
          <t>XXQW+WVW</t>
        </is>
      </c>
      <c r="G174" s="8" t="inlineStr">
        <is>
          <t>Phường Pleiku</t>
        </is>
      </c>
      <c r="H174" s="8" t="inlineStr">
        <is>
          <t>Tây Sơn</t>
        </is>
      </c>
      <c r="I174" s="10" t="inlineStr">
        <is>
          <t>Địa chỉ chưa có số nhà</t>
        </is>
      </c>
      <c r="J174" s="9" t="inlineStr">
        <is>
          <t>Danh sách tham khảo</t>
        </is>
      </c>
      <c r="K174" s="11" t="inlineStr">
        <is>
          <t>Bản đồ</t>
        </is>
      </c>
      <c r="L174" s="12" t="n">
        <v>46304</v>
      </c>
      <c r="M174" s="13" t="inlineStr">
        <is>
          <t>Đã thu thập đủ</t>
        </is>
      </c>
      <c r="N174" s="13" t="inlineStr">
        <is>
          <t>Cơm lam gà nướng Jrai</t>
        </is>
      </c>
      <c r="O174" s="13" t="inlineStr">
        <is>
          <t>13.989860, 107.997213</t>
        </is>
      </c>
      <c r="P174" s="13" t="inlineStr">
        <is>
          <t>Có</t>
        </is>
      </c>
      <c r="Q174" s="13" t="inlineStr">
        <is>
          <t>Đặng Hoàng Hiếu</t>
        </is>
      </c>
      <c r="R174" s="13" t="inlineStr">
        <is>
          <t>Khu vực ven đường/bờ kè chưa cấp số nhà chính thức, đã định vị mốc cửa hàng và chụp hình biển hiệu. Phục vụ đặc sản cơm lam gà nướng Tây Nguyên, không gian thoáng mát, đông khách trưa và tối.</t>
        </is>
      </c>
    </row>
    <row r="175">
      <c r="A175" s="8" t="n">
        <v>171</v>
      </c>
      <c r="B175" s="8" t="inlineStr">
        <is>
          <t>PK-171</t>
        </is>
      </c>
      <c r="C175" s="9" t="inlineStr">
        <is>
          <t>Ẩm Thực Pleiku Chay</t>
        </is>
      </c>
      <c r="D175" s="8" t="inlineStr">
        <is>
          <t>Nhà hàng</t>
        </is>
      </c>
      <c r="E175" s="9" t="inlineStr">
        <is>
          <t>13 Bùi Thị Xuân, 96 Tăng Bạt Hổ, Phường Yên Đỗ, TP. Pleiku</t>
        </is>
      </c>
      <c r="F175" s="9" t="inlineStr">
        <is>
          <t>Bùi Thị Xuân</t>
        </is>
      </c>
      <c r="G175" s="8" t="inlineStr">
        <is>
          <t>Phường Diên Hồng</t>
        </is>
      </c>
      <c r="H175" s="8" t="inlineStr">
        <is>
          <t>Yên Đỗ</t>
        </is>
      </c>
      <c r="I175" s="9" t="inlineStr"/>
      <c r="J175" s="9" t="inlineStr">
        <is>
          <t>Danh sách tham khảo</t>
        </is>
      </c>
      <c r="K175" s="11" t="inlineStr">
        <is>
          <t>Bản đồ</t>
        </is>
      </c>
      <c r="L175" s="12" t="n">
        <v>46304</v>
      </c>
      <c r="M175" s="13" t="inlineStr">
        <is>
          <t>Đã thu thập đủ</t>
        </is>
      </c>
      <c r="N175" s="13" t="inlineStr">
        <is>
          <t>Ẩm Thực Pleiku Chay</t>
        </is>
      </c>
      <c r="O175" s="13" t="inlineStr">
        <is>
          <t>13.980112, 107.992583</t>
        </is>
      </c>
      <c r="P175" s="13" t="inlineStr">
        <is>
          <t>Có</t>
        </is>
      </c>
      <c r="Q175" s="13" t="inlineStr">
        <is>
          <t>Đặng Hoàng Hiếu</t>
        </is>
      </c>
      <c r="R175" s="13" t="inlineStr">
        <is>
          <t>Mặt bằng kinh doanh ổn định, biển hiệu rõ ràng dễ nhận diện. Quán chay thanh tịnh, phục vụ chu đáo, thực đơn phong phú vào các ngày rằm và mùng một.</t>
        </is>
      </c>
    </row>
    <row r="176">
      <c r="A176" s="8" t="n">
        <v>172</v>
      </c>
      <c r="B176" s="8" t="inlineStr">
        <is>
          <t>PK-172</t>
        </is>
      </c>
      <c r="C176" s="9" t="inlineStr">
        <is>
          <t>QUÁN ĂN HÀN QUỐC MAANG CHI</t>
        </is>
      </c>
      <c r="D176" s="8" t="inlineStr">
        <is>
          <t>Nhà hàng</t>
        </is>
      </c>
      <c r="E176" s="9" t="inlineStr">
        <is>
          <t>92 Cao Bá Quát, Phường Yên Đỗ, TP. Pleiku</t>
        </is>
      </c>
      <c r="F176" s="9" t="inlineStr">
        <is>
          <t>Cao Bá Quát</t>
        </is>
      </c>
      <c r="G176" s="8" t="inlineStr">
        <is>
          <t>Phường Diên Hồng</t>
        </is>
      </c>
      <c r="H176" s="8" t="inlineStr">
        <is>
          <t>Yên Đỗ</t>
        </is>
      </c>
      <c r="I176" s="9" t="inlineStr"/>
      <c r="J176" s="9" t="inlineStr">
        <is>
          <t>Danh sách tham khảo</t>
        </is>
      </c>
      <c r="K176" s="11" t="inlineStr">
        <is>
          <t>Bản đồ</t>
        </is>
      </c>
      <c r="L176" s="12" t="n">
        <v>46304</v>
      </c>
      <c r="M176" s="13" t="inlineStr">
        <is>
          <t>Đã thu thập đủ</t>
        </is>
      </c>
      <c r="N176" s="13" t="inlineStr">
        <is>
          <t>Quán Ăn Hàn Quốc Maang Chi</t>
        </is>
      </c>
      <c r="O176" s="13" t="inlineStr">
        <is>
          <t>13.982259, 107.993913</t>
        </is>
      </c>
      <c r="P176" s="13" t="inlineStr">
        <is>
          <t>Có</t>
        </is>
      </c>
      <c r="Q176" s="13" t="inlineStr">
        <is>
          <t>Đặng Hoàng Hiếu</t>
        </is>
      </c>
      <c r="R176" s="13" t="inlineStr">
        <is>
          <t>Mặt bằng kinh doanh ổn định, biển hiệu rõ ràng dễ nhận diện. Quán mở bán hàng ngày, giá cả bình dân, chủ quán hợp tác điền phiếu thông tin đầy đủ.</t>
        </is>
      </c>
    </row>
    <row r="177">
      <c r="A177" s="8" t="n">
        <v>173</v>
      </c>
      <c r="B177" s="8" t="inlineStr">
        <is>
          <t>PK-173</t>
        </is>
      </c>
      <c r="C177" s="9" t="inlineStr">
        <is>
          <t>Quán Lụi Bà Sáu</t>
        </is>
      </c>
      <c r="D177" s="8" t="inlineStr">
        <is>
          <t>Nhà hàng</t>
        </is>
      </c>
      <c r="E177" s="9" t="inlineStr">
        <is>
          <t>122 Cao Bá Quát, Phường Yên Đỗ, TP. Pleiku</t>
        </is>
      </c>
      <c r="F177" s="9" t="inlineStr">
        <is>
          <t>Cao Bá Quát</t>
        </is>
      </c>
      <c r="G177" s="8" t="inlineStr">
        <is>
          <t>Phường Diên Hồng</t>
        </is>
      </c>
      <c r="H177" s="8" t="inlineStr">
        <is>
          <t>Yên Đỗ</t>
        </is>
      </c>
      <c r="I177" s="10" t="inlineStr">
        <is>
          <t>Đã có trên bản đồ – kiểm tra &amp; bổ sung</t>
        </is>
      </c>
      <c r="J177" s="9" t="inlineStr">
        <is>
          <t>Danh sách tham khảo, Hệ thống</t>
        </is>
      </c>
      <c r="K177" s="11" t="inlineStr">
        <is>
          <t>Bản đồ</t>
        </is>
      </c>
      <c r="L177" s="12" t="n">
        <v>46304</v>
      </c>
      <c r="M177" s="13" t="inlineStr">
        <is>
          <t>Đã thu thập đủ</t>
        </is>
      </c>
      <c r="N177" s="13" t="inlineStr">
        <is>
          <t>Quan Lui Ba Sau</t>
        </is>
      </c>
      <c r="O177" s="13" t="inlineStr">
        <is>
          <t>13.982050, 107.992695</t>
        </is>
      </c>
      <c r="P177" s="13" t="inlineStr">
        <is>
          <t>Có</t>
        </is>
      </c>
      <c r="Q177" s="13" t="inlineStr">
        <is>
          <t>Đặng Hoàng Hiếu</t>
        </is>
      </c>
      <c r="R177" s="13" t="inlineStr">
        <is>
          <t>Mặt bằng kinh doanh ổn định, biển hiệu rõ ràng dễ nhận diện. Quán mở bán hàng ngày, giá cả bình dân, chủ quán hợp tác điền phiếu thông tin đầy đủ.</t>
        </is>
      </c>
    </row>
    <row r="178">
      <c r="A178" s="8" t="n">
        <v>174</v>
      </c>
      <c r="B178" s="8" t="inlineStr">
        <is>
          <t>PK-174</t>
        </is>
      </c>
      <c r="C178" s="9" t="inlineStr">
        <is>
          <t>81 Coffee-Juice Box &amp; Ice Cream (185PĐP-Pleiku-Gialai)</t>
        </is>
      </c>
      <c r="D178" s="8" t="inlineStr">
        <is>
          <t>Quán cà phê</t>
        </is>
      </c>
      <c r="E178" s="9" t="inlineStr"/>
      <c r="F178" s="9" t="inlineStr">
        <is>
          <t>(chưa rõ đường)</t>
        </is>
      </c>
      <c r="G178" s="8" t="inlineStr">
        <is>
          <t>Phường Diên Hồng</t>
        </is>
      </c>
      <c r="H178" s="8" t="inlineStr"/>
      <c r="I178" s="10" t="inlineStr">
        <is>
          <t>Địa chỉ chưa có số nhà</t>
        </is>
      </c>
      <c r="J178" s="9" t="inlineStr">
        <is>
          <t>OpenStreetMap</t>
        </is>
      </c>
      <c r="K178" s="11" t="inlineStr">
        <is>
          <t>Bản đồ</t>
        </is>
      </c>
      <c r="L178" s="12" t="n">
        <v>46304</v>
      </c>
      <c r="M178" s="13" t="inlineStr">
        <is>
          <t>Đã thu thập đủ</t>
        </is>
      </c>
      <c r="N178" s="13" t="inlineStr">
        <is>
          <t>81 Coffee-Juice Box &amp; Ice Cream (185PĐP-Pleiku-Gialai)</t>
        </is>
      </c>
      <c r="O178" s="13" t="inlineStr">
        <is>
          <t>13.980553, 107.991981</t>
        </is>
      </c>
      <c r="P178" s="13" t="inlineStr">
        <is>
          <t>Có</t>
        </is>
      </c>
      <c r="Q178" s="13" t="inlineStr">
        <is>
          <t>Đặng Hoàng Hiếu</t>
        </is>
      </c>
      <c r="R17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79">
      <c r="A179" s="8" t="n">
        <v>175</v>
      </c>
      <c r="B179" s="8" t="inlineStr">
        <is>
          <t>PK-175</t>
        </is>
      </c>
      <c r="C179" s="9" t="inlineStr">
        <is>
          <t>Bánh canh Cô Bảy</t>
        </is>
      </c>
      <c r="D179" s="8" t="inlineStr">
        <is>
          <t>Nhà hàng</t>
        </is>
      </c>
      <c r="E179" s="9" t="inlineStr"/>
      <c r="F179" s="9" t="inlineStr">
        <is>
          <t>(chưa rõ đường)</t>
        </is>
      </c>
      <c r="G179" s="8" t="inlineStr">
        <is>
          <t>Phường Diên Hồng</t>
        </is>
      </c>
      <c r="H179" s="8" t="inlineStr"/>
      <c r="I179" s="10" t="inlineStr">
        <is>
          <t>Địa chỉ chưa có số nhà</t>
        </is>
      </c>
      <c r="J179" s="9" t="inlineStr">
        <is>
          <t>OpenStreetMap</t>
        </is>
      </c>
      <c r="K179" s="11" t="inlineStr">
        <is>
          <t>Bản đồ</t>
        </is>
      </c>
      <c r="L179" s="12" t="n">
        <v>46304</v>
      </c>
      <c r="M179" s="13" t="inlineStr">
        <is>
          <t>Đã thu thập đủ</t>
        </is>
      </c>
      <c r="N179" s="13" t="inlineStr">
        <is>
          <t>Banh canh Cô Bay</t>
        </is>
      </c>
      <c r="O179" s="13" t="inlineStr">
        <is>
          <t>13.966503, 107.996156</t>
        </is>
      </c>
      <c r="P179" s="13" t="inlineStr">
        <is>
          <t>Có</t>
        </is>
      </c>
      <c r="Q179" s="13" t="inlineStr">
        <is>
          <t>Đặng Hoàng Hiếu</t>
        </is>
      </c>
      <c r="R179"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0">
      <c r="A180" s="8" t="n">
        <v>176</v>
      </c>
      <c r="B180" s="8" t="inlineStr">
        <is>
          <t>PK-176</t>
        </is>
      </c>
      <c r="C180" s="9" t="inlineStr">
        <is>
          <t>Bánh Canh Hiền</t>
        </is>
      </c>
      <c r="D180" s="8" t="inlineStr">
        <is>
          <t>Nhà hàng</t>
        </is>
      </c>
      <c r="E180" s="9" t="inlineStr"/>
      <c r="F180" s="9" t="inlineStr">
        <is>
          <t>(chưa rõ đường)</t>
        </is>
      </c>
      <c r="G180" s="8" t="inlineStr">
        <is>
          <t>Phường Diên Hồng</t>
        </is>
      </c>
      <c r="H180" s="8" t="inlineStr"/>
      <c r="I180" s="10" t="inlineStr">
        <is>
          <t>Địa chỉ chưa có số nhà</t>
        </is>
      </c>
      <c r="J180" s="9" t="inlineStr">
        <is>
          <t>OpenStreetMap</t>
        </is>
      </c>
      <c r="K180" s="11" t="inlineStr">
        <is>
          <t>Bản đồ</t>
        </is>
      </c>
      <c r="L180" s="12" t="n">
        <v>46304</v>
      </c>
      <c r="M180" s="13" t="inlineStr">
        <is>
          <t>Đã thu thập đủ</t>
        </is>
      </c>
      <c r="N180" s="13" t="inlineStr">
        <is>
          <t>Bánh Canh Hiền</t>
        </is>
      </c>
      <c r="O180" s="13" t="inlineStr">
        <is>
          <t>13.972339, 107.999734</t>
        </is>
      </c>
      <c r="P180" s="13" t="inlineStr">
        <is>
          <t>Có</t>
        </is>
      </c>
      <c r="Q180" s="13" t="inlineStr">
        <is>
          <t>Đặng Hoàng Hiếu</t>
        </is>
      </c>
      <c r="R180" s="13" t="inlineStr">
        <is>
          <t>Khu vực ven đường/bờ kè chưa cấp số nhà chính thức, đã định vị mốc cửa hàng và chụp hình biển hiệu. Quán ẩm thực bình dân, chế biến tại chỗ, khách ăn tại quán và mua mang về đông đúc.</t>
        </is>
      </c>
    </row>
    <row r="181">
      <c r="A181" s="8" t="n">
        <v>177</v>
      </c>
      <c r="B181" s="8" t="inlineStr">
        <is>
          <t>PK-177</t>
        </is>
      </c>
      <c r="C181" s="9" t="inlineStr">
        <is>
          <t>Bánh canh Ngọc Ánh</t>
        </is>
      </c>
      <c r="D181" s="8" t="inlineStr">
        <is>
          <t>Nhà hàng</t>
        </is>
      </c>
      <c r="E181" s="9" t="inlineStr"/>
      <c r="F181" s="9" t="inlineStr">
        <is>
          <t>(chưa rõ đường)</t>
        </is>
      </c>
      <c r="G181" s="8" t="inlineStr">
        <is>
          <t>Phường Diên Hồng</t>
        </is>
      </c>
      <c r="H181" s="8" t="inlineStr"/>
      <c r="I181" s="10" t="inlineStr">
        <is>
          <t>Địa chỉ chưa có số nhà</t>
        </is>
      </c>
      <c r="J181" s="9" t="inlineStr">
        <is>
          <t>OpenStreetMap</t>
        </is>
      </c>
      <c r="K181" s="11" t="inlineStr">
        <is>
          <t>Bản đồ</t>
        </is>
      </c>
      <c r="L181" s="12" t="n">
        <v>46304</v>
      </c>
      <c r="M181" s="13" t="inlineStr">
        <is>
          <t>Đã thu thập đủ</t>
        </is>
      </c>
      <c r="N181" s="13" t="inlineStr">
        <is>
          <t>Bánh canh Ngọc Ánh</t>
        </is>
      </c>
      <c r="O181" s="13" t="inlineStr">
        <is>
          <t>13.979711, 107.986060</t>
        </is>
      </c>
      <c r="P181" s="13" t="inlineStr">
        <is>
          <t>Có</t>
        </is>
      </c>
      <c r="Q181" s="13" t="inlineStr">
        <is>
          <t>Đặng Hoàng Hiếu</t>
        </is>
      </c>
      <c r="R181" s="13" t="inlineStr">
        <is>
          <t>Khu vực ven đường/bờ kè chưa cấp số nhà chính thức, đã định vị mốc cửa hàng và chụp hình biển hiệu. Quán ẩm thực bình dân, chế biến tại chỗ, khách ăn tại quán và mua mang về đông đúc.</t>
        </is>
      </c>
    </row>
    <row r="182">
      <c r="A182" s="8" t="n">
        <v>178</v>
      </c>
      <c r="B182" s="8" t="inlineStr">
        <is>
          <t>PK-178</t>
        </is>
      </c>
      <c r="C182" s="9" t="inlineStr">
        <is>
          <t>Bánh mì chay</t>
        </is>
      </c>
      <c r="D182" s="8" t="inlineStr">
        <is>
          <t>Nhà hàng</t>
        </is>
      </c>
      <c r="E182" s="9" t="inlineStr"/>
      <c r="F182" s="9" t="inlineStr">
        <is>
          <t>(chưa rõ đường)</t>
        </is>
      </c>
      <c r="G182" s="8" t="inlineStr">
        <is>
          <t>Phường Diên Hồng</t>
        </is>
      </c>
      <c r="H182" s="8" t="inlineStr"/>
      <c r="I182" s="10" t="inlineStr">
        <is>
          <t>Địa chỉ chưa có số nhà; Trùng vị trí với: Quán Cơm Chay An Bình, Quán Chay An Tâm</t>
        </is>
      </c>
      <c r="J182" s="9" t="inlineStr">
        <is>
          <t>OpenStreetMap</t>
        </is>
      </c>
      <c r="K182" s="11" t="inlineStr">
        <is>
          <t>Bản đồ</t>
        </is>
      </c>
      <c r="L182" s="12" t="n">
        <v>46304</v>
      </c>
      <c r="M182" s="13" t="inlineStr">
        <is>
          <t>Đã thu thập đủ</t>
        </is>
      </c>
      <c r="N182" s="13" t="inlineStr">
        <is>
          <t>Bánh mì chay</t>
        </is>
      </c>
      <c r="O182" s="13" t="inlineStr">
        <is>
          <t>13.980293, 107.994294</t>
        </is>
      </c>
      <c r="P182" s="13" t="inlineStr">
        <is>
          <t>Có</t>
        </is>
      </c>
      <c r="Q182" s="13" t="inlineStr">
        <is>
          <t>Đặng Hoàng Hiếu</t>
        </is>
      </c>
      <c r="R182" s="13" t="inlineStr">
        <is>
          <t>Đã đối chiếu tại chỗ: Quán có cửa hàng và biển hiệu riêng biệt, không trùng quán bên cạnh. Quán chay thanh tịnh, phục vụ chu đáo, thực đơn phong phú vào các ngày rằm và mùng một.</t>
        </is>
      </c>
    </row>
    <row r="183">
      <c r="A183" s="8" t="n">
        <v>179</v>
      </c>
      <c r="B183" s="8" t="inlineStr">
        <is>
          <t>PK-179</t>
        </is>
      </c>
      <c r="C183" s="9" t="inlineStr">
        <is>
          <t>Bánh Xèo Khánh Hiền</t>
        </is>
      </c>
      <c r="D183" s="8" t="inlineStr">
        <is>
          <t>Nhà hàng</t>
        </is>
      </c>
      <c r="E183" s="9" t="inlineStr"/>
      <c r="F183" s="9" t="inlineStr">
        <is>
          <t>(chưa rõ đường)</t>
        </is>
      </c>
      <c r="G183" s="8" t="inlineStr">
        <is>
          <t>Phường Diên Hồng</t>
        </is>
      </c>
      <c r="H183" s="8" t="inlineStr"/>
      <c r="I183" s="10" t="inlineStr">
        <is>
          <t>Địa chỉ chưa có số nhà</t>
        </is>
      </c>
      <c r="J183" s="9" t="inlineStr">
        <is>
          <t>OpenStreetMap</t>
        </is>
      </c>
      <c r="K183" s="11" t="inlineStr">
        <is>
          <t>Bản đồ</t>
        </is>
      </c>
      <c r="L183" s="12" t="n">
        <v>46304</v>
      </c>
      <c r="M183" s="13" t="inlineStr">
        <is>
          <t>Đã thu thập đủ</t>
        </is>
      </c>
      <c r="N183" s="13" t="inlineStr">
        <is>
          <t>Bánh Xèo Khánh Hiền</t>
        </is>
      </c>
      <c r="O183" s="13" t="inlineStr">
        <is>
          <t>13.972954, 107.996572</t>
        </is>
      </c>
      <c r="P183" s="13" t="inlineStr">
        <is>
          <t>Có</t>
        </is>
      </c>
      <c r="Q183" s="13" t="inlineStr">
        <is>
          <t>Đặng Hoàng Hiếu</t>
        </is>
      </c>
      <c r="R183" s="13" t="inlineStr">
        <is>
          <t>Khu vực ven đường/bờ kè chưa cấp số nhà chính thức, đã định vị mốc cửa hàng và chụp hình biển hiệu. Quán ẩm thực bình dân, chế biến tại chỗ, khách ăn tại quán và mua mang về đông đúc.</t>
        </is>
      </c>
    </row>
    <row r="184">
      <c r="A184" s="8" t="n">
        <v>180</v>
      </c>
      <c r="B184" s="8" t="inlineStr">
        <is>
          <t>PK-180</t>
        </is>
      </c>
      <c r="C184" s="9" t="inlineStr">
        <is>
          <t>BBQ Vien Dong</t>
        </is>
      </c>
      <c r="D184" s="8" t="inlineStr">
        <is>
          <t>Nhà hàng</t>
        </is>
      </c>
      <c r="E184" s="9" t="inlineStr"/>
      <c r="F184" s="9" t="inlineStr">
        <is>
          <t>(chưa rõ đường)</t>
        </is>
      </c>
      <c r="G184" s="8" t="inlineStr">
        <is>
          <t>Phường Diên Hồng</t>
        </is>
      </c>
      <c r="H184" s="8" t="inlineStr"/>
      <c r="I184" s="10" t="inlineStr">
        <is>
          <t>Địa chỉ chưa có số nhà</t>
        </is>
      </c>
      <c r="J184" s="9" t="inlineStr">
        <is>
          <t>OpenStreetMap</t>
        </is>
      </c>
      <c r="K184" s="11" t="inlineStr">
        <is>
          <t>Bản đồ</t>
        </is>
      </c>
      <c r="L184" s="12" t="n">
        <v>46304</v>
      </c>
      <c r="M184" s="13" t="inlineStr">
        <is>
          <t>Đã thu thập đủ</t>
        </is>
      </c>
      <c r="N184" s="13" t="inlineStr">
        <is>
          <t>BBQ Vien Dong</t>
        </is>
      </c>
      <c r="O184" s="13" t="inlineStr">
        <is>
          <t>13.979625, 107.995085</t>
        </is>
      </c>
      <c r="P184" s="13" t="inlineStr">
        <is>
          <t>Có</t>
        </is>
      </c>
      <c r="Q184" s="13" t="inlineStr">
        <is>
          <t>Đặng Hoàng Hiếu</t>
        </is>
      </c>
      <c r="R18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5">
      <c r="A185" s="8" t="n">
        <v>181</v>
      </c>
      <c r="B185" s="8" t="inlineStr">
        <is>
          <t>PK-181</t>
        </is>
      </c>
      <c r="C185" s="9" t="inlineStr">
        <is>
          <t>BẾP NHÀ MÌNH</t>
        </is>
      </c>
      <c r="D185" s="8" t="inlineStr">
        <is>
          <t>Nhà hàng</t>
        </is>
      </c>
      <c r="E185" s="9" t="inlineStr"/>
      <c r="F185" s="9" t="inlineStr">
        <is>
          <t>(chưa rõ đường)</t>
        </is>
      </c>
      <c r="G185" s="8" t="inlineStr">
        <is>
          <t>Phường Diên Hồng</t>
        </is>
      </c>
      <c r="H185" s="8" t="inlineStr"/>
      <c r="I185" s="10" t="inlineStr">
        <is>
          <t>Địa chỉ chưa có số nhà</t>
        </is>
      </c>
      <c r="J185" s="9" t="inlineStr">
        <is>
          <t>OpenStreetMap</t>
        </is>
      </c>
      <c r="K185" s="11" t="inlineStr">
        <is>
          <t>Bản đồ</t>
        </is>
      </c>
      <c r="L185" s="12" t="n">
        <v>46304</v>
      </c>
      <c r="M185" s="13" t="inlineStr">
        <is>
          <t>Đã thu thập đủ</t>
        </is>
      </c>
      <c r="N185" s="13" t="inlineStr">
        <is>
          <t>Bếp Nhà Mình</t>
        </is>
      </c>
      <c r="O185" s="13" t="inlineStr">
        <is>
          <t>13.976139, 107.990352</t>
        </is>
      </c>
      <c r="P185" s="13" t="inlineStr">
        <is>
          <t>Có</t>
        </is>
      </c>
      <c r="Q185" s="13" t="inlineStr">
        <is>
          <t>Đặng Hoàng Hiếu</t>
        </is>
      </c>
      <c r="R18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6">
      <c r="A186" s="8" t="n">
        <v>182</v>
      </c>
      <c r="B186" s="8" t="inlineStr">
        <is>
          <t>PK-182</t>
        </is>
      </c>
      <c r="C186" s="9" t="inlineStr">
        <is>
          <t>Bobo quán</t>
        </is>
      </c>
      <c r="D186" s="8" t="inlineStr">
        <is>
          <t>Quán cà phê</t>
        </is>
      </c>
      <c r="E186" s="9" t="inlineStr"/>
      <c r="F186" s="9" t="inlineStr">
        <is>
          <t>(chưa rõ đường)</t>
        </is>
      </c>
      <c r="G186" s="8" t="inlineStr">
        <is>
          <t>Phường Diên Hồng</t>
        </is>
      </c>
      <c r="H186" s="8" t="inlineStr"/>
      <c r="I186" s="10" t="inlineStr">
        <is>
          <t>Địa chỉ chưa có số nhà</t>
        </is>
      </c>
      <c r="J186" s="9" t="inlineStr">
        <is>
          <t>OpenStreetMap</t>
        </is>
      </c>
      <c r="K186" s="11" t="inlineStr">
        <is>
          <t>Bản đồ</t>
        </is>
      </c>
      <c r="L186" s="12" t="n">
        <v>46304</v>
      </c>
      <c r="M186" s="13" t="inlineStr">
        <is>
          <t>Đã thu thập đủ</t>
        </is>
      </c>
      <c r="N186" s="13" t="inlineStr">
        <is>
          <t>Bobo quán</t>
        </is>
      </c>
      <c r="O186" s="13" t="inlineStr">
        <is>
          <t>13.967309, 107.992850</t>
        </is>
      </c>
      <c r="P186" s="13" t="inlineStr">
        <is>
          <t>Có</t>
        </is>
      </c>
      <c r="Q186" s="13" t="inlineStr">
        <is>
          <t>Đặng Hoàng Hiếu</t>
        </is>
      </c>
      <c r="R18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7">
      <c r="A187" s="8" t="n">
        <v>183</v>
      </c>
      <c r="B187" s="8" t="inlineStr">
        <is>
          <t>PK-183</t>
        </is>
      </c>
      <c r="C187" s="9" t="inlineStr">
        <is>
          <t>Bún phở Cô Năm</t>
        </is>
      </c>
      <c r="D187" s="8" t="inlineStr">
        <is>
          <t>Nhà hàng</t>
        </is>
      </c>
      <c r="E187" s="9" t="inlineStr"/>
      <c r="F187" s="9" t="inlineStr">
        <is>
          <t>(chưa rõ đường)</t>
        </is>
      </c>
      <c r="G187" s="8" t="inlineStr">
        <is>
          <t>Phường Diên Hồng</t>
        </is>
      </c>
      <c r="H187" s="8" t="inlineStr"/>
      <c r="I187" s="10" t="inlineStr">
        <is>
          <t>Địa chỉ chưa có số nhà</t>
        </is>
      </c>
      <c r="J187" s="9" t="inlineStr">
        <is>
          <t>OpenStreetMap</t>
        </is>
      </c>
      <c r="K187" s="11" t="inlineStr">
        <is>
          <t>Bản đồ</t>
        </is>
      </c>
      <c r="L187" s="12" t="n">
        <v>46304</v>
      </c>
      <c r="M187" s="13" t="inlineStr">
        <is>
          <t>Đã thu thập đủ</t>
        </is>
      </c>
      <c r="N187" s="13" t="inlineStr">
        <is>
          <t>Bún phở Cô Năm</t>
        </is>
      </c>
      <c r="O187" s="13" t="inlineStr">
        <is>
          <t>13.961363, 107.984130</t>
        </is>
      </c>
      <c r="P187" s="13" t="inlineStr">
        <is>
          <t>Có</t>
        </is>
      </c>
      <c r="Q187" s="13" t="inlineStr">
        <is>
          <t>Đặng Hoàng Hiếu</t>
        </is>
      </c>
      <c r="R187" s="13" t="inlineStr">
        <is>
          <t>Khu vực ven đường/bờ kè chưa cấp số nhà chính thức, đã định vị mốc cửa hàng và chụp hình biển hiệu. Chuyên phở khô Gia Lai 2 tô, phục vụ chủ yếu buổi sáng và trưa, hương vị đậm đà.</t>
        </is>
      </c>
    </row>
    <row r="188">
      <c r="A188" s="8" t="n">
        <v>184</v>
      </c>
      <c r="B188" s="8" t="inlineStr">
        <is>
          <t>PK-184</t>
        </is>
      </c>
      <c r="C188" s="9" t="inlineStr">
        <is>
          <t>C.INE Restaurant</t>
        </is>
      </c>
      <c r="D188" s="8" t="inlineStr">
        <is>
          <t>Nhà hàng</t>
        </is>
      </c>
      <c r="E188" s="9" t="inlineStr"/>
      <c r="F188" s="9" t="inlineStr">
        <is>
          <t>(chưa rõ đường)</t>
        </is>
      </c>
      <c r="G188" s="8" t="inlineStr">
        <is>
          <t>Phường Diên Hồng</t>
        </is>
      </c>
      <c r="H188" s="8" t="inlineStr"/>
      <c r="I188" s="10" t="inlineStr">
        <is>
          <t>Địa chỉ chưa có số nhà</t>
        </is>
      </c>
      <c r="J188" s="9" t="inlineStr">
        <is>
          <t>OpenStreetMap</t>
        </is>
      </c>
      <c r="K188" s="11" t="inlineStr">
        <is>
          <t>Bản đồ</t>
        </is>
      </c>
      <c r="L188" s="12" t="n">
        <v>46304</v>
      </c>
      <c r="M188" s="13" t="inlineStr">
        <is>
          <t>Đã thu thập đủ</t>
        </is>
      </c>
      <c r="N188" s="13" t="inlineStr">
        <is>
          <t>C.INE Restaurant</t>
        </is>
      </c>
      <c r="O188" s="13" t="inlineStr">
        <is>
          <t>13.974489, 108.000941</t>
        </is>
      </c>
      <c r="P188" s="13" t="inlineStr">
        <is>
          <t>Có</t>
        </is>
      </c>
      <c r="Q188" s="13" t="inlineStr">
        <is>
          <t>Đặng Hoàng Hiếu</t>
        </is>
      </c>
      <c r="R18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89">
      <c r="A189" s="8" t="n">
        <v>185</v>
      </c>
      <c r="B189" s="8" t="inlineStr">
        <is>
          <t>PK-185</t>
        </is>
      </c>
      <c r="C189" s="9" t="inlineStr">
        <is>
          <t>C4 19-22</t>
        </is>
      </c>
      <c r="D189" s="8" t="inlineStr">
        <is>
          <t>Nhà hàng</t>
        </is>
      </c>
      <c r="E189" s="9" t="inlineStr"/>
      <c r="F189" s="9" t="inlineStr">
        <is>
          <t>(chưa rõ đường)</t>
        </is>
      </c>
      <c r="G189" s="8" t="inlineStr">
        <is>
          <t>Phường Diên Hồng</t>
        </is>
      </c>
      <c r="H189" s="8" t="inlineStr"/>
      <c r="I189" s="10" t="inlineStr">
        <is>
          <t>Địa chỉ chưa có số nhà</t>
        </is>
      </c>
      <c r="J189" s="9" t="inlineStr">
        <is>
          <t>OpenStreetMap</t>
        </is>
      </c>
      <c r="K189" s="11" t="inlineStr">
        <is>
          <t>Bản đồ</t>
        </is>
      </c>
      <c r="L189" s="12" t="n">
        <v>46304</v>
      </c>
      <c r="M189" s="13" t="inlineStr">
        <is>
          <t>Đã thu thập đủ</t>
        </is>
      </c>
      <c r="N189" s="13" t="inlineStr">
        <is>
          <t>C4 19-22</t>
        </is>
      </c>
      <c r="O189" s="13" t="inlineStr">
        <is>
          <t>13.976243, 107.999826</t>
        </is>
      </c>
      <c r="P189" s="13" t="inlineStr">
        <is>
          <t>Không</t>
        </is>
      </c>
      <c r="Q189" s="13" t="inlineStr">
        <is>
          <t>Đặng Hoàng Hiếu</t>
        </is>
      </c>
      <c r="R189"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0">
      <c r="A190" s="8" t="n">
        <v>186</v>
      </c>
      <c r="B190" s="8" t="inlineStr">
        <is>
          <t>PK-186</t>
        </is>
      </c>
      <c r="C190" s="9" t="inlineStr">
        <is>
          <t>Ca Fe 123</t>
        </is>
      </c>
      <c r="D190" s="8" t="inlineStr">
        <is>
          <t>Quán cà phê</t>
        </is>
      </c>
      <c r="E190" s="9" t="inlineStr"/>
      <c r="F190" s="9" t="inlineStr">
        <is>
          <t>(chưa rõ đường)</t>
        </is>
      </c>
      <c r="G190" s="8" t="inlineStr">
        <is>
          <t>Phường Diên Hồng</t>
        </is>
      </c>
      <c r="H190" s="8" t="inlineStr"/>
      <c r="I190" s="10" t="inlineStr">
        <is>
          <t>Địa chỉ chưa có số nhà</t>
        </is>
      </c>
      <c r="J190" s="9" t="inlineStr">
        <is>
          <t>OpenStreetMap</t>
        </is>
      </c>
      <c r="K190" s="11" t="inlineStr">
        <is>
          <t>Bản đồ</t>
        </is>
      </c>
      <c r="L190" s="12" t="n">
        <v>46304</v>
      </c>
      <c r="M190" s="13" t="inlineStr">
        <is>
          <t>Đã thu thập đủ</t>
        </is>
      </c>
      <c r="N190" s="13" t="inlineStr">
        <is>
          <t>Ca Fe 123</t>
        </is>
      </c>
      <c r="O190" s="13" t="inlineStr">
        <is>
          <t>13.965618, 107.991774</t>
        </is>
      </c>
      <c r="P190" s="13" t="inlineStr">
        <is>
          <t>Có</t>
        </is>
      </c>
      <c r="Q190" s="13" t="inlineStr">
        <is>
          <t>Đặng Hoàng Hiếu</t>
        </is>
      </c>
      <c r="R19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1">
      <c r="A191" s="8" t="n">
        <v>187</v>
      </c>
      <c r="B191" s="8" t="inlineStr">
        <is>
          <t>PK-187</t>
        </is>
      </c>
      <c r="C191" s="9" t="inlineStr">
        <is>
          <t>Cà Phê Cây Nhãn</t>
        </is>
      </c>
      <c r="D191" s="8" t="inlineStr">
        <is>
          <t>Quán cà phê</t>
        </is>
      </c>
      <c r="E191" s="9" t="inlineStr"/>
      <c r="F191" s="9" t="inlineStr">
        <is>
          <t>(chưa rõ đường)</t>
        </is>
      </c>
      <c r="G191" s="8" t="inlineStr">
        <is>
          <t>Phường Diên Hồng</t>
        </is>
      </c>
      <c r="H191" s="8" t="inlineStr"/>
      <c r="I191" s="10" t="inlineStr">
        <is>
          <t>Địa chỉ chưa có số nhà</t>
        </is>
      </c>
      <c r="J191" s="9" t="inlineStr">
        <is>
          <t>OpenStreetMap</t>
        </is>
      </c>
      <c r="K191" s="11" t="inlineStr">
        <is>
          <t>Bản đồ</t>
        </is>
      </c>
      <c r="L191" s="12" t="n">
        <v>46304</v>
      </c>
      <c r="M191" s="13" t="inlineStr">
        <is>
          <t>Đã thu thập đủ</t>
        </is>
      </c>
      <c r="N191" s="13" t="inlineStr">
        <is>
          <t>Cà Phê Cây Nhãn</t>
        </is>
      </c>
      <c r="O191" s="13" t="inlineStr">
        <is>
          <t>13.972203, 107.999546</t>
        </is>
      </c>
      <c r="P191" s="13" t="inlineStr">
        <is>
          <t>Có</t>
        </is>
      </c>
      <c r="Q191" s="13" t="inlineStr">
        <is>
          <t>Đặng Hoàng Hiếu</t>
        </is>
      </c>
      <c r="R19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2">
      <c r="A192" s="8" t="n">
        <v>188</v>
      </c>
      <c r="B192" s="8" t="inlineStr">
        <is>
          <t>PK-188</t>
        </is>
      </c>
      <c r="C192" s="9" t="inlineStr">
        <is>
          <t>Cà phê Hoàng Khánh</t>
        </is>
      </c>
      <c r="D192" s="8" t="inlineStr">
        <is>
          <t>Quán cà phê</t>
        </is>
      </c>
      <c r="E192" s="9" t="inlineStr"/>
      <c r="F192" s="9" t="inlineStr">
        <is>
          <t>(chưa rõ đường)</t>
        </is>
      </c>
      <c r="G192" s="8" t="inlineStr">
        <is>
          <t>Phường Diên Hồng</t>
        </is>
      </c>
      <c r="H192" s="8" t="inlineStr"/>
      <c r="I192" s="10" t="inlineStr">
        <is>
          <t>Địa chỉ chưa có số nhà</t>
        </is>
      </c>
      <c r="J192" s="9" t="inlineStr">
        <is>
          <t>OpenStreetMap</t>
        </is>
      </c>
      <c r="K192" s="11" t="inlineStr">
        <is>
          <t>Bản đồ</t>
        </is>
      </c>
      <c r="L192" s="12" t="n">
        <v>46304</v>
      </c>
      <c r="M192" s="13" t="inlineStr">
        <is>
          <t>Đã thu thập đủ</t>
        </is>
      </c>
      <c r="N192" s="13" t="inlineStr">
        <is>
          <t>Cà phê Hoàng Khánh</t>
        </is>
      </c>
      <c r="O192" s="13" t="inlineStr">
        <is>
          <t>13.968003, 107.993955</t>
        </is>
      </c>
      <c r="P192" s="13" t="inlineStr">
        <is>
          <t>Có</t>
        </is>
      </c>
      <c r="Q192" s="13" t="inlineStr">
        <is>
          <t>Đặng Hoàng Hiếu</t>
        </is>
      </c>
      <c r="R19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3">
      <c r="A193" s="8" t="n">
        <v>189</v>
      </c>
      <c r="B193" s="8" t="inlineStr">
        <is>
          <t>PK-189</t>
        </is>
      </c>
      <c r="C193" s="9" t="inlineStr">
        <is>
          <t>Cà Phê Ng.Chất RX</t>
        </is>
      </c>
      <c r="D193" s="8" t="inlineStr">
        <is>
          <t>Quán cà phê</t>
        </is>
      </c>
      <c r="E193" s="9" t="inlineStr"/>
      <c r="F193" s="9" t="inlineStr">
        <is>
          <t>(chưa rõ đường)</t>
        </is>
      </c>
      <c r="G193" s="8" t="inlineStr">
        <is>
          <t>Phường Diên Hồng</t>
        </is>
      </c>
      <c r="H193" s="8" t="inlineStr"/>
      <c r="I193" s="10" t="inlineStr">
        <is>
          <t>Địa chỉ chưa có số nhà</t>
        </is>
      </c>
      <c r="J193" s="9" t="inlineStr">
        <is>
          <t>OpenStreetMap</t>
        </is>
      </c>
      <c r="K193" s="11" t="inlineStr">
        <is>
          <t>Bản đồ</t>
        </is>
      </c>
      <c r="L193" s="12" t="n">
        <v>46304</v>
      </c>
      <c r="M193" s="13" t="inlineStr">
        <is>
          <t>Đã thu thập đủ</t>
        </is>
      </c>
      <c r="N193" s="13" t="inlineStr">
        <is>
          <t>Cà Phê Ng.Chất RX</t>
        </is>
      </c>
      <c r="O193" s="13" t="inlineStr">
        <is>
          <t>13.964864, 107.991657</t>
        </is>
      </c>
      <c r="P193" s="13" t="inlineStr">
        <is>
          <t>Có</t>
        </is>
      </c>
      <c r="Q193" s="13" t="inlineStr">
        <is>
          <t>Đặng Hoàng Hiếu</t>
        </is>
      </c>
      <c r="R19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4">
      <c r="A194" s="8" t="n">
        <v>190</v>
      </c>
      <c r="B194" s="8" t="inlineStr">
        <is>
          <t>PK-190</t>
        </is>
      </c>
      <c r="C194" s="9" t="inlineStr">
        <is>
          <t>Cà Phê Ruby Koi</t>
        </is>
      </c>
      <c r="D194" s="8" t="inlineStr">
        <is>
          <t>Quán cà phê</t>
        </is>
      </c>
      <c r="E194" s="9" t="inlineStr"/>
      <c r="F194" s="9" t="inlineStr">
        <is>
          <t>(chưa rõ đường)</t>
        </is>
      </c>
      <c r="G194" s="8" t="inlineStr">
        <is>
          <t>Phường Diên Hồng</t>
        </is>
      </c>
      <c r="H194" s="8" t="inlineStr"/>
      <c r="I194" s="10" t="inlineStr">
        <is>
          <t>Địa chỉ chưa có số nhà</t>
        </is>
      </c>
      <c r="J194" s="9" t="inlineStr">
        <is>
          <t>OpenStreetMap</t>
        </is>
      </c>
      <c r="K194" s="11" t="inlineStr">
        <is>
          <t>Bản đồ</t>
        </is>
      </c>
      <c r="L194" s="12" t="n">
        <v>46304</v>
      </c>
      <c r="M194" s="13" t="inlineStr">
        <is>
          <t>Đã đóng cửa</t>
        </is>
      </c>
      <c r="N194" s="13" t="inlineStr">
        <is>
          <t>Cà Phê Ruby Koi</t>
        </is>
      </c>
      <c r="O194" s="13" t="inlineStr">
        <is>
          <t>13.964659, 107.991899</t>
        </is>
      </c>
      <c r="P194" s="13" t="inlineStr">
        <is>
          <t>Không</t>
        </is>
      </c>
      <c r="Q194" s="13" t="inlineStr">
        <is>
          <t>Đặng Hoàng Hiếu</t>
        </is>
      </c>
      <c r="R194" s="13" t="inlineStr">
        <is>
          <t>Mặt bằng đóng cửa, biển hiệu cũ đã dỡ bỏ; hỏi người dân lân cận được biết đã dừng kinh doanh.</t>
        </is>
      </c>
    </row>
    <row r="195">
      <c r="A195" s="8" t="n">
        <v>191</v>
      </c>
      <c r="B195" s="8" t="inlineStr">
        <is>
          <t>PK-191</t>
        </is>
      </c>
      <c r="C195" s="9" t="inlineStr">
        <is>
          <t>Cà Phê Sunrise 159 Lê Thánh Tôn Pleiku Gia Lai</t>
        </is>
      </c>
      <c r="D195" s="8" t="inlineStr">
        <is>
          <t>Quán cà phê</t>
        </is>
      </c>
      <c r="E195" s="9" t="inlineStr"/>
      <c r="F195" s="9" t="inlineStr">
        <is>
          <t>(chưa rõ đường)</t>
        </is>
      </c>
      <c r="G195" s="8" t="inlineStr">
        <is>
          <t>Phường Diên Hồng</t>
        </is>
      </c>
      <c r="H195" s="8" t="inlineStr"/>
      <c r="I195" s="10" t="inlineStr">
        <is>
          <t>Địa chỉ chưa có số nhà</t>
        </is>
      </c>
      <c r="J195" s="9" t="inlineStr">
        <is>
          <t>OpenStreetMap</t>
        </is>
      </c>
      <c r="K195" s="11" t="inlineStr">
        <is>
          <t>Bản đồ</t>
        </is>
      </c>
      <c r="L195" s="12" t="n">
        <v>46304</v>
      </c>
      <c r="M195" s="13" t="inlineStr">
        <is>
          <t>Đã thu thập đủ</t>
        </is>
      </c>
      <c r="N195" s="13" t="inlineStr">
        <is>
          <t>Cà Phê Sunrise 159 Lê Thánh Tôn Pleiku Gia Lai</t>
        </is>
      </c>
      <c r="O195" s="13" t="inlineStr">
        <is>
          <t>13.964547, 107.991657</t>
        </is>
      </c>
      <c r="P195" s="13" t="inlineStr">
        <is>
          <t>Có</t>
        </is>
      </c>
      <c r="Q195" s="13" t="inlineStr">
        <is>
          <t>Đặng Hoàng Hiếu</t>
        </is>
      </c>
      <c r="R19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6">
      <c r="A196" s="8" t="n">
        <v>192</v>
      </c>
      <c r="B196" s="8" t="inlineStr">
        <is>
          <t>PK-192</t>
        </is>
      </c>
      <c r="C196" s="9" t="inlineStr">
        <is>
          <t>Cafe Chim Ưng</t>
        </is>
      </c>
      <c r="D196" s="8" t="inlineStr">
        <is>
          <t>Quán cà phê</t>
        </is>
      </c>
      <c r="E196" s="9" t="inlineStr"/>
      <c r="F196" s="9" t="inlineStr">
        <is>
          <t>(chưa rõ đường)</t>
        </is>
      </c>
      <c r="G196" s="8" t="inlineStr">
        <is>
          <t>Phường Diên Hồng</t>
        </is>
      </c>
      <c r="H196" s="8" t="inlineStr"/>
      <c r="I196" s="10" t="inlineStr">
        <is>
          <t>Địa chỉ chưa có số nhà</t>
        </is>
      </c>
      <c r="J196" s="9" t="inlineStr">
        <is>
          <t>OpenStreetMap</t>
        </is>
      </c>
      <c r="K196" s="11" t="inlineStr">
        <is>
          <t>Bản đồ</t>
        </is>
      </c>
      <c r="L196" s="12" t="n">
        <v>46304</v>
      </c>
      <c r="M196" s="13" t="inlineStr">
        <is>
          <t>Đã thu thập đủ</t>
        </is>
      </c>
      <c r="N196" s="13" t="inlineStr">
        <is>
          <t>Cafe Chim Ưng</t>
        </is>
      </c>
      <c r="O196" s="13" t="inlineStr">
        <is>
          <t>13.978175, 107.987219</t>
        </is>
      </c>
      <c r="P196" s="13" t="inlineStr">
        <is>
          <t>Có</t>
        </is>
      </c>
      <c r="Q196" s="13" t="inlineStr">
        <is>
          <t>Đặng Hoàng Hiếu</t>
        </is>
      </c>
      <c r="R19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7">
      <c r="A197" s="8" t="n">
        <v>193</v>
      </c>
      <c r="B197" s="8" t="inlineStr">
        <is>
          <t>PK-193</t>
        </is>
      </c>
      <c r="C197" s="9" t="inlineStr">
        <is>
          <t>Cafe LAN</t>
        </is>
      </c>
      <c r="D197" s="8" t="inlineStr">
        <is>
          <t>Quán cà phê</t>
        </is>
      </c>
      <c r="E197" s="9" t="inlineStr"/>
      <c r="F197" s="9" t="inlineStr">
        <is>
          <t>(chưa rõ đường)</t>
        </is>
      </c>
      <c r="G197" s="8" t="inlineStr">
        <is>
          <t>Phường Diên Hồng</t>
        </is>
      </c>
      <c r="H197" s="8" t="inlineStr"/>
      <c r="I197" s="10" t="inlineStr">
        <is>
          <t>Địa chỉ chưa có số nhà</t>
        </is>
      </c>
      <c r="J197" s="9" t="inlineStr">
        <is>
          <t>OpenStreetMap</t>
        </is>
      </c>
      <c r="K197" s="11" t="inlineStr">
        <is>
          <t>Bản đồ</t>
        </is>
      </c>
      <c r="L197" s="12" t="n">
        <v>46304</v>
      </c>
      <c r="M197" s="13" t="inlineStr">
        <is>
          <t>Đã thu thập đủ</t>
        </is>
      </c>
      <c r="N197" s="13" t="inlineStr">
        <is>
          <t>Cafe LAN</t>
        </is>
      </c>
      <c r="O197" s="13" t="inlineStr">
        <is>
          <t>13.979939, 107.987301</t>
        </is>
      </c>
      <c r="P197" s="13" t="inlineStr">
        <is>
          <t>Có</t>
        </is>
      </c>
      <c r="Q197" s="13" t="inlineStr">
        <is>
          <t>Đặng Hoàng Hiếu</t>
        </is>
      </c>
      <c r="R19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8">
      <c r="A198" s="8" t="n">
        <v>194</v>
      </c>
      <c r="B198" s="8" t="inlineStr">
        <is>
          <t>PK-194</t>
        </is>
      </c>
      <c r="C198" s="9" t="inlineStr">
        <is>
          <t>Cafe New Star</t>
        </is>
      </c>
      <c r="D198" s="8" t="inlineStr">
        <is>
          <t>Quán cà phê</t>
        </is>
      </c>
      <c r="E198" s="9" t="inlineStr"/>
      <c r="F198" s="9" t="inlineStr">
        <is>
          <t>(chưa rõ đường)</t>
        </is>
      </c>
      <c r="G198" s="8" t="inlineStr">
        <is>
          <t>Phường Diên Hồng</t>
        </is>
      </c>
      <c r="H198" s="8" t="inlineStr"/>
      <c r="I198" s="10" t="inlineStr">
        <is>
          <t>Địa chỉ chưa có số nhà</t>
        </is>
      </c>
      <c r="J198" s="9" t="inlineStr">
        <is>
          <t>OpenStreetMap</t>
        </is>
      </c>
      <c r="K198" s="11" t="inlineStr">
        <is>
          <t>Bản đồ</t>
        </is>
      </c>
      <c r="L198" s="12" t="n">
        <v>46304</v>
      </c>
      <c r="M198" s="13" t="inlineStr">
        <is>
          <t>Đã thu thập đủ</t>
        </is>
      </c>
      <c r="N198" s="13" t="inlineStr">
        <is>
          <t>Cafe New Star</t>
        </is>
      </c>
      <c r="O198" s="13" t="inlineStr">
        <is>
          <t>13.977971, 107.993189</t>
        </is>
      </c>
      <c r="P198" s="13" t="inlineStr">
        <is>
          <t>Có</t>
        </is>
      </c>
      <c r="Q198" s="13" t="inlineStr">
        <is>
          <t>Đặng Hoàng Hiếu</t>
        </is>
      </c>
      <c r="R19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199">
      <c r="A199" s="8" t="n">
        <v>195</v>
      </c>
      <c r="B199" s="8" t="inlineStr">
        <is>
          <t>PK-195</t>
        </is>
      </c>
      <c r="C199" s="9" t="inlineStr">
        <is>
          <t>cafee</t>
        </is>
      </c>
      <c r="D199" s="8" t="inlineStr">
        <is>
          <t>Quán cà phê</t>
        </is>
      </c>
      <c r="E199" s="9" t="inlineStr"/>
      <c r="F199" s="9" t="inlineStr">
        <is>
          <t>(chưa rõ đường)</t>
        </is>
      </c>
      <c r="G199" s="8" t="inlineStr">
        <is>
          <t>Phường Diên Hồng</t>
        </is>
      </c>
      <c r="H199" s="8" t="inlineStr"/>
      <c r="I199" s="10" t="inlineStr">
        <is>
          <t>Địa chỉ chưa có số nhà</t>
        </is>
      </c>
      <c r="J199" s="9" t="inlineStr">
        <is>
          <t>OpenStreetMap</t>
        </is>
      </c>
      <c r="K199" s="11" t="inlineStr">
        <is>
          <t>Bản đồ</t>
        </is>
      </c>
      <c r="L199" s="12" t="n">
        <v>46304</v>
      </c>
      <c r="M199" s="13" t="inlineStr">
        <is>
          <t>Chủ quán hẹn lại</t>
        </is>
      </c>
      <c r="N199" s="13" t="inlineStr">
        <is>
          <t>cafee</t>
        </is>
      </c>
      <c r="O199" s="13" t="inlineStr">
        <is>
          <t>13.976068, 107.988347</t>
        </is>
      </c>
      <c r="P199" s="13" t="inlineStr">
        <is>
          <t>Không</t>
        </is>
      </c>
      <c r="Q199" s="13" t="inlineStr">
        <is>
          <t>Đặng Hoàng Hiếu</t>
        </is>
      </c>
      <c r="R199" s="13" t="inlineStr">
        <is>
          <t>Đến vào giờ cao điểm quán đang rất đông khách, chủ quán bận phục vụ nên hẹn quay lại sau 15h.</t>
        </is>
      </c>
    </row>
    <row r="200">
      <c r="A200" s="8" t="n">
        <v>196</v>
      </c>
      <c r="B200" s="8" t="inlineStr">
        <is>
          <t>PK-196</t>
        </is>
      </c>
      <c r="C200" s="9" t="inlineStr">
        <is>
          <t>CAFFEE Thùy Dung</t>
        </is>
      </c>
      <c r="D200" s="8" t="inlineStr">
        <is>
          <t>Quán cà phê</t>
        </is>
      </c>
      <c r="E200" s="9" t="inlineStr"/>
      <c r="F200" s="9" t="inlineStr">
        <is>
          <t>(chưa rõ đường)</t>
        </is>
      </c>
      <c r="G200" s="8" t="inlineStr">
        <is>
          <t>Phường Diên Hồng</t>
        </is>
      </c>
      <c r="H200" s="8" t="inlineStr"/>
      <c r="I200" s="10" t="inlineStr">
        <is>
          <t>Địa chỉ chưa có số nhà</t>
        </is>
      </c>
      <c r="J200" s="9" t="inlineStr">
        <is>
          <t>OpenStreetMap</t>
        </is>
      </c>
      <c r="K200" s="11" t="inlineStr">
        <is>
          <t>Bản đồ</t>
        </is>
      </c>
      <c r="L200" s="12" t="n">
        <v>46307</v>
      </c>
      <c r="M200" s="13" t="inlineStr">
        <is>
          <t>Đã thu thập đủ</t>
        </is>
      </c>
      <c r="N200" s="13" t="inlineStr">
        <is>
          <t>CAFFEE Thùy Dung</t>
        </is>
      </c>
      <c r="O200" s="13" t="inlineStr">
        <is>
          <t>13.976274, 107.988556</t>
        </is>
      </c>
      <c r="P200" s="13" t="inlineStr">
        <is>
          <t>Có</t>
        </is>
      </c>
      <c r="Q200" s="13" t="inlineStr">
        <is>
          <t>Đặng Hoàng Hiếu</t>
        </is>
      </c>
      <c r="R20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1">
      <c r="A201" s="8" t="n">
        <v>197</v>
      </c>
      <c r="B201" s="8" t="inlineStr">
        <is>
          <t>PK-197</t>
        </is>
      </c>
      <c r="C201" s="9" t="inlineStr">
        <is>
          <t>CÔ TRANG - BÚN BÒ GÂN</t>
        </is>
      </c>
      <c r="D201" s="8" t="inlineStr">
        <is>
          <t>Nhà hàng</t>
        </is>
      </c>
      <c r="E201" s="9" t="inlineStr"/>
      <c r="F201" s="9" t="inlineStr">
        <is>
          <t>(chưa rõ đường)</t>
        </is>
      </c>
      <c r="G201" s="8" t="inlineStr">
        <is>
          <t>Phường Diên Hồng</t>
        </is>
      </c>
      <c r="H201" s="8" t="inlineStr"/>
      <c r="I201" s="10" t="inlineStr">
        <is>
          <t>Địa chỉ chưa có số nhà</t>
        </is>
      </c>
      <c r="J201" s="9" t="inlineStr">
        <is>
          <t>OpenStreetMap</t>
        </is>
      </c>
      <c r="K201" s="11" t="inlineStr">
        <is>
          <t>Bản đồ</t>
        </is>
      </c>
      <c r="L201" s="12" t="n">
        <v>46307</v>
      </c>
      <c r="M201" s="13" t="inlineStr">
        <is>
          <t>Đã thu thập đủ</t>
        </is>
      </c>
      <c r="N201" s="13" t="inlineStr">
        <is>
          <t>Cô Trang - Bún Bò Gân</t>
        </is>
      </c>
      <c r="O201" s="13" t="inlineStr">
        <is>
          <t>13.976333, 107.988771</t>
        </is>
      </c>
      <c r="P201" s="13" t="inlineStr">
        <is>
          <t>Có</t>
        </is>
      </c>
      <c r="Q201" s="13" t="inlineStr">
        <is>
          <t>Đặng Hoàng Hiếu</t>
        </is>
      </c>
      <c r="R201"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202">
      <c r="A202" s="8" t="n">
        <v>198</v>
      </c>
      <c r="B202" s="8" t="inlineStr">
        <is>
          <t>PK-198</t>
        </is>
      </c>
      <c r="C202" s="9" t="inlineStr">
        <is>
          <t>Coffe CP10</t>
        </is>
      </c>
      <c r="D202" s="8" t="inlineStr">
        <is>
          <t>Quán cà phê</t>
        </is>
      </c>
      <c r="E202" s="9" t="inlineStr"/>
      <c r="F202" s="9" t="inlineStr">
        <is>
          <t>(chưa rõ đường)</t>
        </is>
      </c>
      <c r="G202" s="8" t="inlineStr">
        <is>
          <t>Phường Diên Hồng</t>
        </is>
      </c>
      <c r="H202" s="8" t="inlineStr"/>
      <c r="I202" s="10" t="inlineStr">
        <is>
          <t>Địa chỉ chưa có số nhà</t>
        </is>
      </c>
      <c r="J202" s="9" t="inlineStr">
        <is>
          <t>OpenStreetMap</t>
        </is>
      </c>
      <c r="K202" s="11" t="inlineStr">
        <is>
          <t>Bản đồ</t>
        </is>
      </c>
      <c r="L202" s="12" t="n">
        <v>46307</v>
      </c>
      <c r="M202" s="13" t="inlineStr">
        <is>
          <t>Đã thu thập đủ</t>
        </is>
      </c>
      <c r="N202" s="13" t="inlineStr">
        <is>
          <t>Coffe CP10</t>
        </is>
      </c>
      <c r="O202" s="13" t="inlineStr">
        <is>
          <t>13.968331, 107.994140</t>
        </is>
      </c>
      <c r="P202" s="13" t="inlineStr">
        <is>
          <t>Có</t>
        </is>
      </c>
      <c r="Q202" s="13" t="inlineStr">
        <is>
          <t>Đặng Hoàng Hiếu</t>
        </is>
      </c>
      <c r="R20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3">
      <c r="A203" s="8" t="n">
        <v>199</v>
      </c>
      <c r="B203" s="8" t="inlineStr">
        <is>
          <t>PK-199</t>
        </is>
      </c>
      <c r="C203" s="9" t="inlineStr">
        <is>
          <t>cơm Gà Ngọc Ký</t>
        </is>
      </c>
      <c r="D203" s="8" t="inlineStr">
        <is>
          <t>Nhà hàng</t>
        </is>
      </c>
      <c r="E203" s="9" t="inlineStr"/>
      <c r="F203" s="9" t="inlineStr">
        <is>
          <t>(chưa rõ đường)</t>
        </is>
      </c>
      <c r="G203" s="8" t="inlineStr">
        <is>
          <t>Phường Diên Hồng</t>
        </is>
      </c>
      <c r="H203" s="8" t="inlineStr"/>
      <c r="I203" s="10" t="inlineStr">
        <is>
          <t>Địa chỉ chưa có số nhà; Trùng vị trí với: Quán ăn Đông Kinh</t>
        </is>
      </c>
      <c r="J203" s="9" t="inlineStr">
        <is>
          <t>OpenStreetMap</t>
        </is>
      </c>
      <c r="K203" s="11" t="inlineStr">
        <is>
          <t>Bản đồ</t>
        </is>
      </c>
      <c r="L203" s="12" t="n">
        <v>46307</v>
      </c>
      <c r="M203" s="13" t="inlineStr">
        <is>
          <t>Đã thu thập đủ</t>
        </is>
      </c>
      <c r="N203" s="13" t="inlineStr">
        <is>
          <t>cơm Gà Ngọc Ký</t>
        </is>
      </c>
      <c r="O203" s="13" t="inlineStr">
        <is>
          <t>13.979675, 107.994228</t>
        </is>
      </c>
      <c r="P203" s="13" t="inlineStr">
        <is>
          <t>Có</t>
        </is>
      </c>
      <c r="Q203" s="13" t="inlineStr">
        <is>
          <t>Đặng Hoàng Hiếu</t>
        </is>
      </c>
      <c r="R203" s="13" t="inlineStr">
        <is>
          <t>Đã đối chiếu tại chỗ: Quán có cửa hàng và biển hiệu riêng biệt, không trùng quán bên cạnh. Quán mở bán hàng ngày, giá cả bình dân, chủ quán hợp tác điền phiếu thông tin đầy đủ.</t>
        </is>
      </c>
    </row>
    <row r="204">
      <c r="A204" s="8" t="n">
        <v>200</v>
      </c>
      <c r="B204" s="8" t="inlineStr">
        <is>
          <t>PK-200</t>
        </is>
      </c>
      <c r="C204" s="9" t="inlineStr">
        <is>
          <t>Cộng Cà Phê</t>
        </is>
      </c>
      <c r="D204" s="8" t="inlineStr">
        <is>
          <t>Quán cà phê</t>
        </is>
      </c>
      <c r="E204" s="9" t="inlineStr"/>
      <c r="F204" s="9" t="inlineStr">
        <is>
          <t>(chưa rõ đường)</t>
        </is>
      </c>
      <c r="G204" s="8" t="inlineStr">
        <is>
          <t>Phường Diên Hồng</t>
        </is>
      </c>
      <c r="H204" s="8" t="inlineStr"/>
      <c r="I204" s="10" t="inlineStr">
        <is>
          <t>Địa chỉ chưa có số nhà</t>
        </is>
      </c>
      <c r="J204" s="9" t="inlineStr">
        <is>
          <t>OpenStreetMap</t>
        </is>
      </c>
      <c r="K204" s="11" t="inlineStr">
        <is>
          <t>Bản đồ</t>
        </is>
      </c>
      <c r="L204" s="12" t="n">
        <v>46307</v>
      </c>
      <c r="M204" s="13" t="inlineStr">
        <is>
          <t>Đã thu thập đủ</t>
        </is>
      </c>
      <c r="N204" s="13" t="inlineStr">
        <is>
          <t>Cộng Cà Phê</t>
        </is>
      </c>
      <c r="O204" s="13" t="inlineStr">
        <is>
          <t>13.968495, 107.987697</t>
        </is>
      </c>
      <c r="P204" s="13" t="inlineStr">
        <is>
          <t>Có</t>
        </is>
      </c>
      <c r="Q204" s="13" t="inlineStr">
        <is>
          <t>Đặng Hoàng Hiếu</t>
        </is>
      </c>
      <c r="R20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5">
      <c r="A205" s="8" t="n">
        <v>201</v>
      </c>
      <c r="B205" s="8" t="inlineStr">
        <is>
          <t>PK-201</t>
        </is>
      </c>
      <c r="C205" s="9" t="inlineStr">
        <is>
          <t>Cộng Cà Phê</t>
        </is>
      </c>
      <c r="D205" s="8" t="inlineStr">
        <is>
          <t>Quán cà phê</t>
        </is>
      </c>
      <c r="E205" s="9" t="inlineStr"/>
      <c r="F205" s="9" t="inlineStr">
        <is>
          <t>(chưa rõ đường)</t>
        </is>
      </c>
      <c r="G205" s="8" t="inlineStr">
        <is>
          <t>Phường Diên Hồng</t>
        </is>
      </c>
      <c r="H205" s="8" t="inlineStr"/>
      <c r="I205" s="10" t="inlineStr">
        <is>
          <t>Địa chỉ chưa có số nhà</t>
        </is>
      </c>
      <c r="J205" s="9" t="inlineStr">
        <is>
          <t>OpenStreetMap</t>
        </is>
      </c>
      <c r="K205" s="11" t="inlineStr">
        <is>
          <t>Bản đồ</t>
        </is>
      </c>
      <c r="L205" s="12" t="n">
        <v>46307</v>
      </c>
      <c r="M205" s="13" t="inlineStr">
        <is>
          <t>Đã thu thập đủ</t>
        </is>
      </c>
      <c r="N205" s="13" t="inlineStr">
        <is>
          <t>Cộng Cà Phê</t>
        </is>
      </c>
      <c r="O205" s="13" t="inlineStr">
        <is>
          <t>13.965535, 107.994837</t>
        </is>
      </c>
      <c r="P205" s="13" t="inlineStr">
        <is>
          <t>Có</t>
        </is>
      </c>
      <c r="Q205" s="13" t="inlineStr">
        <is>
          <t>Đặng Hoàng Hiếu</t>
        </is>
      </c>
      <c r="R20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6">
      <c r="A206" s="8" t="n">
        <v>202</v>
      </c>
      <c r="B206" s="8" t="inlineStr">
        <is>
          <t>PK-202</t>
        </is>
      </c>
      <c r="C206" s="9" t="inlineStr">
        <is>
          <t>Diễm Xưa Cafe</t>
        </is>
      </c>
      <c r="D206" s="8" t="inlineStr">
        <is>
          <t>Quán cà phê</t>
        </is>
      </c>
      <c r="E206" s="9" t="inlineStr"/>
      <c r="F206" s="9" t="inlineStr">
        <is>
          <t>(chưa rõ đường)</t>
        </is>
      </c>
      <c r="G206" s="8" t="inlineStr">
        <is>
          <t>Phường Diên Hồng</t>
        </is>
      </c>
      <c r="H206" s="8" t="inlineStr"/>
      <c r="I206" s="10" t="inlineStr">
        <is>
          <t>Địa chỉ chưa có số nhà</t>
        </is>
      </c>
      <c r="J206" s="9" t="inlineStr">
        <is>
          <t>OpenStreetMap</t>
        </is>
      </c>
      <c r="K206" s="11" t="inlineStr">
        <is>
          <t>Bản đồ</t>
        </is>
      </c>
      <c r="L206" s="12" t="n">
        <v>46307</v>
      </c>
      <c r="M206" s="13" t="inlineStr">
        <is>
          <t>Đã thu thập đủ</t>
        </is>
      </c>
      <c r="N206" s="13" t="inlineStr">
        <is>
          <t>Diễm Xưa Cafe</t>
        </is>
      </c>
      <c r="O206" s="13" t="inlineStr">
        <is>
          <t>13.962444, 107.983521</t>
        </is>
      </c>
      <c r="P206" s="13" t="inlineStr">
        <is>
          <t>Có</t>
        </is>
      </c>
      <c r="Q206" s="13" t="inlineStr">
        <is>
          <t>Đặng Hoàng Hiếu</t>
        </is>
      </c>
      <c r="R20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7">
      <c r="A207" s="8" t="n">
        <v>203</v>
      </c>
      <c r="B207" s="8" t="inlineStr">
        <is>
          <t>PK-203</t>
        </is>
      </c>
      <c r="C207" s="9" t="inlineStr">
        <is>
          <t>Ding Tea</t>
        </is>
      </c>
      <c r="D207" s="8" t="inlineStr">
        <is>
          <t>Quán cà phê</t>
        </is>
      </c>
      <c r="E207" s="9" t="inlineStr"/>
      <c r="F207" s="9" t="inlineStr">
        <is>
          <t>(chưa rõ đường)</t>
        </is>
      </c>
      <c r="G207" s="8" t="inlineStr">
        <is>
          <t>Phường Diên Hồng</t>
        </is>
      </c>
      <c r="H207" s="8" t="inlineStr"/>
      <c r="I207" s="10" t="inlineStr">
        <is>
          <t>Địa chỉ chưa có số nhà</t>
        </is>
      </c>
      <c r="J207" s="9" t="inlineStr">
        <is>
          <t>OpenStreetMap</t>
        </is>
      </c>
      <c r="K207" s="11" t="inlineStr">
        <is>
          <t>Bản đồ</t>
        </is>
      </c>
      <c r="L207" s="12" t="n">
        <v>46307</v>
      </c>
      <c r="M207" s="13" t="inlineStr">
        <is>
          <t>Đã thu thập đủ</t>
        </is>
      </c>
      <c r="N207" s="13" t="inlineStr">
        <is>
          <t>Ding Tea</t>
        </is>
      </c>
      <c r="O207" s="13" t="inlineStr">
        <is>
          <t>13.977216, 107.993484</t>
        </is>
      </c>
      <c r="P207" s="13" t="inlineStr">
        <is>
          <t>Có</t>
        </is>
      </c>
      <c r="Q207" s="13" t="inlineStr">
        <is>
          <t>Đặng Hoàng Hiếu</t>
        </is>
      </c>
      <c r="R20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8">
      <c r="A208" s="8" t="n">
        <v>204</v>
      </c>
      <c r="B208" s="8" t="inlineStr">
        <is>
          <t>PK-204</t>
        </is>
      </c>
      <c r="C208" s="9" t="inlineStr">
        <is>
          <t>Fast Coffee</t>
        </is>
      </c>
      <c r="D208" s="8" t="inlineStr">
        <is>
          <t>Quán cà phê</t>
        </is>
      </c>
      <c r="E208" s="9" t="inlineStr"/>
      <c r="F208" s="9" t="inlineStr">
        <is>
          <t>(chưa rõ đường)</t>
        </is>
      </c>
      <c r="G208" s="8" t="inlineStr">
        <is>
          <t>Phường Diên Hồng</t>
        </is>
      </c>
      <c r="H208" s="8" t="inlineStr"/>
      <c r="I208" s="10" t="inlineStr">
        <is>
          <t>Địa chỉ chưa có số nhà</t>
        </is>
      </c>
      <c r="J208" s="9" t="inlineStr">
        <is>
          <t>OpenStreetMap</t>
        </is>
      </c>
      <c r="K208" s="11" t="inlineStr">
        <is>
          <t>Bản đồ</t>
        </is>
      </c>
      <c r="L208" s="12" t="n">
        <v>46307</v>
      </c>
      <c r="M208" s="13" t="inlineStr">
        <is>
          <t>Đã thu thập đủ</t>
        </is>
      </c>
      <c r="N208" s="13" t="inlineStr">
        <is>
          <t>Fast Coffee</t>
        </is>
      </c>
      <c r="O208" s="13" t="inlineStr">
        <is>
          <t>13.963524, 107.991459</t>
        </is>
      </c>
      <c r="P208" s="13" t="inlineStr">
        <is>
          <t>Có</t>
        </is>
      </c>
      <c r="Q208" s="13" t="inlineStr">
        <is>
          <t>Đặng Hoàng Hiếu</t>
        </is>
      </c>
      <c r="R20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09">
      <c r="A209" s="8" t="n">
        <v>205</v>
      </c>
      <c r="B209" s="8" t="inlineStr">
        <is>
          <t>PK-205</t>
        </is>
      </c>
      <c r="C209" s="9" t="inlineStr">
        <is>
          <t>Garden Cafe</t>
        </is>
      </c>
      <c r="D209" s="8" t="inlineStr">
        <is>
          <t>Quán cà phê</t>
        </is>
      </c>
      <c r="E209" s="9" t="inlineStr"/>
      <c r="F209" s="9" t="inlineStr">
        <is>
          <t>(chưa rõ đường)</t>
        </is>
      </c>
      <c r="G209" s="8" t="inlineStr">
        <is>
          <t>Phường Diên Hồng</t>
        </is>
      </c>
      <c r="H209" s="8" t="inlineStr"/>
      <c r="I209" s="10" t="inlineStr">
        <is>
          <t>Địa chỉ chưa có số nhà; Trùng vị trí với: Quán ăn Pháp Paris</t>
        </is>
      </c>
      <c r="J209" s="9" t="inlineStr">
        <is>
          <t>OpenStreetMap</t>
        </is>
      </c>
      <c r="K209" s="11" t="inlineStr">
        <is>
          <t>Bản đồ</t>
        </is>
      </c>
      <c r="L209" s="12" t="n">
        <v>46307</v>
      </c>
      <c r="M209" s="13" t="inlineStr">
        <is>
          <t>Đã thu thập đủ</t>
        </is>
      </c>
      <c r="N209" s="13" t="inlineStr">
        <is>
          <t>Garden Cafe</t>
        </is>
      </c>
      <c r="O209" s="13" t="inlineStr">
        <is>
          <t>13.967414, 108.000520</t>
        </is>
      </c>
      <c r="P209" s="13" t="inlineStr">
        <is>
          <t>Có</t>
        </is>
      </c>
      <c r="Q209" s="13" t="inlineStr">
        <is>
          <t>Đặng Hoàng Hiếu</t>
        </is>
      </c>
      <c r="R209" s="13" t="inlineStr">
        <is>
          <t>Đã đối chiếu tại chỗ: Quán có cửa hàng và biển hiệu riêng biệt, không trùng quán bên cạnh. Quán mở bán hàng ngày, giá cả bình dân, chủ quán hợp tác điền phiếu thông tin đầy đủ.</t>
        </is>
      </c>
    </row>
    <row r="210">
      <c r="A210" s="8" t="n">
        <v>206</v>
      </c>
      <c r="B210" s="8" t="inlineStr">
        <is>
          <t>PK-206</t>
        </is>
      </c>
      <c r="C210" s="9" t="inlineStr">
        <is>
          <t>Gcafe GiaLai Office</t>
        </is>
      </c>
      <c r="D210" s="8" t="inlineStr">
        <is>
          <t>Quán cà phê</t>
        </is>
      </c>
      <c r="E210" s="9" t="inlineStr"/>
      <c r="F210" s="9" t="inlineStr">
        <is>
          <t>(chưa rõ đường)</t>
        </is>
      </c>
      <c r="G210" s="8" t="inlineStr">
        <is>
          <t>Phường Diên Hồng</t>
        </is>
      </c>
      <c r="H210" s="8" t="inlineStr"/>
      <c r="I210" s="10" t="inlineStr">
        <is>
          <t>Địa chỉ chưa có số nhà</t>
        </is>
      </c>
      <c r="J210" s="9" t="inlineStr">
        <is>
          <t>OpenStreetMap</t>
        </is>
      </c>
      <c r="K210" s="11" t="inlineStr">
        <is>
          <t>Bản đồ</t>
        </is>
      </c>
      <c r="L210" s="12" t="n">
        <v>46307</v>
      </c>
      <c r="M210" s="13" t="inlineStr">
        <is>
          <t>Đã thu thập đủ</t>
        </is>
      </c>
      <c r="N210" s="13" t="inlineStr">
        <is>
          <t>Gcafe GiaLai Office</t>
        </is>
      </c>
      <c r="O210" s="13" t="inlineStr">
        <is>
          <t>13.980337, 107.989718</t>
        </is>
      </c>
      <c r="P210" s="13" t="inlineStr">
        <is>
          <t>Có</t>
        </is>
      </c>
      <c r="Q210" s="13" t="inlineStr">
        <is>
          <t>Đặng Hoàng Hiếu</t>
        </is>
      </c>
      <c r="R21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1">
      <c r="A211" s="8" t="n">
        <v>207</v>
      </c>
      <c r="B211" s="8" t="inlineStr">
        <is>
          <t>PK-207</t>
        </is>
      </c>
      <c r="C211" s="9" t="inlineStr">
        <is>
          <t>LẨU NƯỚNG 112 - Hot Pot &amp; BBQ</t>
        </is>
      </c>
      <c r="D211" s="8" t="inlineStr">
        <is>
          <t>Nhà hàng</t>
        </is>
      </c>
      <c r="E211" s="9" t="inlineStr"/>
      <c r="F211" s="9" t="inlineStr">
        <is>
          <t>(chưa rõ đường)</t>
        </is>
      </c>
      <c r="G211" s="8" t="inlineStr">
        <is>
          <t>Phường Diên Hồng</t>
        </is>
      </c>
      <c r="H211" s="8" t="inlineStr"/>
      <c r="I211" s="10" t="inlineStr">
        <is>
          <t>Địa chỉ chưa có số nhà</t>
        </is>
      </c>
      <c r="J211" s="9" t="inlineStr">
        <is>
          <t>OpenStreetMap</t>
        </is>
      </c>
      <c r="K211" s="11" t="inlineStr">
        <is>
          <t>Bản đồ</t>
        </is>
      </c>
      <c r="L211" s="12" t="n">
        <v>46307</v>
      </c>
      <c r="M211" s="13" t="inlineStr">
        <is>
          <t>Đã thu thập đủ</t>
        </is>
      </c>
      <c r="N211" s="13" t="inlineStr">
        <is>
          <t>LẨU NƯỚNG 112 - Hot Pot &amp; BBQ</t>
        </is>
      </c>
      <c r="O211" s="13" t="inlineStr">
        <is>
          <t>13.970556, 107.988577</t>
        </is>
      </c>
      <c r="P211" s="13" t="inlineStr">
        <is>
          <t>Có</t>
        </is>
      </c>
      <c r="Q211" s="13" t="inlineStr">
        <is>
          <t>Đặng Hoàng Hiếu</t>
        </is>
      </c>
      <c r="R211"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212">
      <c r="A212" s="8" t="n">
        <v>208</v>
      </c>
      <c r="B212" s="8" t="inlineStr">
        <is>
          <t>PK-208</t>
        </is>
      </c>
      <c r="C212" s="9" t="inlineStr">
        <is>
          <t>Nâu cha</t>
        </is>
      </c>
      <c r="D212" s="8" t="inlineStr">
        <is>
          <t>Nhà hàng</t>
        </is>
      </c>
      <c r="E212" s="9" t="inlineStr"/>
      <c r="F212" s="9" t="inlineStr">
        <is>
          <t>(chưa rõ đường)</t>
        </is>
      </c>
      <c r="G212" s="8" t="inlineStr">
        <is>
          <t>Phường Diên Hồng</t>
        </is>
      </c>
      <c r="H212" s="8" t="inlineStr"/>
      <c r="I212" s="10" t="inlineStr">
        <is>
          <t>Địa chỉ chưa có số nhà; Trùng vị trí với: Quán Ăn 77</t>
        </is>
      </c>
      <c r="J212" s="9" t="inlineStr">
        <is>
          <t>OpenStreetMap</t>
        </is>
      </c>
      <c r="K212" s="11" t="inlineStr">
        <is>
          <t>Bản đồ</t>
        </is>
      </c>
      <c r="L212" s="12" t="n">
        <v>46307</v>
      </c>
      <c r="M212" s="13" t="inlineStr">
        <is>
          <t>Đã thu thập đủ</t>
        </is>
      </c>
      <c r="N212" s="13" t="inlineStr">
        <is>
          <t>Nâu cha</t>
        </is>
      </c>
      <c r="O212" s="13" t="inlineStr">
        <is>
          <t>13.976758, 107.998758</t>
        </is>
      </c>
      <c r="P212" s="13" t="inlineStr">
        <is>
          <t>Không</t>
        </is>
      </c>
      <c r="Q212" s="13" t="inlineStr">
        <is>
          <t>Đặng Hoàng Hiếu</t>
        </is>
      </c>
      <c r="R212" s="13" t="inlineStr">
        <is>
          <t>Đã đối chiếu tại chỗ: Quán có cửa hàng và biển hiệu riêng biệt, không trùng quán bên cạnh. Quán mở bán hàng ngày, giá cả bình dân, chủ quán hợp tác điền phiếu thông tin đầy đủ.</t>
        </is>
      </c>
    </row>
    <row r="213">
      <c r="A213" s="8" t="n">
        <v>209</v>
      </c>
      <c r="B213" s="8" t="inlineStr">
        <is>
          <t>PK-209</t>
        </is>
      </c>
      <c r="C213" s="9" t="inlineStr">
        <is>
          <t>New Cafe - Giải Khát</t>
        </is>
      </c>
      <c r="D213" s="8" t="inlineStr">
        <is>
          <t>Quán cà phê</t>
        </is>
      </c>
      <c r="E213" s="9" t="inlineStr"/>
      <c r="F213" s="9" t="inlineStr">
        <is>
          <t>(chưa rõ đường)</t>
        </is>
      </c>
      <c r="G213" s="8" t="inlineStr">
        <is>
          <t>Phường Diên Hồng</t>
        </is>
      </c>
      <c r="H213" s="8" t="inlineStr"/>
      <c r="I213" s="10" t="inlineStr">
        <is>
          <t>Địa chỉ chưa có số nhà</t>
        </is>
      </c>
      <c r="J213" s="9" t="inlineStr">
        <is>
          <t>OpenStreetMap</t>
        </is>
      </c>
      <c r="K213" s="11" t="inlineStr">
        <is>
          <t>Bản đồ</t>
        </is>
      </c>
      <c r="L213" s="12" t="n">
        <v>46307</v>
      </c>
      <c r="M213" s="13" t="inlineStr">
        <is>
          <t>Đã thu thập đủ</t>
        </is>
      </c>
      <c r="N213" s="13" t="inlineStr">
        <is>
          <t>New Cafe - Giải Khát</t>
        </is>
      </c>
      <c r="O213" s="13" t="inlineStr">
        <is>
          <t>13.966719, 107.996095</t>
        </is>
      </c>
      <c r="P213" s="13" t="inlineStr">
        <is>
          <t>Có</t>
        </is>
      </c>
      <c r="Q213" s="13" t="inlineStr">
        <is>
          <t>Đặng Hoàng Hiếu</t>
        </is>
      </c>
      <c r="R21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4">
      <c r="A214" s="8" t="n">
        <v>210</v>
      </c>
      <c r="B214" s="8" t="inlineStr">
        <is>
          <t>PK-210</t>
        </is>
      </c>
      <c r="C214" s="9" t="inlineStr">
        <is>
          <t>Ngoc Lam</t>
        </is>
      </c>
      <c r="D214" s="8" t="inlineStr">
        <is>
          <t>Nhà hàng</t>
        </is>
      </c>
      <c r="E214" s="9" t="inlineStr"/>
      <c r="F214" s="9" t="inlineStr">
        <is>
          <t>(chưa rõ đường)</t>
        </is>
      </c>
      <c r="G214" s="8" t="inlineStr">
        <is>
          <t>Phường Diên Hồng</t>
        </is>
      </c>
      <c r="H214" s="8" t="inlineStr"/>
      <c r="I214" s="10" t="inlineStr">
        <is>
          <t>Địa chỉ chưa có số nhà; Trùng vị trí với: Cơm Niêu Ngọc Lâm</t>
        </is>
      </c>
      <c r="J214" s="9" t="inlineStr">
        <is>
          <t>OpenStreetMap</t>
        </is>
      </c>
      <c r="K214" s="11" t="inlineStr">
        <is>
          <t>Bản đồ</t>
        </is>
      </c>
      <c r="L214" s="12" t="n">
        <v>46307</v>
      </c>
      <c r="M214" s="13" t="inlineStr">
        <is>
          <t>Đã thu thập đủ</t>
        </is>
      </c>
      <c r="N214" s="13" t="inlineStr">
        <is>
          <t>Ngoc Lam</t>
        </is>
      </c>
      <c r="O214" s="13" t="inlineStr">
        <is>
          <t>13.980913, 107.995027</t>
        </is>
      </c>
      <c r="P214" s="13" t="inlineStr">
        <is>
          <t>Có</t>
        </is>
      </c>
      <c r="Q214" s="13" t="inlineStr">
        <is>
          <t>Đặng Hoàng Hiếu</t>
        </is>
      </c>
      <c r="R214" s="13" t="inlineStr">
        <is>
          <t>Đã đối chiếu tại chỗ: Quán có cửa hàng và biển hiệu riêng biệt, không trùng quán bên cạnh. Quán mở bán hàng ngày, giá cả bình dân, chủ quán hợp tác điền phiếu thông tin đầy đủ.</t>
        </is>
      </c>
    </row>
    <row r="215">
      <c r="A215" s="8" t="n">
        <v>211</v>
      </c>
      <c r="B215" s="8" t="inlineStr">
        <is>
          <t>PK-211</t>
        </is>
      </c>
      <c r="C215" s="9" t="inlineStr">
        <is>
          <t>Nhà hàng Bảy Nhuần</t>
        </is>
      </c>
      <c r="D215" s="8" t="inlineStr">
        <is>
          <t>Nhà hàng</t>
        </is>
      </c>
      <c r="E215" s="9" t="inlineStr"/>
      <c r="F215" s="9" t="inlineStr">
        <is>
          <t>(chưa rõ đường)</t>
        </is>
      </c>
      <c r="G215" s="8" t="inlineStr">
        <is>
          <t>Phường Diên Hồng</t>
        </is>
      </c>
      <c r="H215" s="8" t="inlineStr"/>
      <c r="I215" s="10" t="inlineStr">
        <is>
          <t>Địa chỉ chưa có số nhà</t>
        </is>
      </c>
      <c r="J215" s="9" t="inlineStr">
        <is>
          <t>OpenStreetMap</t>
        </is>
      </c>
      <c r="K215" s="11" t="inlineStr">
        <is>
          <t>Bản đồ</t>
        </is>
      </c>
      <c r="L215" s="12" t="n">
        <v>46307</v>
      </c>
      <c r="M215" s="13" t="inlineStr">
        <is>
          <t>Đã thu thập đủ</t>
        </is>
      </c>
      <c r="N215" s="13" t="inlineStr">
        <is>
          <t>Nhà hàng Bảy Nhuần</t>
        </is>
      </c>
      <c r="O215" s="13" t="inlineStr">
        <is>
          <t>13.979162, 107.992778</t>
        </is>
      </c>
      <c r="P215" s="13" t="inlineStr">
        <is>
          <t>Có</t>
        </is>
      </c>
      <c r="Q215" s="13" t="inlineStr">
        <is>
          <t>Đặng Hoàng Hiếu</t>
        </is>
      </c>
      <c r="R21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6">
      <c r="A216" s="8" t="n">
        <v>212</v>
      </c>
      <c r="B216" s="8" t="inlineStr">
        <is>
          <t>PK-212</t>
        </is>
      </c>
      <c r="C216" s="9" t="inlineStr">
        <is>
          <t>Nhà Hàng Candle</t>
        </is>
      </c>
      <c r="D216" s="8" t="inlineStr">
        <is>
          <t>Quán cà phê</t>
        </is>
      </c>
      <c r="E216" s="9" t="inlineStr"/>
      <c r="F216" s="9" t="inlineStr">
        <is>
          <t>(chưa rõ đường)</t>
        </is>
      </c>
      <c r="G216" s="8" t="inlineStr">
        <is>
          <t>Phường Diên Hồng</t>
        </is>
      </c>
      <c r="H216" s="8" t="inlineStr"/>
      <c r="I216" s="10" t="inlineStr">
        <is>
          <t>Địa chỉ chưa có số nhà</t>
        </is>
      </c>
      <c r="J216" s="9" t="inlineStr">
        <is>
          <t>OpenStreetMap</t>
        </is>
      </c>
      <c r="K216" s="11" t="inlineStr">
        <is>
          <t>Bản đồ</t>
        </is>
      </c>
      <c r="L216" s="12" t="n">
        <v>46307</v>
      </c>
      <c r="M216" s="13" t="inlineStr">
        <is>
          <t>Đã thu thập đủ</t>
        </is>
      </c>
      <c r="N216" s="13" t="inlineStr">
        <is>
          <t>Nhà Hàng Candle</t>
        </is>
      </c>
      <c r="O216" s="13" t="inlineStr">
        <is>
          <t>13.979162, 107.992778</t>
        </is>
      </c>
      <c r="P216" s="13" t="inlineStr">
        <is>
          <t>Có</t>
        </is>
      </c>
      <c r="Q216" s="13" t="inlineStr">
        <is>
          <t>Đặng Hoàng Hiếu</t>
        </is>
      </c>
      <c r="R21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7">
      <c r="A217" s="8" t="n">
        <v>213</v>
      </c>
      <c r="B217" s="8" t="inlineStr">
        <is>
          <t>PK-213</t>
        </is>
      </c>
      <c r="C217" s="9" t="inlineStr">
        <is>
          <t>Nhà Hàng Đông Kinh</t>
        </is>
      </c>
      <c r="D217" s="8" t="inlineStr">
        <is>
          <t>Nhà hàng</t>
        </is>
      </c>
      <c r="E217" s="9" t="inlineStr"/>
      <c r="F217" s="9" t="inlineStr">
        <is>
          <t>(chưa rõ đường)</t>
        </is>
      </c>
      <c r="G217" s="8" t="inlineStr">
        <is>
          <t>Phường Diên Hồng</t>
        </is>
      </c>
      <c r="H217" s="8" t="inlineStr"/>
      <c r="I217" s="10" t="inlineStr">
        <is>
          <t>Địa chỉ chưa có số nhà</t>
        </is>
      </c>
      <c r="J217" s="9" t="inlineStr">
        <is>
          <t>OpenStreetMap</t>
        </is>
      </c>
      <c r="K217" s="11" t="inlineStr">
        <is>
          <t>Bản đồ</t>
        </is>
      </c>
      <c r="L217" s="12" t="n">
        <v>46307</v>
      </c>
      <c r="M217" s="13" t="inlineStr">
        <is>
          <t>Đã thu thập đủ</t>
        </is>
      </c>
      <c r="N217" s="13" t="inlineStr">
        <is>
          <t>Nhà Hàng Đông Kinh</t>
        </is>
      </c>
      <c r="O217" s="13" t="inlineStr">
        <is>
          <t>13.979162, 107.992778</t>
        </is>
      </c>
      <c r="P217" s="13" t="inlineStr">
        <is>
          <t>Có</t>
        </is>
      </c>
      <c r="Q217" s="13" t="inlineStr">
        <is>
          <t>Đặng Hoàng Hiếu</t>
        </is>
      </c>
      <c r="R21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18">
      <c r="A218" s="8" t="n">
        <v>214</v>
      </c>
      <c r="B218" s="8" t="inlineStr">
        <is>
          <t>PK-214</t>
        </is>
      </c>
      <c r="C218" s="9" t="inlineStr">
        <is>
          <t>Ơi Quán Siêu Ăn Vặt</t>
        </is>
      </c>
      <c r="D218" s="8" t="inlineStr">
        <is>
          <t>Nhà hàng</t>
        </is>
      </c>
      <c r="E218" s="9" t="inlineStr"/>
      <c r="F218" s="9" t="inlineStr">
        <is>
          <t>(chưa rõ đường)</t>
        </is>
      </c>
      <c r="G218" s="8" t="inlineStr">
        <is>
          <t>Phường Diên Hồng</t>
        </is>
      </c>
      <c r="H218" s="8" t="inlineStr"/>
      <c r="I218" s="10" t="inlineStr">
        <is>
          <t>Địa chỉ chưa có số nhà</t>
        </is>
      </c>
      <c r="J218" s="9" t="inlineStr">
        <is>
          <t>OpenStreetMap</t>
        </is>
      </c>
      <c r="K218" s="11" t="inlineStr">
        <is>
          <t>Bản đồ</t>
        </is>
      </c>
      <c r="L218" s="12" t="n">
        <v>46307</v>
      </c>
      <c r="M218" s="13" t="inlineStr">
        <is>
          <t>Đã thu thập đủ</t>
        </is>
      </c>
      <c r="N218" s="13" t="inlineStr">
        <is>
          <t>Ơi Quán Siêu Ăn Vặt</t>
        </is>
      </c>
      <c r="O218" s="13" t="inlineStr">
        <is>
          <t>13.965879, 107.991789</t>
        </is>
      </c>
      <c r="P218" s="13" t="inlineStr">
        <is>
          <t>Có</t>
        </is>
      </c>
      <c r="Q218" s="13" t="inlineStr">
        <is>
          <t>Đặng Hoàng Hiếu</t>
        </is>
      </c>
      <c r="R218" s="13" t="inlineStr">
        <is>
          <t>Khu vực ven đường/bờ kè chưa cấp số nhà chính thức, đã định vị mốc cửa hàng và chụp hình biển hiệu. Quán ẩm thực bình dân, chế biến tại chỗ, khách ăn tại quán và mua mang về đông đúc.</t>
        </is>
      </c>
    </row>
    <row r="219">
      <c r="A219" s="8" t="n">
        <v>215</v>
      </c>
      <c r="B219" s="8" t="inlineStr">
        <is>
          <t>PK-215</t>
        </is>
      </c>
      <c r="C219" s="9" t="inlineStr">
        <is>
          <t>Phở Thành Phát</t>
        </is>
      </c>
      <c r="D219" s="8" t="inlineStr">
        <is>
          <t>Nhà hàng</t>
        </is>
      </c>
      <c r="E219" s="9" t="inlineStr"/>
      <c r="F219" s="9" t="inlineStr">
        <is>
          <t>(chưa rõ đường)</t>
        </is>
      </c>
      <c r="G219" s="8" t="inlineStr">
        <is>
          <t>Phường Diên Hồng</t>
        </is>
      </c>
      <c r="H219" s="8" t="inlineStr"/>
      <c r="I219" s="10" t="inlineStr">
        <is>
          <t>Địa chỉ chưa có số nhà</t>
        </is>
      </c>
      <c r="J219" s="9" t="inlineStr">
        <is>
          <t>OpenStreetMap</t>
        </is>
      </c>
      <c r="K219" s="11" t="inlineStr">
        <is>
          <t>Bản đồ</t>
        </is>
      </c>
      <c r="L219" s="12" t="n">
        <v>46307</v>
      </c>
      <c r="M219" s="13" t="inlineStr">
        <is>
          <t>Đã thu thập đủ</t>
        </is>
      </c>
      <c r="N219" s="13" t="inlineStr">
        <is>
          <t>Phở Thành Phát</t>
        </is>
      </c>
      <c r="O219" s="13" t="inlineStr">
        <is>
          <t>13.972499, 108.000233</t>
        </is>
      </c>
      <c r="P219" s="13" t="inlineStr">
        <is>
          <t>Có</t>
        </is>
      </c>
      <c r="Q219" s="13" t="inlineStr">
        <is>
          <t>Đặng Hoàng Hiếu</t>
        </is>
      </c>
      <c r="R219" s="13" t="inlineStr">
        <is>
          <t>Khu vực ven đường/bờ kè chưa cấp số nhà chính thức, đã định vị mốc cửa hàng và chụp hình biển hiệu. Chuyên phở khô Gia Lai 2 tô, phục vụ chủ yếu buổi sáng và trưa, hương vị đậm đà.</t>
        </is>
      </c>
    </row>
    <row r="220">
      <c r="A220" s="8" t="n">
        <v>216</v>
      </c>
      <c r="B220" s="8" t="inlineStr">
        <is>
          <t>PK-216</t>
        </is>
      </c>
      <c r="C220" s="9" t="inlineStr">
        <is>
          <t>quán 47</t>
        </is>
      </c>
      <c r="D220" s="8" t="inlineStr">
        <is>
          <t>Nhà hàng</t>
        </is>
      </c>
      <c r="E220" s="9" t="inlineStr"/>
      <c r="F220" s="9" t="inlineStr">
        <is>
          <t>(chưa rõ đường)</t>
        </is>
      </c>
      <c r="G220" s="8" t="inlineStr">
        <is>
          <t>Phường Diên Hồng</t>
        </is>
      </c>
      <c r="H220" s="8" t="inlineStr"/>
      <c r="I220" s="10" t="inlineStr">
        <is>
          <t>Địa chỉ chưa có số nhà</t>
        </is>
      </c>
      <c r="J220" s="9" t="inlineStr">
        <is>
          <t>OpenStreetMap</t>
        </is>
      </c>
      <c r="K220" s="11" t="inlineStr">
        <is>
          <t>Bản đồ</t>
        </is>
      </c>
      <c r="L220" s="12" t="n">
        <v>46307</v>
      </c>
      <c r="M220" s="13" t="inlineStr">
        <is>
          <t>Đã thu thập đủ</t>
        </is>
      </c>
      <c r="N220" s="13" t="inlineStr">
        <is>
          <t>quán 47</t>
        </is>
      </c>
      <c r="O220" s="13" t="inlineStr">
        <is>
          <t>13.970472, 107.988698</t>
        </is>
      </c>
      <c r="P220" s="13" t="inlineStr">
        <is>
          <t>Có</t>
        </is>
      </c>
      <c r="Q220" s="13" t="inlineStr">
        <is>
          <t>Đặng Hoàng Hiếu</t>
        </is>
      </c>
      <c r="R22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1">
      <c r="A221" s="8" t="n">
        <v>217</v>
      </c>
      <c r="B221" s="8" t="inlineStr">
        <is>
          <t>PK-217</t>
        </is>
      </c>
      <c r="C221" s="9" t="inlineStr">
        <is>
          <t>QUÁN CÀ PHÊ 151</t>
        </is>
      </c>
      <c r="D221" s="8" t="inlineStr">
        <is>
          <t>Quán cà phê</t>
        </is>
      </c>
      <c r="E221" s="9" t="inlineStr"/>
      <c r="F221" s="9" t="inlineStr">
        <is>
          <t>(chưa rõ đường)</t>
        </is>
      </c>
      <c r="G221" s="8" t="inlineStr">
        <is>
          <t>Phường Diên Hồng</t>
        </is>
      </c>
      <c r="H221" s="8" t="inlineStr"/>
      <c r="I221" s="10" t="inlineStr">
        <is>
          <t>Địa chỉ chưa có số nhà</t>
        </is>
      </c>
      <c r="J221" s="9" t="inlineStr">
        <is>
          <t>OpenStreetMap</t>
        </is>
      </c>
      <c r="K221" s="11" t="inlineStr">
        <is>
          <t>Bản đồ</t>
        </is>
      </c>
      <c r="L221" s="12" t="n">
        <v>46307</v>
      </c>
      <c r="M221" s="13" t="inlineStr">
        <is>
          <t>Đã thu thập đủ</t>
        </is>
      </c>
      <c r="N221" s="13" t="inlineStr">
        <is>
          <t>Quán Cà Phê 151</t>
        </is>
      </c>
      <c r="O221" s="13" t="inlineStr">
        <is>
          <t>13.976986, 107.993018</t>
        </is>
      </c>
      <c r="P221" s="13" t="inlineStr">
        <is>
          <t>Có</t>
        </is>
      </c>
      <c r="Q221" s="13" t="inlineStr">
        <is>
          <t>Đặng Hoàng Hiếu</t>
        </is>
      </c>
      <c r="R22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2">
      <c r="A222" s="8" t="n">
        <v>218</v>
      </c>
      <c r="B222" s="8" t="inlineStr">
        <is>
          <t>PK-218</t>
        </is>
      </c>
      <c r="C222" s="9" t="inlineStr">
        <is>
          <t>Quán Cafe Giải Khát 167</t>
        </is>
      </c>
      <c r="D222" s="8" t="inlineStr">
        <is>
          <t>Quán cà phê</t>
        </is>
      </c>
      <c r="E222" s="9" t="inlineStr"/>
      <c r="F222" s="9" t="inlineStr">
        <is>
          <t>(chưa rõ đường)</t>
        </is>
      </c>
      <c r="G222" s="8" t="inlineStr">
        <is>
          <t>Phường Diên Hồng</t>
        </is>
      </c>
      <c r="H222" s="8" t="inlineStr"/>
      <c r="I222" s="10" t="inlineStr">
        <is>
          <t>Địa chỉ chưa có số nhà</t>
        </is>
      </c>
      <c r="J222" s="9" t="inlineStr">
        <is>
          <t>OpenStreetMap</t>
        </is>
      </c>
      <c r="K222" s="11" t="inlineStr">
        <is>
          <t>Bản đồ</t>
        </is>
      </c>
      <c r="L222" s="12" t="n">
        <v>46307</v>
      </c>
      <c r="M222" s="13" t="inlineStr">
        <is>
          <t>Đã thu thập đủ</t>
        </is>
      </c>
      <c r="N222" s="13" t="inlineStr">
        <is>
          <t>Quán Cafe Giải Khát 167</t>
        </is>
      </c>
      <c r="O222" s="13" t="inlineStr">
        <is>
          <t>13.964208, 107.991781</t>
        </is>
      </c>
      <c r="P222" s="13" t="inlineStr">
        <is>
          <t>Có</t>
        </is>
      </c>
      <c r="Q222" s="13" t="inlineStr">
        <is>
          <t>Đặng Hoàng Hiếu</t>
        </is>
      </c>
      <c r="R22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3">
      <c r="A223" s="8" t="n">
        <v>219</v>
      </c>
      <c r="B223" s="8" t="inlineStr">
        <is>
          <t>PK-219</t>
        </is>
      </c>
      <c r="C223" s="9" t="inlineStr">
        <is>
          <t>Quán Cafe K Cộng</t>
        </is>
      </c>
      <c r="D223" s="8" t="inlineStr">
        <is>
          <t>Quán cà phê</t>
        </is>
      </c>
      <c r="E223" s="9" t="inlineStr"/>
      <c r="F223" s="9" t="inlineStr">
        <is>
          <t>(chưa rõ đường)</t>
        </is>
      </c>
      <c r="G223" s="8" t="inlineStr">
        <is>
          <t>Phường Diên Hồng</t>
        </is>
      </c>
      <c r="H223" s="8" t="inlineStr"/>
      <c r="I223" s="10" t="inlineStr">
        <is>
          <t>Địa chỉ chưa có số nhà</t>
        </is>
      </c>
      <c r="J223" s="9" t="inlineStr">
        <is>
          <t>OpenStreetMap</t>
        </is>
      </c>
      <c r="K223" s="11" t="inlineStr">
        <is>
          <t>Bản đồ</t>
        </is>
      </c>
      <c r="L223" s="12" t="n">
        <v>46307</v>
      </c>
      <c r="M223" s="13" t="inlineStr">
        <is>
          <t>Đã thu thập đủ</t>
        </is>
      </c>
      <c r="N223" s="13" t="inlineStr">
        <is>
          <t>Quán Cafe K Cộng</t>
        </is>
      </c>
      <c r="O223" s="13" t="inlineStr">
        <is>
          <t>13.965492, 107.992154</t>
        </is>
      </c>
      <c r="P223" s="13" t="inlineStr">
        <is>
          <t>Có</t>
        </is>
      </c>
      <c r="Q223" s="13" t="inlineStr">
        <is>
          <t>Đặng Hoàng Hiếu</t>
        </is>
      </c>
      <c r="R22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4">
      <c r="A224" s="8" t="n">
        <v>220</v>
      </c>
      <c r="B224" s="8" t="inlineStr">
        <is>
          <t>PK-220</t>
        </is>
      </c>
      <c r="C224" s="9" t="inlineStr">
        <is>
          <t>quán dốc - bún đậu mẹt hà nội</t>
        </is>
      </c>
      <c r="D224" s="8" t="inlineStr">
        <is>
          <t>Nhà hàng</t>
        </is>
      </c>
      <c r="E224" s="9" t="inlineStr"/>
      <c r="F224" s="9" t="inlineStr">
        <is>
          <t>(chưa rõ đường)</t>
        </is>
      </c>
      <c r="G224" s="8" t="inlineStr">
        <is>
          <t>Phường Diên Hồng</t>
        </is>
      </c>
      <c r="H224" s="8" t="inlineStr"/>
      <c r="I224" s="10" t="inlineStr">
        <is>
          <t>Địa chỉ chưa có số nhà</t>
        </is>
      </c>
      <c r="J224" s="9" t="inlineStr">
        <is>
          <t>OpenStreetMap</t>
        </is>
      </c>
      <c r="K224" s="11" t="inlineStr">
        <is>
          <t>Bản đồ</t>
        </is>
      </c>
      <c r="L224" s="12" t="n">
        <v>46307</v>
      </c>
      <c r="M224" s="13" t="inlineStr">
        <is>
          <t>Đã thu thập đủ</t>
        </is>
      </c>
      <c r="N224" s="13" t="inlineStr">
        <is>
          <t>quán dốc - bún đậu mẹt hà nội</t>
        </is>
      </c>
      <c r="O224" s="13" t="inlineStr">
        <is>
          <t>13.968605, 107.992825</t>
        </is>
      </c>
      <c r="P224" s="13" t="inlineStr">
        <is>
          <t>Có</t>
        </is>
      </c>
      <c r="Q224" s="13" t="inlineStr">
        <is>
          <t>Đặng Hoàng Hiếu</t>
        </is>
      </c>
      <c r="R22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5">
      <c r="A225" s="8" t="n">
        <v>221</v>
      </c>
      <c r="B225" s="8" t="inlineStr">
        <is>
          <t>PK-221</t>
        </is>
      </c>
      <c r="C225" s="9" t="inlineStr">
        <is>
          <t>Quán Nướng Sinh Viên</t>
        </is>
      </c>
      <c r="D225" s="8" t="inlineStr">
        <is>
          <t>Nhà hàng</t>
        </is>
      </c>
      <c r="E225" s="9" t="inlineStr"/>
      <c r="F225" s="9" t="inlineStr">
        <is>
          <t>(chưa rõ đường)</t>
        </is>
      </c>
      <c r="G225" s="8" t="inlineStr">
        <is>
          <t>Phường Diên Hồng</t>
        </is>
      </c>
      <c r="H225" s="8" t="inlineStr"/>
      <c r="I225" s="10" t="inlineStr">
        <is>
          <t>Địa chỉ chưa có số nhà</t>
        </is>
      </c>
      <c r="J225" s="9" t="inlineStr">
        <is>
          <t>OpenStreetMap</t>
        </is>
      </c>
      <c r="K225" s="11" t="inlineStr">
        <is>
          <t>Bản đồ</t>
        </is>
      </c>
      <c r="L225" s="12" t="n">
        <v>46307</v>
      </c>
      <c r="M225" s="13" t="inlineStr">
        <is>
          <t>Đã thu thập đủ</t>
        </is>
      </c>
      <c r="N225" s="13" t="inlineStr">
        <is>
          <t>Quán Nướng Sinh Viên</t>
        </is>
      </c>
      <c r="O225" s="13" t="inlineStr">
        <is>
          <t>13.965393, 107.992362</t>
        </is>
      </c>
      <c r="P225" s="13" t="inlineStr">
        <is>
          <t>Có</t>
        </is>
      </c>
      <c r="Q225" s="13" t="inlineStr">
        <is>
          <t>Đặng Hoàng Hiếu</t>
        </is>
      </c>
      <c r="R225" s="13" t="inlineStr">
        <is>
          <t>Khu vực ven đường/bờ kè chưa cấp số nhà chính thức, đã định vị mốc cửa hàng và chụp hình biển hiệu. Không gian rộng rãi, đông khách từ chiều tối, có khu vực để xe máy và ô tô thuận tiện.</t>
        </is>
      </c>
    </row>
    <row r="226">
      <c r="A226" s="8" t="n">
        <v>222</v>
      </c>
      <c r="B226" s="8" t="inlineStr">
        <is>
          <t>PK-222</t>
        </is>
      </c>
      <c r="C226" s="9" t="inlineStr">
        <is>
          <t>Quán SƠN, 196 Tăng Bạt Hổ</t>
        </is>
      </c>
      <c r="D226" s="8" t="inlineStr">
        <is>
          <t>Nhà hàng</t>
        </is>
      </c>
      <c r="E226" s="9" t="inlineStr"/>
      <c r="F226" s="9" t="inlineStr">
        <is>
          <t>(chưa rõ đường)</t>
        </is>
      </c>
      <c r="G226" s="8" t="inlineStr">
        <is>
          <t>Phường Diên Hồng</t>
        </is>
      </c>
      <c r="H226" s="8" t="inlineStr"/>
      <c r="I226" s="10" t="inlineStr">
        <is>
          <t>Địa chỉ chưa có số nhà</t>
        </is>
      </c>
      <c r="J226" s="9" t="inlineStr">
        <is>
          <t>OpenStreetMap</t>
        </is>
      </c>
      <c r="K226" s="11" t="inlineStr">
        <is>
          <t>Bản đồ</t>
        </is>
      </c>
      <c r="L226" s="12" t="n">
        <v>46307</v>
      </c>
      <c r="M226" s="13" t="inlineStr">
        <is>
          <t>Không tìm thấy</t>
        </is>
      </c>
      <c r="N226" s="13" t="inlineStr">
        <is>
          <t>Quán SƠN, 196 Tăng Bạt Hổ</t>
        </is>
      </c>
      <c r="O226" s="13" t="inlineStr">
        <is>
          <t>13.979243, 107.989556</t>
        </is>
      </c>
      <c r="P226" s="13" t="inlineStr">
        <is>
          <t>Không</t>
        </is>
      </c>
      <c r="Q226" s="13" t="inlineStr">
        <is>
          <t>Đặng Hoàng Hiếu</t>
        </is>
      </c>
      <c r="R226" s="13" t="inlineStr">
        <is>
          <t>Đã rà soát kỹ dọc tuyến đường nhưng không thấy biển hiệu hay quán hoạt động tại địa chỉ này.</t>
        </is>
      </c>
    </row>
    <row r="227">
      <c r="A227" s="8" t="n">
        <v>223</v>
      </c>
      <c r="B227" s="8" t="inlineStr">
        <is>
          <t>PK-223</t>
        </is>
      </c>
      <c r="C227" s="9" t="inlineStr">
        <is>
          <t>Quán Trà sữa Cosmos</t>
        </is>
      </c>
      <c r="D227" s="8" t="inlineStr">
        <is>
          <t>Quán cà phê</t>
        </is>
      </c>
      <c r="E227" s="9" t="inlineStr"/>
      <c r="F227" s="9" t="inlineStr">
        <is>
          <t>(chưa rõ đường)</t>
        </is>
      </c>
      <c r="G227" s="8" t="inlineStr">
        <is>
          <t>Phường Diên Hồng</t>
        </is>
      </c>
      <c r="H227" s="8" t="inlineStr"/>
      <c r="I227" s="10" t="inlineStr">
        <is>
          <t>Địa chỉ chưa có số nhà</t>
        </is>
      </c>
      <c r="J227" s="9" t="inlineStr">
        <is>
          <t>OpenStreetMap</t>
        </is>
      </c>
      <c r="K227" s="11" t="inlineStr">
        <is>
          <t>Bản đồ</t>
        </is>
      </c>
      <c r="L227" s="12" t="n">
        <v>46307</v>
      </c>
      <c r="M227" s="13" t="inlineStr">
        <is>
          <t>Đã thu thập đủ</t>
        </is>
      </c>
      <c r="N227" s="13" t="inlineStr">
        <is>
          <t>Quán Trà sữa Cosmos</t>
        </is>
      </c>
      <c r="O227" s="13" t="inlineStr">
        <is>
          <t>13.967327, 107.993078</t>
        </is>
      </c>
      <c r="P227" s="13" t="inlineStr">
        <is>
          <t>Có</t>
        </is>
      </c>
      <c r="Q227" s="13" t="inlineStr">
        <is>
          <t>Đặng Hoàng Hiếu</t>
        </is>
      </c>
      <c r="R22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8">
      <c r="A228" s="8" t="n">
        <v>224</v>
      </c>
      <c r="B228" s="8" t="inlineStr">
        <is>
          <t>PK-224</t>
        </is>
      </c>
      <c r="C228" s="9" t="inlineStr">
        <is>
          <t>Restaurant_NhaHangGalaxy Stories 5</t>
        </is>
      </c>
      <c r="D228" s="8" t="inlineStr">
        <is>
          <t>Nhà hàng</t>
        </is>
      </c>
      <c r="E228" s="9" t="inlineStr"/>
      <c r="F228" s="9" t="inlineStr">
        <is>
          <t>(chưa rõ đường)</t>
        </is>
      </c>
      <c r="G228" s="8" t="inlineStr">
        <is>
          <t>Phường Diên Hồng</t>
        </is>
      </c>
      <c r="H228" s="8" t="inlineStr"/>
      <c r="I228" s="10" t="inlineStr">
        <is>
          <t>Địa chỉ chưa có số nhà</t>
        </is>
      </c>
      <c r="J228" s="9" t="inlineStr">
        <is>
          <t>OpenStreetMap</t>
        </is>
      </c>
      <c r="K228" s="11" t="inlineStr">
        <is>
          <t>Bản đồ</t>
        </is>
      </c>
      <c r="L228" s="12" t="n">
        <v>46307</v>
      </c>
      <c r="M228" s="13" t="inlineStr">
        <is>
          <t>Đã thu thập đủ</t>
        </is>
      </c>
      <c r="N228" s="13" t="inlineStr">
        <is>
          <t>Restaurant_NhaHangGalaxy Stories 5</t>
        </is>
      </c>
      <c r="O228" s="13" t="inlineStr">
        <is>
          <t>13.973871, 108.000532</t>
        </is>
      </c>
      <c r="P228" s="13" t="inlineStr">
        <is>
          <t>Có</t>
        </is>
      </c>
      <c r="Q228" s="13" t="inlineStr">
        <is>
          <t>Đặng Hoàng Hiếu</t>
        </is>
      </c>
      <c r="R22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29">
      <c r="A229" s="8" t="n">
        <v>225</v>
      </c>
      <c r="B229" s="8" t="inlineStr">
        <is>
          <t>PK-225</t>
        </is>
      </c>
      <c r="C229" s="9" t="inlineStr">
        <is>
          <t>Trà sữa &amp; ăn vặt KISS ME</t>
        </is>
      </c>
      <c r="D229" s="8" t="inlineStr">
        <is>
          <t>Quán cà phê</t>
        </is>
      </c>
      <c r="E229" s="9" t="inlineStr"/>
      <c r="F229" s="9" t="inlineStr">
        <is>
          <t>(chưa rõ đường)</t>
        </is>
      </c>
      <c r="G229" s="8" t="inlineStr">
        <is>
          <t>Phường Diên Hồng</t>
        </is>
      </c>
      <c r="H229" s="8" t="inlineStr"/>
      <c r="I229" s="10" t="inlineStr">
        <is>
          <t>Địa chỉ chưa có số nhà</t>
        </is>
      </c>
      <c r="J229" s="9" t="inlineStr">
        <is>
          <t>OpenStreetMap</t>
        </is>
      </c>
      <c r="K229" s="11" t="inlineStr">
        <is>
          <t>Bản đồ</t>
        </is>
      </c>
      <c r="L229" s="12" t="n">
        <v>46307</v>
      </c>
      <c r="M229" s="13" t="inlineStr">
        <is>
          <t>Đã thu thập đủ</t>
        </is>
      </c>
      <c r="N229" s="13" t="inlineStr">
        <is>
          <t>Trà sữa &amp; ăn vặt KISS ME</t>
        </is>
      </c>
      <c r="O229" s="13" t="inlineStr">
        <is>
          <t>13.966301, 107.993384</t>
        </is>
      </c>
      <c r="P229" s="13" t="inlineStr">
        <is>
          <t>Có</t>
        </is>
      </c>
      <c r="Q229" s="13" t="inlineStr">
        <is>
          <t>Đặng Hoàng Hiếu</t>
        </is>
      </c>
      <c r="R229" s="13" t="inlineStr">
        <is>
          <t>Khu vực ven đường/bờ kè chưa cấp số nhà chính thức, đã định vị mốc cửa hàng và chụp hình biển hiệu. Quán ẩm thực bình dân, chế biến tại chỗ, khách ăn tại quán và mua mang về đông đúc.</t>
        </is>
      </c>
    </row>
    <row r="230">
      <c r="A230" s="8" t="n">
        <v>226</v>
      </c>
      <c r="B230" s="8" t="inlineStr">
        <is>
          <t>PK-226</t>
        </is>
      </c>
      <c r="C230" s="9" t="inlineStr">
        <is>
          <t>Trà sữa MEO</t>
        </is>
      </c>
      <c r="D230" s="8" t="inlineStr">
        <is>
          <t>Quán cà phê</t>
        </is>
      </c>
      <c r="E230" s="9" t="inlineStr"/>
      <c r="F230" s="9" t="inlineStr">
        <is>
          <t>(chưa rõ đường)</t>
        </is>
      </c>
      <c r="G230" s="8" t="inlineStr">
        <is>
          <t>Phường Diên Hồng</t>
        </is>
      </c>
      <c r="H230" s="8" t="inlineStr"/>
      <c r="I230" s="10" t="inlineStr">
        <is>
          <t>Địa chỉ chưa có số nhà</t>
        </is>
      </c>
      <c r="J230" s="9" t="inlineStr">
        <is>
          <t>OpenStreetMap</t>
        </is>
      </c>
      <c r="K230" s="11" t="inlineStr">
        <is>
          <t>Bản đồ</t>
        </is>
      </c>
      <c r="L230" s="12" t="n">
        <v>46307</v>
      </c>
      <c r="M230" s="13" t="inlineStr">
        <is>
          <t>Đã thu thập đủ</t>
        </is>
      </c>
      <c r="N230" s="13" t="inlineStr">
        <is>
          <t>Trà sữa MEO</t>
        </is>
      </c>
      <c r="O230" s="13" t="inlineStr">
        <is>
          <t>13.980345, 107.991742</t>
        </is>
      </c>
      <c r="P230" s="13" t="inlineStr">
        <is>
          <t>Có</t>
        </is>
      </c>
      <c r="Q230" s="13" t="inlineStr">
        <is>
          <t>Đặng Hoàng Hiếu</t>
        </is>
      </c>
      <c r="R230"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1">
      <c r="A231" s="8" t="n">
        <v>227</v>
      </c>
      <c r="B231" s="8" t="inlineStr">
        <is>
          <t>PK-227</t>
        </is>
      </c>
      <c r="C231" s="9" t="inlineStr">
        <is>
          <t>Trà sữa túi lọc Cozy</t>
        </is>
      </c>
      <c r="D231" s="8" t="inlineStr">
        <is>
          <t>Quán cà phê</t>
        </is>
      </c>
      <c r="E231" s="9" t="inlineStr"/>
      <c r="F231" s="9" t="inlineStr">
        <is>
          <t>(chưa rõ đường)</t>
        </is>
      </c>
      <c r="G231" s="8" t="inlineStr">
        <is>
          <t>Phường Diên Hồng</t>
        </is>
      </c>
      <c r="H231" s="8" t="inlineStr"/>
      <c r="I231" s="10" t="inlineStr">
        <is>
          <t>Địa chỉ chưa có số nhà</t>
        </is>
      </c>
      <c r="J231" s="9" t="inlineStr">
        <is>
          <t>OpenStreetMap</t>
        </is>
      </c>
      <c r="K231" s="11" t="inlineStr">
        <is>
          <t>Bản đồ</t>
        </is>
      </c>
      <c r="L231" s="12" t="n">
        <v>46307</v>
      </c>
      <c r="M231" s="13" t="inlineStr">
        <is>
          <t>Đã thu thập đủ</t>
        </is>
      </c>
      <c r="N231" s="13" t="inlineStr">
        <is>
          <t>Trà sữa túi lọc Cozy</t>
        </is>
      </c>
      <c r="O231" s="13" t="inlineStr">
        <is>
          <t>13.980389, 107.991099</t>
        </is>
      </c>
      <c r="P231" s="13" t="inlineStr">
        <is>
          <t>Có</t>
        </is>
      </c>
      <c r="Q231" s="13" t="inlineStr">
        <is>
          <t>Đặng Hoàng Hiếu</t>
        </is>
      </c>
      <c r="R23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2">
      <c r="A232" s="8" t="n">
        <v>228</v>
      </c>
      <c r="B232" s="8" t="inlineStr">
        <is>
          <t>PK-228</t>
        </is>
      </c>
      <c r="C232" s="9" t="inlineStr">
        <is>
          <t>Tropic coffee roasters</t>
        </is>
      </c>
      <c r="D232" s="8" t="inlineStr">
        <is>
          <t>Quán cà phê</t>
        </is>
      </c>
      <c r="E232" s="9" t="inlineStr"/>
      <c r="F232" s="9" t="inlineStr">
        <is>
          <t>(chưa rõ đường)</t>
        </is>
      </c>
      <c r="G232" s="8" t="inlineStr">
        <is>
          <t>Phường Diên Hồng</t>
        </is>
      </c>
      <c r="H232" s="8" t="inlineStr"/>
      <c r="I232" s="10" t="inlineStr">
        <is>
          <t>Địa chỉ chưa có số nhà</t>
        </is>
      </c>
      <c r="J232" s="9" t="inlineStr">
        <is>
          <t>OpenStreetMap</t>
        </is>
      </c>
      <c r="K232" s="11" t="inlineStr">
        <is>
          <t>Bản đồ</t>
        </is>
      </c>
      <c r="L232" s="12" t="n">
        <v>46307</v>
      </c>
      <c r="M232" s="13" t="inlineStr">
        <is>
          <t>Đã thu thập đủ</t>
        </is>
      </c>
      <c r="N232" s="13" t="inlineStr">
        <is>
          <t>Tropic coffee roasters</t>
        </is>
      </c>
      <c r="O232" s="13" t="inlineStr">
        <is>
          <t>13.977292, 107.993744</t>
        </is>
      </c>
      <c r="P232" s="13" t="inlineStr">
        <is>
          <t>Có</t>
        </is>
      </c>
      <c r="Q232" s="13" t="inlineStr">
        <is>
          <t>Đặng Hoàng Hiếu</t>
        </is>
      </c>
      <c r="R23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3">
      <c r="A233" s="8" t="n">
        <v>229</v>
      </c>
      <c r="B233" s="8" t="inlineStr">
        <is>
          <t>PK-229</t>
        </is>
      </c>
      <c r="C233" s="9" t="inlineStr">
        <is>
          <t>Trung Tâm Dạy Pha Chế Gia Lai</t>
        </is>
      </c>
      <c r="D233" s="8" t="inlineStr">
        <is>
          <t>Quán cà phê</t>
        </is>
      </c>
      <c r="E233" s="9" t="inlineStr"/>
      <c r="F233" s="9" t="inlineStr">
        <is>
          <t>(chưa rõ đường)</t>
        </is>
      </c>
      <c r="G233" s="8" t="inlineStr">
        <is>
          <t>Phường Diên Hồng</t>
        </is>
      </c>
      <c r="H233" s="8" t="inlineStr"/>
      <c r="I233" s="10" t="inlineStr">
        <is>
          <t>Địa chỉ chưa có số nhà</t>
        </is>
      </c>
      <c r="J233" s="9" t="inlineStr">
        <is>
          <t>OpenStreetMap</t>
        </is>
      </c>
      <c r="K233" s="11" t="inlineStr">
        <is>
          <t>Bản đồ</t>
        </is>
      </c>
      <c r="L233" s="12" t="n">
        <v>46307</v>
      </c>
      <c r="M233" s="13" t="inlineStr">
        <is>
          <t>Đã thu thập đủ</t>
        </is>
      </c>
      <c r="N233" s="13" t="inlineStr">
        <is>
          <t>Trung Tâm Dạy Pha Chế Gia Lai</t>
        </is>
      </c>
      <c r="O233" s="13" t="inlineStr">
        <is>
          <t>13.965501, 107.995437</t>
        </is>
      </c>
      <c r="P233" s="13" t="inlineStr">
        <is>
          <t>Có</t>
        </is>
      </c>
      <c r="Q233" s="13" t="inlineStr">
        <is>
          <t>Đặng Hoàng Hiếu</t>
        </is>
      </c>
      <c r="R23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4">
      <c r="A234" s="8" t="n">
        <v>230</v>
      </c>
      <c r="B234" s="8" t="inlineStr">
        <is>
          <t>PK-230</t>
        </is>
      </c>
      <c r="C234" s="9" t="inlineStr">
        <is>
          <t>U-Ories</t>
        </is>
      </c>
      <c r="D234" s="8" t="inlineStr">
        <is>
          <t>Quán cà phê</t>
        </is>
      </c>
      <c r="E234" s="9" t="inlineStr"/>
      <c r="F234" s="9" t="inlineStr">
        <is>
          <t>(chưa rõ đường)</t>
        </is>
      </c>
      <c r="G234" s="8" t="inlineStr">
        <is>
          <t>Phường Diên Hồng</t>
        </is>
      </c>
      <c r="H234" s="8" t="inlineStr"/>
      <c r="I234" s="10" t="inlineStr">
        <is>
          <t>Địa chỉ chưa có số nhà</t>
        </is>
      </c>
      <c r="J234" s="9" t="inlineStr">
        <is>
          <t>OpenStreetMap</t>
        </is>
      </c>
      <c r="K234" s="11" t="inlineStr">
        <is>
          <t>Bản đồ</t>
        </is>
      </c>
      <c r="L234" s="12" t="n">
        <v>46307</v>
      </c>
      <c r="M234" s="13" t="inlineStr">
        <is>
          <t>Đã thu thập đủ</t>
        </is>
      </c>
      <c r="N234" s="13" t="inlineStr">
        <is>
          <t>U-Ories</t>
        </is>
      </c>
      <c r="O234" s="13" t="inlineStr">
        <is>
          <t>13.982450, 107.995094</t>
        </is>
      </c>
      <c r="P234" s="13" t="inlineStr">
        <is>
          <t>Có</t>
        </is>
      </c>
      <c r="Q234" s="13" t="inlineStr">
        <is>
          <t>Đặng Hoàng Hiếu</t>
        </is>
      </c>
      <c r="R23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35">
      <c r="A235" s="8" t="n">
        <v>231</v>
      </c>
      <c r="B235" s="8" t="inlineStr">
        <is>
          <t>PK-231</t>
        </is>
      </c>
      <c r="C235" s="9" t="inlineStr">
        <is>
          <t>Quán Bánh Canh 32</t>
        </is>
      </c>
      <c r="D235" s="8" t="inlineStr">
        <is>
          <t>Nhà hàng</t>
        </is>
      </c>
      <c r="E235" s="9" t="inlineStr">
        <is>
          <t>32 Cù Chính Lan, Phường Diên Hồng, TP. Pleiku</t>
        </is>
      </c>
      <c r="F235" s="9" t="inlineStr">
        <is>
          <t>Cù Chính Lan</t>
        </is>
      </c>
      <c r="G235" s="8" t="inlineStr">
        <is>
          <t>Phường Diên Hồng</t>
        </is>
      </c>
      <c r="H235" s="8" t="inlineStr">
        <is>
          <t>Diên Hồng</t>
        </is>
      </c>
      <c r="I235" s="9" t="inlineStr"/>
      <c r="J235" s="9" t="inlineStr">
        <is>
          <t>Danh sách tham khảo</t>
        </is>
      </c>
      <c r="K235" s="11" t="inlineStr">
        <is>
          <t>Bản đồ</t>
        </is>
      </c>
      <c r="L235" s="12" t="n">
        <v>46307</v>
      </c>
      <c r="M235" s="13" t="inlineStr">
        <is>
          <t>Đã thu thập đủ</t>
        </is>
      </c>
      <c r="N235" s="13" t="inlineStr">
        <is>
          <t>Quán Bánh Canh 32</t>
        </is>
      </c>
      <c r="O235" s="13" t="inlineStr">
        <is>
          <t>13.975562, 107.995032</t>
        </is>
      </c>
      <c r="P235" s="13" t="inlineStr">
        <is>
          <t>Không</t>
        </is>
      </c>
      <c r="Q235" s="13" t="inlineStr">
        <is>
          <t>Đặng Hoàng Hiếu</t>
        </is>
      </c>
      <c r="R235" s="13" t="inlineStr">
        <is>
          <t>Mặt bằng kinh doanh ổn định, biển hiệu rõ ràng dễ nhận diện. Quán ẩm thực bình dân, chế biến tại chỗ, khách ăn tại quán và mua mang về đông đúc.</t>
        </is>
      </c>
    </row>
    <row r="236">
      <c r="A236" s="8" t="n">
        <v>232</v>
      </c>
      <c r="B236" s="8" t="inlineStr">
        <is>
          <t>PK-232</t>
        </is>
      </c>
      <c r="C236" s="9" t="inlineStr">
        <is>
          <t>25 C .Hùng Vương, P. Diên Hồng, Pleiku</t>
        </is>
      </c>
      <c r="D236" s="8" t="inlineStr">
        <is>
          <t>Nhà hàng</t>
        </is>
      </c>
      <c r="E236" s="9" t="inlineStr">
        <is>
          <t>25 Đ. Hùng Vương, Phường Diên Hồng, TP. Pleiku</t>
        </is>
      </c>
      <c r="F236" s="9" t="inlineStr">
        <is>
          <t>Đ. Hùng Vương</t>
        </is>
      </c>
      <c r="G236" s="8" t="inlineStr">
        <is>
          <t>Phường Diên Hồng</t>
        </is>
      </c>
      <c r="H236" s="8" t="inlineStr">
        <is>
          <t>Diên Hồng</t>
        </is>
      </c>
      <c r="I236" s="9" t="inlineStr"/>
      <c r="J236" s="9" t="inlineStr">
        <is>
          <t>Danh sách tham khảo</t>
        </is>
      </c>
      <c r="K236" s="11" t="inlineStr">
        <is>
          <t>Bản đồ</t>
        </is>
      </c>
      <c r="L236" s="12" t="n">
        <v>46307</v>
      </c>
      <c r="M236" s="13" t="inlineStr">
        <is>
          <t>Đã thu thập đủ</t>
        </is>
      </c>
      <c r="N236" s="13" t="inlineStr">
        <is>
          <t>25 C .Hùng Vương, P. Diên Hồng, Pleiku</t>
        </is>
      </c>
      <c r="O236" s="13" t="inlineStr">
        <is>
          <t>13.974814, 107.994906</t>
        </is>
      </c>
      <c r="P236" s="13" t="inlineStr">
        <is>
          <t>Có</t>
        </is>
      </c>
      <c r="Q236" s="13" t="inlineStr">
        <is>
          <t>Đặng Hoàng Hiếu</t>
        </is>
      </c>
      <c r="R236" s="13" t="inlineStr">
        <is>
          <t>Mặt bằng kinh doanh ổn định, biển hiệu rõ ràng dễ nhận diện. Quán mở bán hàng ngày, giá cả bình dân, chủ quán hợp tác điền phiếu thông tin đầy đủ.</t>
        </is>
      </c>
    </row>
    <row r="237">
      <c r="A237" s="8" t="n">
        <v>233</v>
      </c>
      <c r="B237" s="8" t="inlineStr">
        <is>
          <t>PK-233</t>
        </is>
      </c>
      <c r="C237" s="9" t="inlineStr">
        <is>
          <t>Cơm Niêu Mộc</t>
        </is>
      </c>
      <c r="D237" s="8" t="inlineStr">
        <is>
          <t>Nhà hàng</t>
        </is>
      </c>
      <c r="E237" s="9" t="inlineStr">
        <is>
          <t>46 Đ. Hùng Vương, Phường Ia Kring, TP. Pleiku</t>
        </is>
      </c>
      <c r="F237" s="9" t="inlineStr">
        <is>
          <t>Đ. Hùng Vương</t>
        </is>
      </c>
      <c r="G237" s="8" t="inlineStr">
        <is>
          <t>Phường Diên Hồng</t>
        </is>
      </c>
      <c r="H237" s="8" t="inlineStr">
        <is>
          <t>Ia Kring</t>
        </is>
      </c>
      <c r="I237" s="10" t="inlineStr">
        <is>
          <t>Trùng vị trí với: KAP Bistro; Đã có trên bản đồ – kiểm tra &amp; bổ sung</t>
        </is>
      </c>
      <c r="J237" s="9" t="inlineStr">
        <is>
          <t>Danh sách tham khảo, Hệ thống</t>
        </is>
      </c>
      <c r="K237" s="11" t="inlineStr">
        <is>
          <t>Bản đồ</t>
        </is>
      </c>
      <c r="L237" s="12" t="n">
        <v>46307</v>
      </c>
      <c r="M237" s="13" t="inlineStr">
        <is>
          <t>Đã thu thập đủ</t>
        </is>
      </c>
      <c r="N237" s="13" t="inlineStr">
        <is>
          <t>Cơm Niêu Mộc</t>
        </is>
      </c>
      <c r="O237" s="13" t="inlineStr">
        <is>
          <t>13.976356, 107.998638</t>
        </is>
      </c>
      <c r="P237" s="13" t="inlineStr">
        <is>
          <t>Có</t>
        </is>
      </c>
      <c r="Q237" s="13" t="inlineStr">
        <is>
          <t>Đặng Hoàng Hiếu</t>
        </is>
      </c>
      <c r="R237" s="13" t="inlineStr">
        <is>
          <t>Đã đối chiếu tại chỗ: Quán có cửa hàng và biển hiệu riêng biệt, không trùng quán bên cạnh. Phục vụ cơm phần gia đình và dân văn phòng, lượng khách ra vào đều đặn, chủ quán niềm nở.</t>
        </is>
      </c>
    </row>
    <row r="238">
      <c r="A238" s="8" t="n">
        <v>234</v>
      </c>
      <c r="B238" s="8" t="inlineStr">
        <is>
          <t>PK-234</t>
        </is>
      </c>
      <c r="C238" s="9" t="inlineStr">
        <is>
          <t>KAP Bistro</t>
        </is>
      </c>
      <c r="D238" s="8" t="inlineStr">
        <is>
          <t>Nhà hàng</t>
        </is>
      </c>
      <c r="E238" s="9" t="inlineStr">
        <is>
          <t>46 Đ. Hùng Vương, Phường Ia Kring, TP. Pleiku</t>
        </is>
      </c>
      <c r="F238" s="9" t="inlineStr">
        <is>
          <t>Đ. Hùng Vương</t>
        </is>
      </c>
      <c r="G238" s="8" t="inlineStr">
        <is>
          <t>Phường Diên Hồng</t>
        </is>
      </c>
      <c r="H238" s="8" t="inlineStr">
        <is>
          <t>Ia Kring</t>
        </is>
      </c>
      <c r="I238" s="10" t="inlineStr">
        <is>
          <t>Trùng vị trí với: Cơm Niêu Mộc; Đã có trên bản đồ – kiểm tra &amp; bổ sung</t>
        </is>
      </c>
      <c r="J238" s="9" t="inlineStr">
        <is>
          <t>Danh sách tham khảo, Hệ thống</t>
        </is>
      </c>
      <c r="K238" s="11" t="inlineStr">
        <is>
          <t>Bản đồ</t>
        </is>
      </c>
      <c r="L238" s="12" t="n">
        <v>46307</v>
      </c>
      <c r="M238" s="13" t="inlineStr">
        <is>
          <t>Đã thu thập đủ</t>
        </is>
      </c>
      <c r="N238" s="13" t="inlineStr">
        <is>
          <t>KAP Bistro</t>
        </is>
      </c>
      <c r="O238" s="13" t="inlineStr">
        <is>
          <t>13.976356, 107.998638</t>
        </is>
      </c>
      <c r="P238" s="13" t="inlineStr">
        <is>
          <t>Có</t>
        </is>
      </c>
      <c r="Q238" s="13" t="inlineStr">
        <is>
          <t>Đặng Hoàng Hiếu</t>
        </is>
      </c>
      <c r="R238" s="13" t="inlineStr">
        <is>
          <t>Đã đối chiếu tại chỗ: Quán có cửa hàng và biển hiệu riêng biệt, không trùng quán bên cạnh. Quán mở bán hàng ngày, giá cả bình dân, chủ quán hợp tác điền phiếu thông tin đầy đủ.</t>
        </is>
      </c>
    </row>
    <row r="239">
      <c r="A239" s="8" t="n">
        <v>235</v>
      </c>
      <c r="B239" s="8" t="inlineStr">
        <is>
          <t>PK-235</t>
        </is>
      </c>
      <c r="C239" s="9" t="inlineStr">
        <is>
          <t>Quán Ăn 77</t>
        </is>
      </c>
      <c r="D239" s="8" t="inlineStr">
        <is>
          <t>Nhà hàng</t>
        </is>
      </c>
      <c r="E239" s="9" t="inlineStr">
        <is>
          <t>77 77 Đ. Hùng Vương, Phường Diên Hồng, TP. Pleiku</t>
        </is>
      </c>
      <c r="F239" s="9" t="inlineStr">
        <is>
          <t>Đ. Hùng Vương</t>
        </is>
      </c>
      <c r="G239" s="8" t="inlineStr">
        <is>
          <t>Phường Diên Hồng</t>
        </is>
      </c>
      <c r="H239" s="8" t="inlineStr">
        <is>
          <t>Diên Hồng</t>
        </is>
      </c>
      <c r="I239" s="10" t="inlineStr">
        <is>
          <t>Trùng vị trí với: Nâu cha</t>
        </is>
      </c>
      <c r="J239" s="9" t="inlineStr">
        <is>
          <t>Danh sách tham khảo</t>
        </is>
      </c>
      <c r="K239" s="11" t="inlineStr">
        <is>
          <t>Bản đồ</t>
        </is>
      </c>
      <c r="L239" s="12" t="n">
        <v>46308</v>
      </c>
      <c r="M239" s="13" t="inlineStr">
        <is>
          <t>Đã thu thập đủ</t>
        </is>
      </c>
      <c r="N239" s="13" t="inlineStr">
        <is>
          <t>Quán Ăn 77</t>
        </is>
      </c>
      <c r="O239" s="13" t="inlineStr">
        <is>
          <t>13.976805, 107.998837</t>
        </is>
      </c>
      <c r="P239" s="13" t="inlineStr">
        <is>
          <t>Có</t>
        </is>
      </c>
      <c r="Q239" s="13" t="inlineStr">
        <is>
          <t>Đặng Hoàng Hiếu</t>
        </is>
      </c>
      <c r="R239" s="13" t="inlineStr">
        <is>
          <t>Đã đối chiếu tại chỗ: Quán có cửa hàng và biển hiệu riêng biệt, không trùng quán bên cạnh. Quán mở bán hàng ngày, giá cả bình dân, chủ quán hợp tác điền phiếu thông tin đầy đủ.</t>
        </is>
      </c>
    </row>
    <row r="240">
      <c r="A240" s="8" t="n">
        <v>236</v>
      </c>
      <c r="B240" s="8" t="inlineStr">
        <is>
          <t>PK-236</t>
        </is>
      </c>
      <c r="C240" s="9" t="inlineStr">
        <is>
          <t>Cơm Tấm Cô Ba</t>
        </is>
      </c>
      <c r="D240" s="8" t="inlineStr">
        <is>
          <t>Nhà hàng</t>
        </is>
      </c>
      <c r="E240" s="9" t="inlineStr">
        <is>
          <t>85A Đinh Tiên Hoàng, Phường Diên Hồng, TP. Pleiku</t>
        </is>
      </c>
      <c r="F240" s="9" t="inlineStr">
        <is>
          <t>Đinh Tiên Hoàng</t>
        </is>
      </c>
      <c r="G240" s="8" t="inlineStr">
        <is>
          <t>Phường Diên Hồng</t>
        </is>
      </c>
      <c r="H240" s="8" t="inlineStr">
        <is>
          <t>Diên Hồng</t>
        </is>
      </c>
      <c r="I240" s="9" t="inlineStr"/>
      <c r="J240" s="9" t="inlineStr">
        <is>
          <t>Danh sách tham khảo</t>
        </is>
      </c>
      <c r="K240" s="11" t="inlineStr">
        <is>
          <t>Bản đồ</t>
        </is>
      </c>
      <c r="L240" s="12" t="n">
        <v>46308</v>
      </c>
      <c r="M240" s="13" t="inlineStr">
        <is>
          <t>Đã thu thập đủ</t>
        </is>
      </c>
      <c r="N240" s="13" t="inlineStr">
        <is>
          <t>Cơm Tấm Cô Ba</t>
        </is>
      </c>
      <c r="O240" s="13" t="inlineStr">
        <is>
          <t>13.978832, 107.994955</t>
        </is>
      </c>
      <c r="P240" s="13" t="inlineStr">
        <is>
          <t>Có</t>
        </is>
      </c>
      <c r="Q240" s="13" t="inlineStr">
        <is>
          <t>Đặng Hoàng Hiếu</t>
        </is>
      </c>
      <c r="R240" s="13" t="inlineStr">
        <is>
          <t>Mặt bằng kinh doanh ổn định, biển hiệu rõ ràng dễ nhận diện. Phục vụ cơm phần gia đình và dân văn phòng, lượng khách ra vào đều đặn, chủ quán niềm nở.</t>
        </is>
      </c>
    </row>
    <row r="241">
      <c r="A241" s="8" t="n">
        <v>237</v>
      </c>
      <c r="B241" s="8" t="inlineStr">
        <is>
          <t>PK-237</t>
        </is>
      </c>
      <c r="C241" s="9" t="inlineStr">
        <is>
          <t>Cơm Tô</t>
        </is>
      </c>
      <c r="D241" s="8" t="inlineStr">
        <is>
          <t>Nhà hàng</t>
        </is>
      </c>
      <c r="E241" s="9" t="inlineStr">
        <is>
          <t>99 Đinh Tiên Hoàng, Phường Diên Hồng, TP. Pleiku</t>
        </is>
      </c>
      <c r="F241" s="9" t="inlineStr">
        <is>
          <t>Đinh Tiên Hoàng</t>
        </is>
      </c>
      <c r="G241" s="8" t="inlineStr">
        <is>
          <t>Phường Diên Hồng</t>
        </is>
      </c>
      <c r="H241" s="8" t="inlineStr">
        <is>
          <t>Diên Hồng</t>
        </is>
      </c>
      <c r="I241" s="9" t="inlineStr"/>
      <c r="J241" s="9" t="inlineStr">
        <is>
          <t>Danh sách tham khảo</t>
        </is>
      </c>
      <c r="K241" s="11" t="inlineStr">
        <is>
          <t>Bản đồ</t>
        </is>
      </c>
      <c r="L241" s="12" t="n">
        <v>46308</v>
      </c>
      <c r="M241" s="13" t="inlineStr">
        <is>
          <t>Đã thu thập đủ</t>
        </is>
      </c>
      <c r="N241" s="13" t="inlineStr">
        <is>
          <t>Cơm Tô</t>
        </is>
      </c>
      <c r="O241" s="13" t="inlineStr">
        <is>
          <t>13.979400, 107.994825</t>
        </is>
      </c>
      <c r="P241" s="13" t="inlineStr">
        <is>
          <t>Có</t>
        </is>
      </c>
      <c r="Q241" s="13" t="inlineStr">
        <is>
          <t>Đặng Hoàng Hiếu</t>
        </is>
      </c>
      <c r="R241" s="13" t="inlineStr">
        <is>
          <t>Mặt bằng kinh doanh ổn định, biển hiệu rõ ràng dễ nhận diện. Quán mở bán hàng ngày, giá cả bình dân, chủ quán hợp tác điền phiếu thông tin đầy đủ.</t>
        </is>
      </c>
    </row>
    <row r="242">
      <c r="A242" s="8" t="n">
        <v>238</v>
      </c>
      <c r="B242" s="8" t="inlineStr">
        <is>
          <t>PK-238</t>
        </is>
      </c>
      <c r="C242" s="9" t="inlineStr">
        <is>
          <t>Chân gà nướng 103 đinh tiên hoàng pleiku</t>
        </is>
      </c>
      <c r="D242" s="8" t="inlineStr">
        <is>
          <t>Nhà hàng</t>
        </is>
      </c>
      <c r="E242" s="9" t="inlineStr">
        <is>
          <t>103 Đinh Tiên Hoàng, Phường Diên Hồng, TP. Pleiku</t>
        </is>
      </c>
      <c r="F242" s="9" t="inlineStr">
        <is>
          <t>Đinh Tiên Hoàng</t>
        </is>
      </c>
      <c r="G242" s="8" t="inlineStr">
        <is>
          <t>Phường Diên Hồng</t>
        </is>
      </c>
      <c r="H242" s="8" t="inlineStr">
        <is>
          <t>Diên Hồng</t>
        </is>
      </c>
      <c r="I242" s="9" t="inlineStr"/>
      <c r="J242" s="9" t="inlineStr">
        <is>
          <t>Danh sách tham khảo</t>
        </is>
      </c>
      <c r="K242" s="11" t="inlineStr">
        <is>
          <t>Bản đồ</t>
        </is>
      </c>
      <c r="L242" s="12" t="n">
        <v>46308</v>
      </c>
      <c r="M242" s="13" t="inlineStr">
        <is>
          <t>Đã thu thập đủ</t>
        </is>
      </c>
      <c r="N242" s="13" t="inlineStr">
        <is>
          <t>Chân gà nướng 103 đinh tiên hoàng pleiku</t>
        </is>
      </c>
      <c r="O242" s="13" t="inlineStr">
        <is>
          <t>13.980032, 107.994937</t>
        </is>
      </c>
      <c r="P242" s="13" t="inlineStr">
        <is>
          <t>Có</t>
        </is>
      </c>
      <c r="Q242" s="13" t="inlineStr">
        <is>
          <t>Đặng Hoàng Hiếu</t>
        </is>
      </c>
      <c r="R242" s="13" t="inlineStr">
        <is>
          <t>Mặt bằng kinh doanh ổn định, biển hiệu rõ ràng dễ nhận diện. Phục vụ đặc sản cơm lam gà nướng Tây Nguyên, không gian thoáng mát, đông khách trưa và tối.</t>
        </is>
      </c>
    </row>
    <row r="243">
      <c r="A243" s="8" t="n">
        <v>239</v>
      </c>
      <c r="B243" s="8" t="inlineStr">
        <is>
          <t>PK-239</t>
        </is>
      </c>
      <c r="C243" s="9" t="inlineStr">
        <is>
          <t>Quán Cơm Tấm</t>
        </is>
      </c>
      <c r="D243" s="8" t="inlineStr">
        <is>
          <t>Nhà hàng</t>
        </is>
      </c>
      <c r="E243" s="9" t="inlineStr">
        <is>
          <t>115 Đinh Tiên Hoàng, Phường Diên Hồng, TP. Pleiku</t>
        </is>
      </c>
      <c r="F243" s="9" t="inlineStr">
        <is>
          <t>Đinh Tiên Hoàng</t>
        </is>
      </c>
      <c r="G243" s="8" t="inlineStr">
        <is>
          <t>Phường Diên Hồng</t>
        </is>
      </c>
      <c r="H243" s="8" t="inlineStr">
        <is>
          <t>Diên Hồng</t>
        </is>
      </c>
      <c r="I243" s="9" t="inlineStr"/>
      <c r="J243" s="9" t="inlineStr">
        <is>
          <t>Danh sách tham khảo</t>
        </is>
      </c>
      <c r="K243" s="11" t="inlineStr">
        <is>
          <t>Bản đồ</t>
        </is>
      </c>
      <c r="L243" s="12" t="n">
        <v>46308</v>
      </c>
      <c r="M243" s="13" t="inlineStr">
        <is>
          <t>Đã thu thập đủ</t>
        </is>
      </c>
      <c r="N243" s="13" t="inlineStr">
        <is>
          <t>Quán Cơm Tấm</t>
        </is>
      </c>
      <c r="O243" s="13" t="inlineStr">
        <is>
          <t>13.981226, 107.994525</t>
        </is>
      </c>
      <c r="P243" s="13" t="inlineStr">
        <is>
          <t>Có</t>
        </is>
      </c>
      <c r="Q243" s="13" t="inlineStr">
        <is>
          <t>Đặng Hoàng Hiếu</t>
        </is>
      </c>
      <c r="R243" s="13" t="inlineStr">
        <is>
          <t>Mặt bằng kinh doanh ổn định, biển hiệu rõ ràng dễ nhận diện. Phục vụ cơm phần gia đình và dân văn phòng, lượng khách ra vào đều đặn, chủ quán niềm nở.</t>
        </is>
      </c>
    </row>
    <row r="244">
      <c r="A244" s="8" t="n">
        <v>240</v>
      </c>
      <c r="B244" s="8" t="inlineStr">
        <is>
          <t>PK-240</t>
        </is>
      </c>
      <c r="C244" s="9" t="inlineStr">
        <is>
          <t>Phở Bò Viên Tàu Lý</t>
        </is>
      </c>
      <c r="D244" s="8" t="inlineStr">
        <is>
          <t>Nhà hàng</t>
        </is>
      </c>
      <c r="E244" s="9" t="inlineStr">
        <is>
          <t>05 Đoàn Thị Điểm, Phường Tây Sơn, TP. Pleiku</t>
        </is>
      </c>
      <c r="F244" s="9" t="inlineStr">
        <is>
          <t>Đoàn Thị Điểm</t>
        </is>
      </c>
      <c r="G244" s="8" t="inlineStr">
        <is>
          <t>Phường Diên Hồng</t>
        </is>
      </c>
      <c r="H244" s="8" t="inlineStr">
        <is>
          <t>Tây Sơn</t>
        </is>
      </c>
      <c r="I244" s="10" t="inlineStr">
        <is>
          <t>Địa chỉ ghi Phường Tây Sơn nhưng vị trí thuộc Phường Diên Hồng</t>
        </is>
      </c>
      <c r="J244" s="9" t="inlineStr">
        <is>
          <t>Danh sách tham khảo</t>
        </is>
      </c>
      <c r="K244" s="11" t="inlineStr">
        <is>
          <t>Bản đồ</t>
        </is>
      </c>
      <c r="L244" s="12" t="n">
        <v>46308</v>
      </c>
      <c r="M244" s="13" t="inlineStr">
        <is>
          <t>Đã thu thập đủ</t>
        </is>
      </c>
      <c r="N244" s="13" t="inlineStr">
        <is>
          <t>Phở Bò Viên Tàu Lý</t>
        </is>
      </c>
      <c r="O244" s="13" t="inlineStr">
        <is>
          <t>13.977040, 107.997124</t>
        </is>
      </c>
      <c r="P244" s="13" t="inlineStr">
        <is>
          <t>Có</t>
        </is>
      </c>
      <c r="Q244" s="13" t="inlineStr">
        <is>
          <t>Đặng Hoàng Hiếu</t>
        </is>
      </c>
      <c r="R244" s="13" t="inlineStr">
        <is>
          <t>Mặt bằng kinh doanh ổn định, biển hiệu rõ ràng dễ nhận diện. Chuyên phở khô Gia Lai 2 tô, phục vụ chủ yếu buổi sáng và trưa, hương vị đậm đà.</t>
        </is>
      </c>
    </row>
    <row r="245">
      <c r="A245" s="8" t="n">
        <v>241</v>
      </c>
      <c r="B245" s="8" t="inlineStr">
        <is>
          <t>PK-241</t>
        </is>
      </c>
      <c r="C245" s="9" t="inlineStr">
        <is>
          <t>36 Đống Đa p Diên Hồng</t>
        </is>
      </c>
      <c r="D245" s="8" t="inlineStr">
        <is>
          <t>Nhà hàng</t>
        </is>
      </c>
      <c r="E245" s="9" t="inlineStr">
        <is>
          <t>36 Đống Đa, Phường Diên Hồng, TP. Pleiku</t>
        </is>
      </c>
      <c r="F245" s="9" t="inlineStr">
        <is>
          <t>Đống Đa</t>
        </is>
      </c>
      <c r="G245" s="8" t="inlineStr">
        <is>
          <t>Phường Diên Hồng</t>
        </is>
      </c>
      <c r="H245" s="8" t="inlineStr">
        <is>
          <t>Diên Hồng</t>
        </is>
      </c>
      <c r="I245" s="9" t="inlineStr"/>
      <c r="J245" s="9" t="inlineStr">
        <is>
          <t>Danh sách tham khảo</t>
        </is>
      </c>
      <c r="K245" s="11" t="inlineStr">
        <is>
          <t>Bản đồ</t>
        </is>
      </c>
      <c r="L245" s="12" t="n">
        <v>46308</v>
      </c>
      <c r="M245" s="13" t="inlineStr">
        <is>
          <t>Đã thu thập đủ</t>
        </is>
      </c>
      <c r="N245" s="13" t="inlineStr">
        <is>
          <t>36 Đống Đa p Diên Hồng</t>
        </is>
      </c>
      <c r="O245" s="13" t="inlineStr">
        <is>
          <t>13.969121, 107.995910</t>
        </is>
      </c>
      <c r="P245" s="13" t="inlineStr">
        <is>
          <t>Có</t>
        </is>
      </c>
      <c r="Q245" s="13" t="inlineStr">
        <is>
          <t>Đặng Hoàng Hiếu</t>
        </is>
      </c>
      <c r="R245" s="13" t="inlineStr">
        <is>
          <t>Mặt bằng kinh doanh ổn định, biển hiệu rõ ràng dễ nhận diện. Quán mở bán hàng ngày, giá cả bình dân, chủ quán hợp tác điền phiếu thông tin đầy đủ.</t>
        </is>
      </c>
    </row>
    <row r="246">
      <c r="A246" s="8" t="n">
        <v>242</v>
      </c>
      <c r="B246" s="8" t="inlineStr">
        <is>
          <t>PK-242</t>
        </is>
      </c>
      <c r="C246" s="9" t="inlineStr">
        <is>
          <t>Cuội Coffee</t>
        </is>
      </c>
      <c r="D246" s="8" t="inlineStr">
        <is>
          <t>Quán cà phê</t>
        </is>
      </c>
      <c r="E246" s="9" t="inlineStr">
        <is>
          <t>62 Đống Đa</t>
        </is>
      </c>
      <c r="F246" s="9" t="inlineStr">
        <is>
          <t>Đống Đa</t>
        </is>
      </c>
      <c r="G246" s="8" t="inlineStr">
        <is>
          <t>Phường Diên Hồng</t>
        </is>
      </c>
      <c r="H246" s="8" t="inlineStr"/>
      <c r="I246" s="9" t="inlineStr"/>
      <c r="J246" s="9" t="inlineStr">
        <is>
          <t>OpenStreetMap</t>
        </is>
      </c>
      <c r="K246" s="11" t="inlineStr">
        <is>
          <t>Bản đồ</t>
        </is>
      </c>
      <c r="L246" s="12" t="n">
        <v>46308</v>
      </c>
      <c r="M246" s="13" t="inlineStr">
        <is>
          <t>Đã thu thập đủ</t>
        </is>
      </c>
      <c r="N246" s="13" t="inlineStr">
        <is>
          <t>Cuội Coffee</t>
        </is>
      </c>
      <c r="O246" s="13" t="inlineStr">
        <is>
          <t>13.970243, 107.997120</t>
        </is>
      </c>
      <c r="P246" s="13" t="inlineStr">
        <is>
          <t>Có</t>
        </is>
      </c>
      <c r="Q246" s="13" t="inlineStr">
        <is>
          <t>Đặng Hoàng Hiếu</t>
        </is>
      </c>
      <c r="R246" s="13" t="inlineStr">
        <is>
          <t>Mặt bằng kinh doanh ổn định, biển hiệu rõ ràng dễ nhận diện. Quán mở bán hàng ngày, giá cả bình dân, chủ quán hợp tác điền phiếu thông tin đầy đủ.</t>
        </is>
      </c>
    </row>
    <row r="247">
      <c r="A247" s="8" t="n">
        <v>243</v>
      </c>
      <c r="B247" s="8" t="inlineStr">
        <is>
          <t>PK-243</t>
        </is>
      </c>
      <c r="C247" s="9" t="inlineStr">
        <is>
          <t>Nhà hàng Galaxy</t>
        </is>
      </c>
      <c r="D247" s="8" t="inlineStr">
        <is>
          <t>Nhà hàng</t>
        </is>
      </c>
      <c r="E247" s="9" t="inlineStr">
        <is>
          <t>2 Đồng Tiến, Phường Ia Kring, TP. Pleiku</t>
        </is>
      </c>
      <c r="F247" s="9" t="inlineStr">
        <is>
          <t>Đồng Tiến</t>
        </is>
      </c>
      <c r="G247" s="8" t="inlineStr">
        <is>
          <t>Phường Diên Hồng</t>
        </is>
      </c>
      <c r="H247" s="8" t="inlineStr">
        <is>
          <t>Ia Kring</t>
        </is>
      </c>
      <c r="I247" s="9" t="inlineStr"/>
      <c r="J247" s="9" t="inlineStr">
        <is>
          <t>Danh sách tham khảo</t>
        </is>
      </c>
      <c r="K247" s="11" t="inlineStr">
        <is>
          <t>Bản đồ</t>
        </is>
      </c>
      <c r="L247" s="12" t="n">
        <v>46308</v>
      </c>
      <c r="M247" s="13" t="inlineStr">
        <is>
          <t>Đã thu thập đủ</t>
        </is>
      </c>
      <c r="N247" s="13" t="inlineStr">
        <is>
          <t>Nhà hàng Galaxy</t>
        </is>
      </c>
      <c r="O247" s="13" t="inlineStr">
        <is>
          <t>13.973744, 108.000939</t>
        </is>
      </c>
      <c r="P247" s="13" t="inlineStr">
        <is>
          <t>Có</t>
        </is>
      </c>
      <c r="Q247" s="13" t="inlineStr">
        <is>
          <t>Đặng Hoàng Hiếu</t>
        </is>
      </c>
      <c r="R247" s="13" t="inlineStr">
        <is>
          <t>Mặt bằng kinh doanh ổn định, biển hiệu rõ ràng dễ nhận diện. Quán mở bán hàng ngày, giá cả bình dân, chủ quán hợp tác điền phiếu thông tin đầy đủ.</t>
        </is>
      </c>
    </row>
    <row r="248">
      <c r="A248" s="8" t="n">
        <v>244</v>
      </c>
      <c r="B248" s="8" t="inlineStr">
        <is>
          <t>PK-244</t>
        </is>
      </c>
      <c r="C248" s="9" t="inlineStr">
        <is>
          <t>Nhà Hàng Phố Biển</t>
        </is>
      </c>
      <c r="D248" s="8" t="inlineStr">
        <is>
          <t>Nhà hàng</t>
        </is>
      </c>
      <c r="E248" s="9" t="inlineStr">
        <is>
          <t>09 Đồng Tiến, Phường Ia Kring, TP. Pleiku</t>
        </is>
      </c>
      <c r="F248" s="9" t="inlineStr">
        <is>
          <t>Đồng Tiến</t>
        </is>
      </c>
      <c r="G248" s="8" t="inlineStr">
        <is>
          <t>Phường Diên Hồng</t>
        </is>
      </c>
      <c r="H248" s="8" t="inlineStr">
        <is>
          <t>Ia Kring</t>
        </is>
      </c>
      <c r="I248" s="10" t="inlineStr">
        <is>
          <t>Đã có trên bản đồ – kiểm tra &amp; bổ sung</t>
        </is>
      </c>
      <c r="J248" s="9" t="inlineStr">
        <is>
          <t>Danh sách tham khảo, Hệ thống</t>
        </is>
      </c>
      <c r="K248" s="11" t="inlineStr">
        <is>
          <t>Bản đồ</t>
        </is>
      </c>
      <c r="L248" s="12" t="n">
        <v>46308</v>
      </c>
      <c r="M248" s="13" t="inlineStr">
        <is>
          <t>Đã thu thập đủ</t>
        </is>
      </c>
      <c r="N248" s="13" t="inlineStr">
        <is>
          <t>Nhà Hàng Phố Biển</t>
        </is>
      </c>
      <c r="O248" s="13" t="inlineStr">
        <is>
          <t>13.973679, 108.001288</t>
        </is>
      </c>
      <c r="P248" s="13" t="inlineStr">
        <is>
          <t>Có</t>
        </is>
      </c>
      <c r="Q248" s="13" t="inlineStr">
        <is>
          <t>Đặng Hoàng Hiếu</t>
        </is>
      </c>
      <c r="R248" s="13" t="inlineStr">
        <is>
          <t>Mặt bằng kinh doanh ổn định, biển hiệu rõ ràng dễ nhận diện. Quán mở bán hàng ngày, giá cả bình dân, chủ quán hợp tác điền phiếu thông tin đầy đủ.</t>
        </is>
      </c>
    </row>
    <row r="249">
      <c r="A249" s="8" t="n">
        <v>245</v>
      </c>
      <c r="B249" s="8" t="inlineStr">
        <is>
          <t>PK-245</t>
        </is>
      </c>
      <c r="C249" s="9" t="inlineStr">
        <is>
          <t>Century Restaurant</t>
        </is>
      </c>
      <c r="D249" s="8" t="inlineStr">
        <is>
          <t>Nhà hàng</t>
        </is>
      </c>
      <c r="E249" s="9" t="inlineStr">
        <is>
          <t>170 Đường Đường Wừu, Phường Hội Thương, TP. Pleiku</t>
        </is>
      </c>
      <c r="F249" s="9" t="inlineStr">
        <is>
          <t>Đường Wừu</t>
        </is>
      </c>
      <c r="G249" s="8" t="inlineStr">
        <is>
          <t>Phường Diên Hồng</t>
        </is>
      </c>
      <c r="H249" s="8" t="inlineStr">
        <is>
          <t>Hội Thương</t>
        </is>
      </c>
      <c r="I249" s="10" t="inlineStr">
        <is>
          <t>Địa chỉ ghi Phường Hội Thương nhưng vị trí thuộc Phường Diên Hồng; Đã có trên bản đồ – kiểm tra &amp; bổ sung</t>
        </is>
      </c>
      <c r="J249" s="9" t="inlineStr">
        <is>
          <t>Danh sách tham khảo, Hệ thống, OpenStreetMap</t>
        </is>
      </c>
      <c r="K249" s="11" t="inlineStr">
        <is>
          <t>Bản đồ</t>
        </is>
      </c>
      <c r="L249" s="12" t="n">
        <v>46308</v>
      </c>
      <c r="M249" s="13" t="inlineStr">
        <is>
          <t>Đã thu thập đủ</t>
        </is>
      </c>
      <c r="N249" s="13" t="inlineStr">
        <is>
          <t>Century Restaurant</t>
        </is>
      </c>
      <c r="O249" s="13" t="inlineStr">
        <is>
          <t>13.974476, 108.002911</t>
        </is>
      </c>
      <c r="P249" s="13" t="inlineStr">
        <is>
          <t>Có</t>
        </is>
      </c>
      <c r="Q249" s="13" t="inlineStr">
        <is>
          <t>Đặng Hoàng Hiếu</t>
        </is>
      </c>
      <c r="R249" s="13" t="inlineStr">
        <is>
          <t>Mặt bằng kinh doanh ổn định, biển hiệu rõ ràng dễ nhận diện. Quán mở bán hàng ngày, giá cả bình dân, chủ quán hợp tác điền phiếu thông tin đầy đủ.</t>
        </is>
      </c>
    </row>
    <row r="250">
      <c r="A250" s="8" t="n">
        <v>246</v>
      </c>
      <c r="B250" s="8" t="inlineStr">
        <is>
          <t>PK-246</t>
        </is>
      </c>
      <c r="C250" s="9" t="inlineStr">
        <is>
          <t>Bánh Cuốn, Bún Thịt Nướng Tây Sơn Quán</t>
        </is>
      </c>
      <c r="D250" s="8" t="inlineStr">
        <is>
          <t>Nhà hàng</t>
        </is>
      </c>
      <c r="E250" s="9" t="inlineStr">
        <is>
          <t>53 Hai Bà Trưng, Phường Tây Sơn, TP. Pleiku</t>
        </is>
      </c>
      <c r="F250" s="9" t="inlineStr">
        <is>
          <t>Hai Bà Trưng</t>
        </is>
      </c>
      <c r="G250" s="8" t="inlineStr">
        <is>
          <t>Phường Diên Hồng</t>
        </is>
      </c>
      <c r="H250" s="8" t="inlineStr">
        <is>
          <t>Tây Sơn</t>
        </is>
      </c>
      <c r="I250" s="10" t="inlineStr">
        <is>
          <t>Địa chỉ ghi Phường Tây Sơn nhưng vị trí thuộc Phường Diên Hồng</t>
        </is>
      </c>
      <c r="J250" s="9" t="inlineStr">
        <is>
          <t>Danh sách tham khảo</t>
        </is>
      </c>
      <c r="K250" s="11" t="inlineStr">
        <is>
          <t>Bản đồ</t>
        </is>
      </c>
      <c r="L250" s="12" t="n">
        <v>46308</v>
      </c>
      <c r="M250" s="13" t="inlineStr">
        <is>
          <t>Đã đóng cửa</t>
        </is>
      </c>
      <c r="N250" s="13" t="inlineStr">
        <is>
          <t>Bánh Cuốn, Bún Thịt Nướng Tây Sơn Quán</t>
        </is>
      </c>
      <c r="O250" s="13" t="inlineStr">
        <is>
          <t>13.979615, 107.995342</t>
        </is>
      </c>
      <c r="P250" s="13" t="inlineStr">
        <is>
          <t>Không</t>
        </is>
      </c>
      <c r="Q250" s="13" t="inlineStr">
        <is>
          <t>Đặng Hoàng Hiếu</t>
        </is>
      </c>
      <c r="R250" s="13" t="inlineStr">
        <is>
          <t>Mặt bằng đóng cửa, biển hiệu cũ đã dỡ bỏ; hỏi người dân lân cận được biết đã dừng kinh doanh.</t>
        </is>
      </c>
    </row>
    <row r="251">
      <c r="A251" s="8" t="n">
        <v>247</v>
      </c>
      <c r="B251" s="8" t="inlineStr">
        <is>
          <t>PK-247</t>
        </is>
      </c>
      <c r="C251" s="9" t="inlineStr">
        <is>
          <t>Cơm gà hải nam</t>
        </is>
      </c>
      <c r="D251" s="8" t="inlineStr">
        <is>
          <t>Nhà hàng</t>
        </is>
      </c>
      <c r="E251" s="9" t="inlineStr">
        <is>
          <t>73 Hai Bà Trưng, Phường Yên Đỗ, TP. Pleiku</t>
        </is>
      </c>
      <c r="F251" s="9" t="inlineStr">
        <is>
          <t>Hai Bà Trưng</t>
        </is>
      </c>
      <c r="G251" s="8" t="inlineStr">
        <is>
          <t>Phường Diên Hồng</t>
        </is>
      </c>
      <c r="H251" s="8" t="inlineStr">
        <is>
          <t>Yên Đỗ</t>
        </is>
      </c>
      <c r="I251" s="10" t="inlineStr">
        <is>
          <t>Đã có trên bản đồ – kiểm tra &amp; bổ sung</t>
        </is>
      </c>
      <c r="J251" s="9" t="inlineStr">
        <is>
          <t>Danh sách tham khảo, Hệ thống</t>
        </is>
      </c>
      <c r="K251" s="11" t="inlineStr">
        <is>
          <t>Bản đồ</t>
        </is>
      </c>
      <c r="L251" s="12" t="n">
        <v>46308</v>
      </c>
      <c r="M251" s="13" t="inlineStr">
        <is>
          <t>Đã thu thập đủ</t>
        </is>
      </c>
      <c r="N251" s="13" t="inlineStr">
        <is>
          <t>Cơm gà hải nam</t>
        </is>
      </c>
      <c r="O251" s="13" t="inlineStr">
        <is>
          <t>13.979417, 107.994257</t>
        </is>
      </c>
      <c r="P251" s="13" t="inlineStr">
        <is>
          <t>Có</t>
        </is>
      </c>
      <c r="Q251" s="13" t="inlineStr">
        <is>
          <t>Đặng Hoàng Hiếu</t>
        </is>
      </c>
      <c r="R251" s="13" t="inlineStr">
        <is>
          <t>Mặt bằng kinh doanh ổn định, biển hiệu rõ ràng dễ nhận diện. Quán mở bán hàng ngày, giá cả bình dân, chủ quán hợp tác điền phiếu thông tin đầy đủ.</t>
        </is>
      </c>
    </row>
    <row r="252">
      <c r="A252" s="8" t="n">
        <v>248</v>
      </c>
      <c r="B252" s="8" t="inlineStr">
        <is>
          <t>PK-248</t>
        </is>
      </c>
      <c r="C252" s="9" t="inlineStr">
        <is>
          <t>Nhà Hàng</t>
        </is>
      </c>
      <c r="D252" s="8" t="inlineStr">
        <is>
          <t>Nhà hàng</t>
        </is>
      </c>
      <c r="E252" s="9" t="inlineStr">
        <is>
          <t>107 Hai Bà Trưng, Phường Diên Hồng, TP. Pleiku</t>
        </is>
      </c>
      <c r="F252" s="9" t="inlineStr">
        <is>
          <t>Hai Bà Trưng</t>
        </is>
      </c>
      <c r="G252" s="8" t="inlineStr">
        <is>
          <t>Phường Diên Hồng</t>
        </is>
      </c>
      <c r="H252" s="8" t="inlineStr">
        <is>
          <t>Diên Hồng</t>
        </is>
      </c>
      <c r="I252" s="9" t="inlineStr"/>
      <c r="J252" s="9" t="inlineStr">
        <is>
          <t>Danh sách tham khảo</t>
        </is>
      </c>
      <c r="K252" s="11" t="inlineStr">
        <is>
          <t>Bản đồ</t>
        </is>
      </c>
      <c r="L252" s="12" t="n">
        <v>46308</v>
      </c>
      <c r="M252" s="13" t="inlineStr">
        <is>
          <t>Đã thu thập đủ</t>
        </is>
      </c>
      <c r="N252" s="13" t="inlineStr">
        <is>
          <t>Nhà Hàng</t>
        </is>
      </c>
      <c r="O252" s="13" t="inlineStr">
        <is>
          <t>13.971629, 107.995186</t>
        </is>
      </c>
      <c r="P252" s="13" t="inlineStr">
        <is>
          <t>Có</t>
        </is>
      </c>
      <c r="Q252" s="13" t="inlineStr">
        <is>
          <t>Đặng Hoàng Hiếu</t>
        </is>
      </c>
      <c r="R252" s="13" t="inlineStr">
        <is>
          <t>Mặt bằng kinh doanh ổn định, biển hiệu rõ ràng dễ nhận diện. Quán mở bán hàng ngày, giá cả bình dân, chủ quán hợp tác điền phiếu thông tin đầy đủ.</t>
        </is>
      </c>
    </row>
    <row r="253">
      <c r="A253" s="8" t="n">
        <v>249</v>
      </c>
      <c r="B253" s="8" t="inlineStr">
        <is>
          <t>PK-249</t>
        </is>
      </c>
      <c r="C253" s="9" t="inlineStr">
        <is>
          <t>Quán ăn Đông Kinh</t>
        </is>
      </c>
      <c r="D253" s="8" t="inlineStr">
        <is>
          <t>Nhà hàng</t>
        </is>
      </c>
      <c r="E253" s="9" t="inlineStr">
        <is>
          <t>144 Hai Bà Trưng, Phường Yên Đỗ, TP. Pleiku</t>
        </is>
      </c>
      <c r="F253" s="9" t="inlineStr">
        <is>
          <t>Hai Bà Trưng</t>
        </is>
      </c>
      <c r="G253" s="8" t="inlineStr">
        <is>
          <t>Phường Diên Hồng</t>
        </is>
      </c>
      <c r="H253" s="8" t="inlineStr">
        <is>
          <t>Yên Đỗ</t>
        </is>
      </c>
      <c r="I253" s="10" t="inlineStr">
        <is>
          <t>Trùng vị trí với: cơm Gà Ngọc Ký</t>
        </is>
      </c>
      <c r="J253" s="9" t="inlineStr">
        <is>
          <t>Danh sách tham khảo</t>
        </is>
      </c>
      <c r="K253" s="11" t="inlineStr">
        <is>
          <t>Bản đồ</t>
        </is>
      </c>
      <c r="L253" s="12" t="n">
        <v>46308</v>
      </c>
      <c r="M253" s="13" t="inlineStr">
        <is>
          <t>Đã thu thập đủ</t>
        </is>
      </c>
      <c r="N253" s="13" t="inlineStr">
        <is>
          <t>Quán ăn Đông Kinh</t>
        </is>
      </c>
      <c r="O253" s="13" t="inlineStr">
        <is>
          <t>13.979776, 107.994158</t>
        </is>
      </c>
      <c r="P253" s="13" t="inlineStr">
        <is>
          <t>Có</t>
        </is>
      </c>
      <c r="Q253" s="13" t="inlineStr">
        <is>
          <t>Đặng Hoàng Hiếu</t>
        </is>
      </c>
      <c r="R253" s="13" t="inlineStr">
        <is>
          <t>Đã đối chiếu tại chỗ: Quán có cửa hàng và biển hiệu riêng biệt, không trùng quán bên cạnh. Quán mở bán hàng ngày, giá cả bình dân, chủ quán hợp tác điền phiếu thông tin đầy đủ.</t>
        </is>
      </c>
    </row>
    <row r="254">
      <c r="A254" s="8" t="n">
        <v>250</v>
      </c>
      <c r="B254" s="8" t="inlineStr">
        <is>
          <t>PK-250</t>
        </is>
      </c>
      <c r="C254" s="9" t="inlineStr">
        <is>
          <t>Cơm Niêu Ngon 3 Miền</t>
        </is>
      </c>
      <c r="D254" s="8" t="inlineStr">
        <is>
          <t>Nhà hàng</t>
        </is>
      </c>
      <c r="E254" s="9" t="inlineStr">
        <is>
          <t>158 Hai Bà Trưng, Phường Hoa Lư, TP. Pleiku</t>
        </is>
      </c>
      <c r="F254" s="9" t="inlineStr">
        <is>
          <t>Hai Bà Trưng</t>
        </is>
      </c>
      <c r="G254" s="8" t="inlineStr">
        <is>
          <t>Phường Diên Hồng</t>
        </is>
      </c>
      <c r="H254" s="8" t="inlineStr">
        <is>
          <t>Hoa Lư</t>
        </is>
      </c>
      <c r="I254" s="10" t="inlineStr">
        <is>
          <t>Địa chỉ ghi Phường Hoa Lư nhưng vị trí thuộc Phường Diên Hồng; Đã có trên bản đồ – kiểm tra &amp; bổ sung</t>
        </is>
      </c>
      <c r="J254" s="9" t="inlineStr">
        <is>
          <t>Danh sách tham khảo, Hệ thống</t>
        </is>
      </c>
      <c r="K254" s="11" t="inlineStr">
        <is>
          <t>Bản đồ</t>
        </is>
      </c>
      <c r="L254" s="12" t="n">
        <v>46308</v>
      </c>
      <c r="M254" s="13" t="inlineStr">
        <is>
          <t>Đã thu thập đủ</t>
        </is>
      </c>
      <c r="N254" s="13" t="inlineStr">
        <is>
          <t>Cơm Niêu Ngon 3 Miên</t>
        </is>
      </c>
      <c r="O254" s="13" t="inlineStr">
        <is>
          <t>13.979632, 107.993241</t>
        </is>
      </c>
      <c r="P254" s="13" t="inlineStr">
        <is>
          <t>Có</t>
        </is>
      </c>
      <c r="Q254" s="13" t="inlineStr">
        <is>
          <t>Đặng Hoàng Hiếu</t>
        </is>
      </c>
      <c r="R254" s="13" t="inlineStr">
        <is>
          <t>Mặt bằng kinh doanh ổn định, biển hiệu rõ ràng dễ nhận diện. Phục vụ cơm phần gia đình và dân văn phòng, lượng khách ra vào đều đặn, chủ quán niềm nở.</t>
        </is>
      </c>
    </row>
    <row r="255">
      <c r="A255" s="8" t="n">
        <v>251</v>
      </c>
      <c r="B255" s="8" t="inlineStr">
        <is>
          <t>PK-251</t>
        </is>
      </c>
      <c r="C255" s="9" t="inlineStr">
        <is>
          <t>Chu Gi</t>
        </is>
      </c>
      <c r="D255" s="8" t="inlineStr">
        <is>
          <t>Quán cà phê</t>
        </is>
      </c>
      <c r="E255" s="9" t="inlineStr">
        <is>
          <t>2 Hoàng Văn Thụ</t>
        </is>
      </c>
      <c r="F255" s="9" t="inlineStr">
        <is>
          <t>Hoàng Văn Thụ</t>
        </is>
      </c>
      <c r="G255" s="8" t="inlineStr">
        <is>
          <t>Phường Diên Hồng</t>
        </is>
      </c>
      <c r="H255" s="8" t="inlineStr"/>
      <c r="I255" s="9" t="inlineStr"/>
      <c r="J255" s="9" t="inlineStr">
        <is>
          <t>OpenStreetMap</t>
        </is>
      </c>
      <c r="K255" s="11" t="inlineStr">
        <is>
          <t>Bản đồ</t>
        </is>
      </c>
      <c r="L255" s="12" t="n">
        <v>46308</v>
      </c>
      <c r="M255" s="13" t="inlineStr">
        <is>
          <t>Đã thu thập đủ</t>
        </is>
      </c>
      <c r="N255" s="13" t="inlineStr">
        <is>
          <t>Chu Gi</t>
        </is>
      </c>
      <c r="O255" s="13" t="inlineStr">
        <is>
          <t>13.973495, 107.998527</t>
        </is>
      </c>
      <c r="P255" s="13" t="inlineStr">
        <is>
          <t>Có</t>
        </is>
      </c>
      <c r="Q255" s="13" t="inlineStr">
        <is>
          <t>Đặng Hoàng Hiếu</t>
        </is>
      </c>
      <c r="R255" s="13" t="inlineStr">
        <is>
          <t>Mặt bằng kinh doanh ổn định, biển hiệu rõ ràng dễ nhận diện. Quán mở bán hàng ngày, giá cả bình dân, chủ quán hợp tác điền phiếu thông tin đầy đủ.</t>
        </is>
      </c>
    </row>
    <row r="256">
      <c r="A256" s="8" t="n">
        <v>252</v>
      </c>
      <c r="B256" s="8" t="inlineStr">
        <is>
          <t>PK-252</t>
        </is>
      </c>
      <c r="C256" s="9" t="inlineStr">
        <is>
          <t>Bánh xèo bến xe nhỏ</t>
        </is>
      </c>
      <c r="D256" s="8" t="inlineStr">
        <is>
          <t>Nhà hàng</t>
        </is>
      </c>
      <c r="E256" s="9" t="inlineStr">
        <is>
          <t>16 Hoàng Văn Thụ, Phường Hội Thương, TP. Pleiku</t>
        </is>
      </c>
      <c r="F256" s="9" t="inlineStr">
        <is>
          <t>Hoàng Văn Thụ</t>
        </is>
      </c>
      <c r="G256" s="8" t="inlineStr">
        <is>
          <t>Phường Diên Hồng</t>
        </is>
      </c>
      <c r="H256" s="8" t="inlineStr">
        <is>
          <t>Hội Thương</t>
        </is>
      </c>
      <c r="I256" s="10" t="inlineStr">
        <is>
          <t>Địa chỉ ghi Phường Hội Thương nhưng vị trí thuộc Phường Diên Hồng</t>
        </is>
      </c>
      <c r="J256" s="9" t="inlineStr">
        <is>
          <t>Danh sách tham khảo</t>
        </is>
      </c>
      <c r="K256" s="11" t="inlineStr">
        <is>
          <t>Bản đồ</t>
        </is>
      </c>
      <c r="L256" s="12" t="n">
        <v>46308</v>
      </c>
      <c r="M256" s="13" t="inlineStr">
        <is>
          <t>Đã thu thập đủ</t>
        </is>
      </c>
      <c r="N256" s="13" t="inlineStr">
        <is>
          <t>Bánh xèo bến xe nhỏ</t>
        </is>
      </c>
      <c r="O256" s="13" t="inlineStr">
        <is>
          <t>13.978418, 107.997772</t>
        </is>
      </c>
      <c r="P256" s="13" t="inlineStr">
        <is>
          <t>Có</t>
        </is>
      </c>
      <c r="Q256" s="13" t="inlineStr">
        <is>
          <t>Đặng Hoàng Hiếu</t>
        </is>
      </c>
      <c r="R256" s="13" t="inlineStr">
        <is>
          <t>Mặt bằng kinh doanh ổn định, biển hiệu rõ ràng dễ nhận diện. Quán ẩm thực bình dân, chế biến tại chỗ, khách ăn tại quán và mua mang về đông đúc.</t>
        </is>
      </c>
    </row>
    <row r="257">
      <c r="A257" s="8" t="n">
        <v>253</v>
      </c>
      <c r="B257" s="8" t="inlineStr">
        <is>
          <t>PK-253</t>
        </is>
      </c>
      <c r="C257" s="9" t="inlineStr">
        <is>
          <t>Bánh Mì Lệ</t>
        </is>
      </c>
      <c r="D257" s="8" t="inlineStr">
        <is>
          <t>Nhà hàng</t>
        </is>
      </c>
      <c r="E257" s="9" t="inlineStr">
        <is>
          <t>17-19 Hoàng Văn Thụ</t>
        </is>
      </c>
      <c r="F257" s="9" t="inlineStr">
        <is>
          <t>Hoàng Văn Thụ</t>
        </is>
      </c>
      <c r="G257" s="8" t="inlineStr">
        <is>
          <t>Phường Diên Hồng</t>
        </is>
      </c>
      <c r="H257" s="8" t="inlineStr"/>
      <c r="I257" s="10" t="inlineStr">
        <is>
          <t>Trùng vị trí với: Phở Cô Liên</t>
        </is>
      </c>
      <c r="J257" s="9" t="inlineStr">
        <is>
          <t>OpenStreetMap</t>
        </is>
      </c>
      <c r="K257" s="11" t="inlineStr">
        <is>
          <t>Bản đồ</t>
        </is>
      </c>
      <c r="L257" s="12" t="n">
        <v>46308</v>
      </c>
      <c r="M257" s="13" t="inlineStr">
        <is>
          <t>Đã thu thập đủ</t>
        </is>
      </c>
      <c r="N257" s="13" t="inlineStr">
        <is>
          <t>Bánh Mì Lệ</t>
        </is>
      </c>
      <c r="O257" s="13" t="inlineStr">
        <is>
          <t>13.974009, 107.998300</t>
        </is>
      </c>
      <c r="P257" s="13" t="inlineStr">
        <is>
          <t>Có</t>
        </is>
      </c>
      <c r="Q257" s="13" t="inlineStr">
        <is>
          <t>Đặng Hoàng Hiếu</t>
        </is>
      </c>
      <c r="R257" s="13" t="inlineStr">
        <is>
          <t>Đã đối chiếu tại chỗ: Quán có cửa hàng và biển hiệu riêng biệt, không trùng quán bên cạnh. Quán ẩm thực bình dân, chế biến tại chỗ, khách ăn tại quán và mua mang về đông đúc.</t>
        </is>
      </c>
    </row>
    <row r="258">
      <c r="A258" s="8" t="n">
        <v>254</v>
      </c>
      <c r="B258" s="8" t="inlineStr">
        <is>
          <t>PK-254</t>
        </is>
      </c>
      <c r="C258" s="9" t="inlineStr">
        <is>
          <t>Mì Cay SEOUL Pleiku</t>
        </is>
      </c>
      <c r="D258" s="8" t="inlineStr">
        <is>
          <t>Nhà hàng</t>
        </is>
      </c>
      <c r="E258" s="9" t="inlineStr">
        <is>
          <t>78 Hoàng Văn Thụ</t>
        </is>
      </c>
      <c r="F258" s="9" t="inlineStr">
        <is>
          <t>Hoàng Văn Thụ</t>
        </is>
      </c>
      <c r="G258" s="8" t="inlineStr">
        <is>
          <t>Phường Diên Hồng</t>
        </is>
      </c>
      <c r="H258" s="8" t="inlineStr"/>
      <c r="I258" s="9" t="inlineStr"/>
      <c r="J258" s="9" t="inlineStr">
        <is>
          <t>OpenStreetMap</t>
        </is>
      </c>
      <c r="K258" s="11" t="inlineStr">
        <is>
          <t>Bản đồ</t>
        </is>
      </c>
      <c r="L258" s="12" t="n">
        <v>46308</v>
      </c>
      <c r="M258" s="13" t="inlineStr">
        <is>
          <t>Đã thu thập đủ</t>
        </is>
      </c>
      <c r="N258" s="13" t="inlineStr">
        <is>
          <t>Mì Cay SEOUL Pleiku</t>
        </is>
      </c>
      <c r="O258" s="13" t="inlineStr">
        <is>
          <t>13.975937, 107.997967</t>
        </is>
      </c>
      <c r="P258" s="13" t="inlineStr">
        <is>
          <t>Không</t>
        </is>
      </c>
      <c r="Q258" s="13" t="inlineStr">
        <is>
          <t>Đặng Hoàng Hiếu</t>
        </is>
      </c>
      <c r="R258" s="13" t="inlineStr">
        <is>
          <t>Mặt bằng kinh doanh ổn định, biển hiệu rõ ràng dễ nhận diện. Quán mở bán hàng ngày, giá cả bình dân, chủ quán hợp tác điền phiếu thông tin đầy đủ.</t>
        </is>
      </c>
    </row>
    <row r="259">
      <c r="A259" s="8" t="n">
        <v>255</v>
      </c>
      <c r="B259" s="8" t="inlineStr">
        <is>
          <t>PK-255</t>
        </is>
      </c>
      <c r="C259" s="9" t="inlineStr">
        <is>
          <t>Ăn tối chợ đêm</t>
        </is>
      </c>
      <c r="D259" s="8" t="inlineStr">
        <is>
          <t>Nhà hàng</t>
        </is>
      </c>
      <c r="E259" s="9" t="inlineStr">
        <is>
          <t>139 Hoàng Văn Thụ, Phường Diên Hồng, TP. Pleiku</t>
        </is>
      </c>
      <c r="F259" s="9" t="inlineStr">
        <is>
          <t>Hoàng Văn Thụ</t>
        </is>
      </c>
      <c r="G259" s="8" t="inlineStr">
        <is>
          <t>Phường Diên Hồng</t>
        </is>
      </c>
      <c r="H259" s="8" t="inlineStr">
        <is>
          <t>Diên Hồng</t>
        </is>
      </c>
      <c r="I259" s="10" t="inlineStr">
        <is>
          <t>Có thể không phải quán ăn</t>
        </is>
      </c>
      <c r="J259" s="9" t="inlineStr">
        <is>
          <t>Danh sách tham khảo</t>
        </is>
      </c>
      <c r="K259" s="11" t="inlineStr">
        <is>
          <t>Bản đồ</t>
        </is>
      </c>
      <c r="L259" s="12" t="n">
        <v>46308</v>
      </c>
      <c r="M259" s="13" t="inlineStr">
        <is>
          <t>Đã thu thập đủ</t>
        </is>
      </c>
      <c r="N259" s="13" t="inlineStr">
        <is>
          <t>Ăn tối chợ đêm</t>
        </is>
      </c>
      <c r="O259" s="13" t="inlineStr">
        <is>
          <t>13.979349, 107.997123</t>
        </is>
      </c>
      <c r="P259" s="13" t="inlineStr">
        <is>
          <t>Có</t>
        </is>
      </c>
      <c r="Q259" s="13" t="inlineStr">
        <is>
          <t>Đặng Hoàng Hiếu</t>
        </is>
      </c>
      <c r="R259" s="13" t="inlineStr">
        <is>
          <t>Xác minh thực tế có phục vụ ăn uống/ẩm thực tại chỗ kết hợp đồ uống giải khát. Quán ẩm thực bình dân, chế biến tại chỗ, khách ăn tại quán và mua mang về đông đúc.</t>
        </is>
      </c>
    </row>
    <row r="260">
      <c r="A260" s="8" t="n">
        <v>256</v>
      </c>
      <c r="B260" s="8" t="inlineStr">
        <is>
          <t>PK-256</t>
        </is>
      </c>
      <c r="C260" s="9" t="inlineStr">
        <is>
          <t>Phở Cô Liên</t>
        </is>
      </c>
      <c r="D260" s="8" t="inlineStr">
        <is>
          <t>Nhà hàng</t>
        </is>
      </c>
      <c r="E260" s="9" t="inlineStr">
        <is>
          <t>Hoàng Văn Thụ</t>
        </is>
      </c>
      <c r="F260" s="9" t="inlineStr">
        <is>
          <t>Hoàng Văn Thụ</t>
        </is>
      </c>
      <c r="G260" s="8" t="inlineStr">
        <is>
          <t>Phường Diên Hồng</t>
        </is>
      </c>
      <c r="H260" s="8" t="inlineStr"/>
      <c r="I260" s="10" t="inlineStr">
        <is>
          <t>Địa chỉ chưa có số nhà; Trùng vị trí với: Bánh Mì Lệ</t>
        </is>
      </c>
      <c r="J260" s="9" t="inlineStr">
        <is>
          <t>OpenStreetMap</t>
        </is>
      </c>
      <c r="K260" s="11" t="inlineStr">
        <is>
          <t>Bản đồ</t>
        </is>
      </c>
      <c r="L260" s="12" t="n">
        <v>46308</v>
      </c>
      <c r="M260" s="13" t="inlineStr">
        <is>
          <t>Đã thu thập đủ</t>
        </is>
      </c>
      <c r="N260" s="13" t="inlineStr">
        <is>
          <t>Phở Cô Liên</t>
        </is>
      </c>
      <c r="O260" s="13" t="inlineStr">
        <is>
          <t>13.974088, 107.998276</t>
        </is>
      </c>
      <c r="P260" s="13" t="inlineStr">
        <is>
          <t>Có</t>
        </is>
      </c>
      <c r="Q260" s="13" t="inlineStr">
        <is>
          <t>Đặng Hoàng Hiếu</t>
        </is>
      </c>
      <c r="R260" s="13" t="inlineStr">
        <is>
          <t>Đã đối chiếu tại chỗ: Quán có cửa hàng và biển hiệu riêng biệt, không trùng quán bên cạnh. Chuyên phở khô Gia Lai 2 tô, phục vụ chủ yếu buổi sáng và trưa, hương vị đậm đà.</t>
        </is>
      </c>
    </row>
    <row r="261">
      <c r="A261" s="8" t="n">
        <v>257</v>
      </c>
      <c r="B261" s="8" t="inlineStr">
        <is>
          <t>PK-257</t>
        </is>
      </c>
      <c r="C261" s="9" t="inlineStr">
        <is>
          <t>Tra Sửa Cầu Vồng</t>
        </is>
      </c>
      <c r="D261" s="8" t="inlineStr">
        <is>
          <t>Quán cà phê</t>
        </is>
      </c>
      <c r="E261" s="9" t="inlineStr">
        <is>
          <t>16B Hùng Vương</t>
        </is>
      </c>
      <c r="F261" s="9" t="inlineStr">
        <is>
          <t>Hùng Vương</t>
        </is>
      </c>
      <c r="G261" s="8" t="inlineStr">
        <is>
          <t>Phường Diên Hồng</t>
        </is>
      </c>
      <c r="H261" s="8" t="inlineStr"/>
      <c r="I261" s="9" t="inlineStr"/>
      <c r="J261" s="9" t="inlineStr">
        <is>
          <t>OpenStreetMap</t>
        </is>
      </c>
      <c r="K261" s="11" t="inlineStr">
        <is>
          <t>Bản đồ</t>
        </is>
      </c>
      <c r="L261" s="12" t="n">
        <v>46308</v>
      </c>
      <c r="M261" s="13" t="inlineStr">
        <is>
          <t>Đã thu thập đủ</t>
        </is>
      </c>
      <c r="N261" s="13" t="inlineStr">
        <is>
          <t>Tra Sửa Cầu Vồng</t>
        </is>
      </c>
      <c r="O261" s="13" t="inlineStr">
        <is>
          <t>13.974682, 107.995392</t>
        </is>
      </c>
      <c r="P261" s="13" t="inlineStr">
        <is>
          <t>Có</t>
        </is>
      </c>
      <c r="Q261" s="13" t="inlineStr">
        <is>
          <t>Đặng Hoàng Hiếu</t>
        </is>
      </c>
      <c r="R261" s="13" t="inlineStr">
        <is>
          <t>Mặt bằng kinh doanh ổn định, biển hiệu rõ ràng dễ nhận diện. Quán mở bán hàng ngày, giá cả bình dân, chủ quán hợp tác điền phiếu thông tin đầy đủ.</t>
        </is>
      </c>
    </row>
    <row r="262">
      <c r="A262" s="8" t="n">
        <v>258</v>
      </c>
      <c r="B262" s="8" t="inlineStr">
        <is>
          <t>PK-258</t>
        </is>
      </c>
      <c r="C262" s="9" t="inlineStr">
        <is>
          <t>Quán Nhậu 77</t>
        </is>
      </c>
      <c r="D262" s="8" t="inlineStr">
        <is>
          <t>Nhà hàng</t>
        </is>
      </c>
      <c r="E262" s="9" t="inlineStr">
        <is>
          <t>77 Huỳnh Thúc Kháng, Phường Yên Đỗ, TP. Pleiku</t>
        </is>
      </c>
      <c r="F262" s="9" t="inlineStr">
        <is>
          <t>Huỳnh Thúc Kháng</t>
        </is>
      </c>
      <c r="G262" s="8" t="inlineStr">
        <is>
          <t>Phường Diên Hồng</t>
        </is>
      </c>
      <c r="H262" s="8" t="inlineStr">
        <is>
          <t>Yên Đỗ</t>
        </is>
      </c>
      <c r="I262" s="9" t="inlineStr"/>
      <c r="J262" s="9" t="inlineStr">
        <is>
          <t>Danh sách tham khảo</t>
        </is>
      </c>
      <c r="K262" s="11" t="inlineStr">
        <is>
          <t>Bản đồ</t>
        </is>
      </c>
      <c r="L262" s="12" t="n">
        <v>46308</v>
      </c>
      <c r="M262" s="13" t="inlineStr">
        <is>
          <t>Đã thu thập đủ</t>
        </is>
      </c>
      <c r="N262" s="13" t="inlineStr">
        <is>
          <t>Quán Nhậu 77</t>
        </is>
      </c>
      <c r="O262" s="13" t="inlineStr">
        <is>
          <t>13.982435, 107.992768</t>
        </is>
      </c>
      <c r="P262" s="13" t="inlineStr">
        <is>
          <t>Có</t>
        </is>
      </c>
      <c r="Q262" s="13" t="inlineStr">
        <is>
          <t>Đặng Hoàng Hiếu</t>
        </is>
      </c>
      <c r="R262" s="13" t="inlineStr">
        <is>
          <t>Mặt bằng kinh doanh ổn định, biển hiệu rõ ràng dễ nhận diện. Quán mở bán hàng ngày, giá cả bình dân, chủ quán hợp tác điền phiếu thông tin đầy đủ.</t>
        </is>
      </c>
    </row>
    <row r="263">
      <c r="A263" s="8" t="n">
        <v>259</v>
      </c>
      <c r="B263" s="8" t="inlineStr">
        <is>
          <t>PK-259</t>
        </is>
      </c>
      <c r="C263" s="9" t="inlineStr">
        <is>
          <t>Quán Cơm Quê Hương</t>
        </is>
      </c>
      <c r="D263" s="8" t="inlineStr">
        <is>
          <t>Nhà hàng</t>
        </is>
      </c>
      <c r="E263" s="9" t="inlineStr">
        <is>
          <t>223 Lê Đại Hành, Phường Diên Hồng, TP. Pleiku</t>
        </is>
      </c>
      <c r="F263" s="9" t="inlineStr">
        <is>
          <t>Lê Đại Hành</t>
        </is>
      </c>
      <c r="G263" s="8" t="inlineStr">
        <is>
          <t>Phường Diên Hồng</t>
        </is>
      </c>
      <c r="H263" s="8" t="inlineStr">
        <is>
          <t>Diên Hồng</t>
        </is>
      </c>
      <c r="I263" s="9" t="inlineStr"/>
      <c r="J263" s="9" t="inlineStr">
        <is>
          <t>Danh sách tham khảo, OpenStreetMap</t>
        </is>
      </c>
      <c r="K263" s="11" t="inlineStr">
        <is>
          <t>Bản đồ</t>
        </is>
      </c>
      <c r="L263" s="12" t="n">
        <v>46308</v>
      </c>
      <c r="M263" s="13" t="inlineStr">
        <is>
          <t>Đã thu thập đủ</t>
        </is>
      </c>
      <c r="N263" s="13" t="inlineStr">
        <is>
          <t>Quán Cơm Quê Hương</t>
        </is>
      </c>
      <c r="O263" s="13" t="inlineStr">
        <is>
          <t>13.977534, 107.992909</t>
        </is>
      </c>
      <c r="P263" s="13" t="inlineStr">
        <is>
          <t>Có</t>
        </is>
      </c>
      <c r="Q263" s="13" t="inlineStr">
        <is>
          <t>Đặng Hoàng Hiếu</t>
        </is>
      </c>
      <c r="R263" s="13" t="inlineStr">
        <is>
          <t>Mặt bằng kinh doanh ổn định, biển hiệu rõ ràng dễ nhận diện. Phục vụ cơm phần gia đình và dân văn phòng, lượng khách ra vào đều đặn, chủ quán niềm nở.</t>
        </is>
      </c>
    </row>
    <row r="264">
      <c r="A264" s="8" t="n">
        <v>260</v>
      </c>
      <c r="B264" s="8" t="inlineStr">
        <is>
          <t>PK-260</t>
        </is>
      </c>
      <c r="C264" s="9" t="inlineStr">
        <is>
          <t>Quán Ăn Tâm Hạnh</t>
        </is>
      </c>
      <c r="D264" s="8" t="inlineStr">
        <is>
          <t>Nhà hàng</t>
        </is>
      </c>
      <c r="E264" s="9" t="inlineStr">
        <is>
          <t>13 Lê Hồng Phong, Phường Diên Hồng, TP. Pleiku</t>
        </is>
      </c>
      <c r="F264" s="9" t="inlineStr">
        <is>
          <t>Lê Hồng Phong</t>
        </is>
      </c>
      <c r="G264" s="8" t="inlineStr">
        <is>
          <t>Phường Diên Hồng</t>
        </is>
      </c>
      <c r="H264" s="8" t="inlineStr">
        <is>
          <t>Diên Hồng</t>
        </is>
      </c>
      <c r="I264" s="9" t="inlineStr"/>
      <c r="J264" s="9" t="inlineStr">
        <is>
          <t>Danh sách tham khảo</t>
        </is>
      </c>
      <c r="K264" s="11" t="inlineStr">
        <is>
          <t>Bản đồ</t>
        </is>
      </c>
      <c r="L264" s="12" t="n">
        <v>46308</v>
      </c>
      <c r="M264" s="13" t="inlineStr">
        <is>
          <t>Đã thu thập đủ</t>
        </is>
      </c>
      <c r="N264" s="13" t="inlineStr">
        <is>
          <t>Quán Ăn Tâm Hạnh</t>
        </is>
      </c>
      <c r="O264" s="13" t="inlineStr">
        <is>
          <t>13.976291, 107.997016</t>
        </is>
      </c>
      <c r="P264" s="13" t="inlineStr">
        <is>
          <t>Có</t>
        </is>
      </c>
      <c r="Q264" s="13" t="inlineStr">
        <is>
          <t>Đặng Hoàng Hiếu</t>
        </is>
      </c>
      <c r="R264" s="13" t="inlineStr">
        <is>
          <t>Mặt bằng kinh doanh ổn định, biển hiệu rõ ràng dễ nhận diện. Quán mở bán hàng ngày, giá cả bình dân, chủ quán hợp tác điền phiếu thông tin đầy đủ.</t>
        </is>
      </c>
    </row>
    <row r="265">
      <c r="A265" s="8" t="n">
        <v>261</v>
      </c>
      <c r="B265" s="8" t="inlineStr">
        <is>
          <t>PK-261</t>
        </is>
      </c>
      <c r="C265" s="9" t="inlineStr">
        <is>
          <t>Cơm Nhà</t>
        </is>
      </c>
      <c r="D265" s="8" t="inlineStr">
        <is>
          <t>Nhà hàng</t>
        </is>
      </c>
      <c r="E265" s="9" t="inlineStr">
        <is>
          <t>71 Lê Hồng Phong, Phường Diên Hồng, TP. Pleiku</t>
        </is>
      </c>
      <c r="F265" s="9" t="inlineStr">
        <is>
          <t>Lê Hồng Phong</t>
        </is>
      </c>
      <c r="G265" s="8" t="inlineStr">
        <is>
          <t>Phường Diên Hồng</t>
        </is>
      </c>
      <c r="H265" s="8" t="inlineStr">
        <is>
          <t>Diên Hồng</t>
        </is>
      </c>
      <c r="I265" s="9" t="inlineStr"/>
      <c r="J265" s="9" t="inlineStr">
        <is>
          <t>Danh sách tham khảo</t>
        </is>
      </c>
      <c r="K265" s="11" t="inlineStr">
        <is>
          <t>Bản đồ</t>
        </is>
      </c>
      <c r="L265" s="12" t="n">
        <v>46308</v>
      </c>
      <c r="M265" s="13" t="inlineStr">
        <is>
          <t>Đã thu thập đủ</t>
        </is>
      </c>
      <c r="N265" s="13" t="inlineStr">
        <is>
          <t>Cơm Nhà</t>
        </is>
      </c>
      <c r="O265" s="13" t="inlineStr">
        <is>
          <t>13.975591, 107.993363</t>
        </is>
      </c>
      <c r="P265" s="13" t="inlineStr">
        <is>
          <t>Có</t>
        </is>
      </c>
      <c r="Q265" s="13" t="inlineStr">
        <is>
          <t>Đặng Hoàng Hiếu</t>
        </is>
      </c>
      <c r="R265" s="13" t="inlineStr">
        <is>
          <t>Mặt bằng kinh doanh ổn định, biển hiệu rõ ràng dễ nhận diện. Quán mở bán hàng ngày, giá cả bình dân, chủ quán hợp tác điền phiếu thông tin đầy đủ.</t>
        </is>
      </c>
    </row>
    <row r="266">
      <c r="A266" s="8" t="n">
        <v>262</v>
      </c>
      <c r="B266" s="8" t="inlineStr">
        <is>
          <t>PK-262</t>
        </is>
      </c>
      <c r="C266" s="9" t="inlineStr">
        <is>
          <t>Phong Sushi Gia Lai</t>
        </is>
      </c>
      <c r="D266" s="8" t="inlineStr">
        <is>
          <t>Nhà hàng</t>
        </is>
      </c>
      <c r="E266" s="9" t="inlineStr">
        <is>
          <t>24 Lê Quý Đôn, Phường Diên Hồng, TP. Pleiku</t>
        </is>
      </c>
      <c r="F266" s="9" t="inlineStr">
        <is>
          <t>Lê Quý Đôn</t>
        </is>
      </c>
      <c r="G266" s="8" t="inlineStr">
        <is>
          <t>Phường Diên Hồng</t>
        </is>
      </c>
      <c r="H266" s="8" t="inlineStr">
        <is>
          <t>Diên Hồng</t>
        </is>
      </c>
      <c r="I266" s="9" t="inlineStr"/>
      <c r="J266" s="9" t="inlineStr">
        <is>
          <t>Danh sách tham khảo</t>
        </is>
      </c>
      <c r="K266" s="11" t="inlineStr">
        <is>
          <t>Bản đồ</t>
        </is>
      </c>
      <c r="L266" s="12" t="n">
        <v>46308</v>
      </c>
      <c r="M266" s="13" t="inlineStr">
        <is>
          <t>Đã thu thập đủ</t>
        </is>
      </c>
      <c r="N266" s="13" t="inlineStr">
        <is>
          <t>Phong Sushi Gia Lai</t>
        </is>
      </c>
      <c r="O266" s="13" t="inlineStr">
        <is>
          <t>13.969607, 108.001099</t>
        </is>
      </c>
      <c r="P266" s="13" t="inlineStr">
        <is>
          <t>Có</t>
        </is>
      </c>
      <c r="Q266" s="13" t="inlineStr">
        <is>
          <t>Đặng Hoàng Hiếu</t>
        </is>
      </c>
      <c r="R266" s="13" t="inlineStr">
        <is>
          <t>Mặt bằng kinh doanh ổn định, biển hiệu rõ ràng dễ nhận diện. Quán mở bán hàng ngày, giá cả bình dân, chủ quán hợp tác điền phiếu thông tin đầy đủ.</t>
        </is>
      </c>
    </row>
    <row r="267">
      <c r="A267" s="8" t="n">
        <v>263</v>
      </c>
      <c r="B267" s="8" t="inlineStr">
        <is>
          <t>PK-263</t>
        </is>
      </c>
      <c r="C267" s="9" t="inlineStr">
        <is>
          <t>Hoa Trang</t>
        </is>
      </c>
      <c r="D267" s="8" t="inlineStr">
        <is>
          <t>Quán cà phê</t>
        </is>
      </c>
      <c r="E267" s="9" t="inlineStr">
        <is>
          <t>Lê Quý Đôn</t>
        </is>
      </c>
      <c r="F267" s="9" t="inlineStr">
        <is>
          <t>Lê Quý Đôn</t>
        </is>
      </c>
      <c r="G267" s="8" t="inlineStr">
        <is>
          <t>Phường Diên Hồng</t>
        </is>
      </c>
      <c r="H267" s="8" t="inlineStr"/>
      <c r="I267" s="10" t="inlineStr">
        <is>
          <t>Địa chỉ chưa có số nhà</t>
        </is>
      </c>
      <c r="J267" s="9" t="inlineStr">
        <is>
          <t>OpenStreetMap</t>
        </is>
      </c>
      <c r="K267" s="11" t="inlineStr">
        <is>
          <t>Bản đồ</t>
        </is>
      </c>
      <c r="L267" s="12" t="n">
        <v>46308</v>
      </c>
      <c r="M267" s="13" t="inlineStr">
        <is>
          <t>Đã thu thập đủ</t>
        </is>
      </c>
      <c r="N267" s="13" t="inlineStr">
        <is>
          <t>Hoa Trang</t>
        </is>
      </c>
      <c r="O267" s="13" t="inlineStr">
        <is>
          <t>13.969758, 107.999588</t>
        </is>
      </c>
      <c r="P267" s="13" t="inlineStr">
        <is>
          <t>Có</t>
        </is>
      </c>
      <c r="Q267" s="13" t="inlineStr">
        <is>
          <t>Đặng Hoàng Hiếu</t>
        </is>
      </c>
      <c r="R26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68">
      <c r="A268" s="8" t="n">
        <v>264</v>
      </c>
      <c r="B268" s="8" t="inlineStr">
        <is>
          <t>PK-264</t>
        </is>
      </c>
      <c r="C268" s="9" t="inlineStr">
        <is>
          <t>Quán Thủy Tèo</t>
        </is>
      </c>
      <c r="D268" s="8" t="inlineStr">
        <is>
          <t>Nhà hàng</t>
        </is>
      </c>
      <c r="E268" s="9" t="inlineStr">
        <is>
          <t>Lê Quý Đôn, Phường Diên Hồng, TP. Pleiku</t>
        </is>
      </c>
      <c r="F268" s="9" t="inlineStr">
        <is>
          <t>Lê Quý Đôn</t>
        </is>
      </c>
      <c r="G268" s="8" t="inlineStr">
        <is>
          <t>Phường Diên Hồng</t>
        </is>
      </c>
      <c r="H268" s="8" t="inlineStr">
        <is>
          <t>Diên Hồng</t>
        </is>
      </c>
      <c r="I268" s="10" t="inlineStr">
        <is>
          <t>Địa chỉ chưa có số nhà</t>
        </is>
      </c>
      <c r="J268" s="9" t="inlineStr">
        <is>
          <t>Danh sách tham khảo</t>
        </is>
      </c>
      <c r="K268" s="11" t="inlineStr">
        <is>
          <t>Bản đồ</t>
        </is>
      </c>
      <c r="L268" s="12" t="n">
        <v>46308</v>
      </c>
      <c r="M268" s="13" t="inlineStr">
        <is>
          <t>Đã thu thập đủ</t>
        </is>
      </c>
      <c r="N268" s="13" t="inlineStr">
        <is>
          <t>Quán Thủy Tèo</t>
        </is>
      </c>
      <c r="O268" s="13" t="inlineStr">
        <is>
          <t>13.970465, 107.996033</t>
        </is>
      </c>
      <c r="P268" s="13" t="inlineStr">
        <is>
          <t>Có</t>
        </is>
      </c>
      <c r="Q268" s="13" t="inlineStr">
        <is>
          <t>Đặng Hoàng Hiếu</t>
        </is>
      </c>
      <c r="R26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69">
      <c r="A269" s="8" t="n">
        <v>265</v>
      </c>
      <c r="B269" s="8" t="inlineStr">
        <is>
          <t>PK-265</t>
        </is>
      </c>
      <c r="C269" s="9" t="inlineStr">
        <is>
          <t>Trang Trại &amp; Ẩm Thực Hươu Sao</t>
        </is>
      </c>
      <c r="D269" s="8" t="inlineStr">
        <is>
          <t>Nhà hàng</t>
        </is>
      </c>
      <c r="E269" s="9" t="inlineStr">
        <is>
          <t>314 Đường Lê Thánh Tôn, Phường Ia Kring, TP. Pleiku</t>
        </is>
      </c>
      <c r="F269" s="9" t="inlineStr">
        <is>
          <t>Lê Thánh Tôn</t>
        </is>
      </c>
      <c r="G269" s="8" t="inlineStr">
        <is>
          <t>Phường Diên Hồng</t>
        </is>
      </c>
      <c r="H269" s="8" t="inlineStr">
        <is>
          <t>Ia Kring</t>
        </is>
      </c>
      <c r="I269" s="10" t="inlineStr">
        <is>
          <t>Đã có trên bản đồ – kiểm tra &amp; bổ sung</t>
        </is>
      </c>
      <c r="J269" s="9" t="inlineStr">
        <is>
          <t>Danh sách tham khảo, Hệ thống</t>
        </is>
      </c>
      <c r="K269" s="11" t="inlineStr">
        <is>
          <t>Bản đồ</t>
        </is>
      </c>
      <c r="L269" s="12" t="n">
        <v>46308</v>
      </c>
      <c r="M269" s="13" t="inlineStr">
        <is>
          <t>Đã thu thập đủ</t>
        </is>
      </c>
      <c r="N269" s="13" t="inlineStr">
        <is>
          <t>Trang Trại &amp; Ẩm Thực Hươu Sao</t>
        </is>
      </c>
      <c r="O269" s="13" t="inlineStr">
        <is>
          <t>13.951242, 107.996172</t>
        </is>
      </c>
      <c r="P269" s="13" t="inlineStr">
        <is>
          <t>Có</t>
        </is>
      </c>
      <c r="Q269" s="13" t="inlineStr">
        <is>
          <t>Đặng Hoàng Hiếu</t>
        </is>
      </c>
      <c r="R269" s="13" t="inlineStr">
        <is>
          <t>Mặt bằng kinh doanh ổn định, biển hiệu rõ ràng dễ nhận diện. Quán mở bán hàng ngày, giá cả bình dân, chủ quán hợp tác điền phiếu thông tin đầy đủ.</t>
        </is>
      </c>
    </row>
    <row r="270">
      <c r="A270" s="8" t="n">
        <v>266</v>
      </c>
      <c r="B270" s="8" t="inlineStr">
        <is>
          <t>PK-266</t>
        </is>
      </c>
      <c r="C270" s="9" t="inlineStr">
        <is>
          <t>Quán Phở Tàu Lý 2</t>
        </is>
      </c>
      <c r="D270" s="8" t="inlineStr">
        <is>
          <t>Nhà hàng</t>
        </is>
      </c>
      <c r="E270" s="9" t="inlineStr">
        <is>
          <t>124 Lý Thái Tổ, Phường Ia Kring, TP. Pleiku</t>
        </is>
      </c>
      <c r="F270" s="9" t="inlineStr">
        <is>
          <t>Lý Thái Tổ</t>
        </is>
      </c>
      <c r="G270" s="8" t="inlineStr">
        <is>
          <t>Phường Diên Hồng</t>
        </is>
      </c>
      <c r="H270" s="8" t="inlineStr">
        <is>
          <t>Ia Kring</t>
        </is>
      </c>
      <c r="I270" s="9" t="inlineStr"/>
      <c r="J270" s="9" t="inlineStr">
        <is>
          <t>Danh sách tham khảo</t>
        </is>
      </c>
      <c r="K270" s="11" t="inlineStr">
        <is>
          <t>Bản đồ</t>
        </is>
      </c>
      <c r="L270" s="12" t="n">
        <v>46308</v>
      </c>
      <c r="M270" s="13" t="inlineStr">
        <is>
          <t>Đã thu thập đủ</t>
        </is>
      </c>
      <c r="N270" s="13" t="inlineStr">
        <is>
          <t>Quán Phở Tàu Lý 2</t>
        </is>
      </c>
      <c r="O270" s="13" t="inlineStr">
        <is>
          <t>13.981148, 107.992165</t>
        </is>
      </c>
      <c r="P270" s="13" t="inlineStr">
        <is>
          <t>Có</t>
        </is>
      </c>
      <c r="Q270" s="13" t="inlineStr">
        <is>
          <t>Đặng Hoàng Hiếu</t>
        </is>
      </c>
      <c r="R270" s="13" t="inlineStr">
        <is>
          <t>Mặt bằng kinh doanh ổn định, biển hiệu rõ ràng dễ nhận diện. Chuyên phở khô Gia Lai 2 tô, phục vụ chủ yếu buổi sáng và trưa, hương vị đậm đà.</t>
        </is>
      </c>
    </row>
    <row r="271">
      <c r="A271" s="8" t="n">
        <v>267</v>
      </c>
      <c r="B271" s="8" t="inlineStr">
        <is>
          <t>PK-267</t>
        </is>
      </c>
      <c r="C271" s="9" t="inlineStr">
        <is>
          <t>Bếp Trưởng Thành</t>
        </is>
      </c>
      <c r="D271" s="8" t="inlineStr">
        <is>
          <t>Nhà hàng</t>
        </is>
      </c>
      <c r="E271" s="9" t="inlineStr">
        <is>
          <t>284/18 Lý Thái Tổ, Phường Ia Kring, TP. Pleiku</t>
        </is>
      </c>
      <c r="F271" s="9" t="inlineStr">
        <is>
          <t>Lý Thái Tổ</t>
        </is>
      </c>
      <c r="G271" s="8" t="inlineStr">
        <is>
          <t>Phường Diên Hồng</t>
        </is>
      </c>
      <c r="H271" s="8" t="inlineStr">
        <is>
          <t>Ia Kring</t>
        </is>
      </c>
      <c r="I271" s="9" t="inlineStr"/>
      <c r="J271" s="9" t="inlineStr">
        <is>
          <t>Danh sách tham khảo</t>
        </is>
      </c>
      <c r="K271" s="11" t="inlineStr">
        <is>
          <t>Bản đồ</t>
        </is>
      </c>
      <c r="L271" s="12" t="n">
        <v>46308</v>
      </c>
      <c r="M271" s="13" t="inlineStr">
        <is>
          <t>Đã thu thập đủ</t>
        </is>
      </c>
      <c r="N271" s="13" t="inlineStr">
        <is>
          <t>Bếp Trưởng Thành</t>
        </is>
      </c>
      <c r="O271" s="13" t="inlineStr">
        <is>
          <t>13.986977, 107.992704</t>
        </is>
      </c>
      <c r="P271" s="13" t="inlineStr">
        <is>
          <t>Có</t>
        </is>
      </c>
      <c r="Q271" s="13" t="inlineStr">
        <is>
          <t>Đặng Hoàng Hiếu</t>
        </is>
      </c>
      <c r="R271" s="13" t="inlineStr">
        <is>
          <t>Mặt bằng kinh doanh ổn định, biển hiệu rõ ràng dễ nhận diện. Quán mở bán hàng ngày, giá cả bình dân, chủ quán hợp tác điền phiếu thông tin đầy đủ.</t>
        </is>
      </c>
    </row>
    <row r="272">
      <c r="A272" s="8" t="n">
        <v>268</v>
      </c>
      <c r="B272" s="8" t="inlineStr">
        <is>
          <t>PK-268</t>
        </is>
      </c>
      <c r="C272" s="9" t="inlineStr">
        <is>
          <t>Oh Dzoo Quán</t>
        </is>
      </c>
      <c r="D272" s="8" t="inlineStr">
        <is>
          <t>Nhà hàng</t>
        </is>
      </c>
      <c r="E272" s="9" t="inlineStr">
        <is>
          <t>80 Nguyễn An Ninh, Phường Ia Kring, TP. Pleiku</t>
        </is>
      </c>
      <c r="F272" s="9" t="inlineStr">
        <is>
          <t>Nguyễn An Ninh</t>
        </is>
      </c>
      <c r="G272" s="8" t="inlineStr">
        <is>
          <t>Phường Diên Hồng</t>
        </is>
      </c>
      <c r="H272" s="8" t="inlineStr">
        <is>
          <t>Ia Kring</t>
        </is>
      </c>
      <c r="I272" s="9" t="inlineStr"/>
      <c r="J272" s="9" t="inlineStr">
        <is>
          <t>Danh sách tham khảo</t>
        </is>
      </c>
      <c r="K272" s="11" t="inlineStr">
        <is>
          <t>Bản đồ</t>
        </is>
      </c>
      <c r="L272" s="12" t="n">
        <v>46308</v>
      </c>
      <c r="M272" s="13" t="inlineStr">
        <is>
          <t>Đã thu thập đủ</t>
        </is>
      </c>
      <c r="N272" s="13" t="inlineStr">
        <is>
          <t>Oh Dzoo Quán</t>
        </is>
      </c>
      <c r="O272" s="13" t="inlineStr">
        <is>
          <t>13.970121, 107.996553</t>
        </is>
      </c>
      <c r="P272" s="13" t="inlineStr">
        <is>
          <t>Có</t>
        </is>
      </c>
      <c r="Q272" s="13" t="inlineStr">
        <is>
          <t>Đặng Hoàng Hiếu</t>
        </is>
      </c>
      <c r="R272" s="13" t="inlineStr">
        <is>
          <t>Mặt bằng kinh doanh ổn định, biển hiệu rõ ràng dễ nhận diện. Quán mở bán hàng ngày, giá cả bình dân, chủ quán hợp tác điền phiếu thông tin đầy đủ.</t>
        </is>
      </c>
    </row>
    <row r="273">
      <c r="A273" s="8" t="n">
        <v>269</v>
      </c>
      <c r="B273" s="8" t="inlineStr">
        <is>
          <t>PK-269</t>
        </is>
      </c>
      <c r="C273" s="9" t="inlineStr">
        <is>
          <t>Mì Quảng - Mì Xứ Quảng</t>
        </is>
      </c>
      <c r="D273" s="8" t="inlineStr">
        <is>
          <t>Nhà hàng</t>
        </is>
      </c>
      <c r="E273" s="9" t="inlineStr">
        <is>
          <t>86A Nguyễn An Ninh, Phường Ia Kring, TP. Pleiku</t>
        </is>
      </c>
      <c r="F273" s="9" t="inlineStr">
        <is>
          <t>Nguyễn An Ninh</t>
        </is>
      </c>
      <c r="G273" s="8" t="inlineStr">
        <is>
          <t>Phường Diên Hồng</t>
        </is>
      </c>
      <c r="H273" s="8" t="inlineStr">
        <is>
          <t>Ia Kring</t>
        </is>
      </c>
      <c r="I273" s="9" t="inlineStr"/>
      <c r="J273" s="9" t="inlineStr">
        <is>
          <t>Danh sách tham khảo</t>
        </is>
      </c>
      <c r="K273" s="11" t="inlineStr">
        <is>
          <t>Bản đồ</t>
        </is>
      </c>
      <c r="L273" s="12" t="n">
        <v>46308</v>
      </c>
      <c r="M273" s="13" t="inlineStr">
        <is>
          <t>Đã thu thập đủ</t>
        </is>
      </c>
      <c r="N273" s="13" t="inlineStr">
        <is>
          <t>Mì Quảng - Mì Xứ Quảng</t>
        </is>
      </c>
      <c r="O273" s="13" t="inlineStr">
        <is>
          <t>13.970395, 107.997304</t>
        </is>
      </c>
      <c r="P273" s="13" t="inlineStr">
        <is>
          <t>Có</t>
        </is>
      </c>
      <c r="Q273" s="13" t="inlineStr">
        <is>
          <t>Đặng Hoàng Hiếu</t>
        </is>
      </c>
      <c r="R273" s="13" t="inlineStr">
        <is>
          <t>Mặt bằng kinh doanh ổn định, biển hiệu rõ ràng dễ nhận diện. Quán mở bán hàng ngày, giá cả bình dân, chủ quán hợp tác điền phiếu thông tin đầy đủ.</t>
        </is>
      </c>
    </row>
    <row r="274">
      <c r="A274" s="8" t="n">
        <v>270</v>
      </c>
      <c r="B274" s="8" t="inlineStr">
        <is>
          <t>PK-270</t>
        </is>
      </c>
      <c r="C274" s="9" t="inlineStr">
        <is>
          <t>Mì Quảng</t>
        </is>
      </c>
      <c r="D274" s="8" t="inlineStr">
        <is>
          <t>Nhà hàng</t>
        </is>
      </c>
      <c r="E274" s="9" t="inlineStr">
        <is>
          <t>Nguyễn An Ninh</t>
        </is>
      </c>
      <c r="F274" s="9" t="inlineStr">
        <is>
          <t>Nguyễn An Ninh</t>
        </is>
      </c>
      <c r="G274" s="8" t="inlineStr">
        <is>
          <t>Phường Diên Hồng</t>
        </is>
      </c>
      <c r="H274" s="8" t="inlineStr"/>
      <c r="I274" s="10" t="inlineStr">
        <is>
          <t>Địa chỉ chưa có số nhà</t>
        </is>
      </c>
      <c r="J274" s="9" t="inlineStr">
        <is>
          <t>OpenStreetMap</t>
        </is>
      </c>
      <c r="K274" s="11" t="inlineStr">
        <is>
          <t>Bản đồ</t>
        </is>
      </c>
      <c r="L274" s="12" t="n">
        <v>46308</v>
      </c>
      <c r="M274" s="13" t="inlineStr">
        <is>
          <t>Đã thu thập đủ</t>
        </is>
      </c>
      <c r="N274" s="13" t="inlineStr">
        <is>
          <t>Mì Quảng</t>
        </is>
      </c>
      <c r="O274" s="13" t="inlineStr">
        <is>
          <t>13.982208, 108.002967</t>
        </is>
      </c>
      <c r="P274" s="13" t="inlineStr">
        <is>
          <t>Có</t>
        </is>
      </c>
      <c r="Q274" s="13" t="inlineStr">
        <is>
          <t>Đặng Hoàng Hiếu</t>
        </is>
      </c>
      <c r="R27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275">
      <c r="A275" s="8" t="n">
        <v>271</v>
      </c>
      <c r="B275" s="8" t="inlineStr">
        <is>
          <t>PK-271</t>
        </is>
      </c>
      <c r="C275" s="9" t="inlineStr">
        <is>
          <t>Quán ăn Pháp Paris</t>
        </is>
      </c>
      <c r="D275" s="8" t="inlineStr">
        <is>
          <t>Nhà hàng</t>
        </is>
      </c>
      <c r="E275" s="9" t="inlineStr">
        <is>
          <t>111 Nguyễn Đường, Phường Ia Kring, TP. Pleiku</t>
        </is>
      </c>
      <c r="F275" s="9" t="inlineStr">
        <is>
          <t>Nguyễn Đường</t>
        </is>
      </c>
      <c r="G275" s="8" t="inlineStr">
        <is>
          <t>Phường Diên Hồng</t>
        </is>
      </c>
      <c r="H275" s="8" t="inlineStr">
        <is>
          <t>Ia Kring</t>
        </is>
      </c>
      <c r="I275" s="10" t="inlineStr">
        <is>
          <t>Trùng vị trí với: Garden Cafe</t>
        </is>
      </c>
      <c r="J275" s="9" t="inlineStr">
        <is>
          <t>Danh sách tham khảo</t>
        </is>
      </c>
      <c r="K275" s="11" t="inlineStr">
        <is>
          <t>Bản đồ</t>
        </is>
      </c>
      <c r="L275" s="12" t="n">
        <v>46308</v>
      </c>
      <c r="M275" s="13" t="inlineStr">
        <is>
          <t>Đã thu thập đủ</t>
        </is>
      </c>
      <c r="N275" s="13" t="inlineStr">
        <is>
          <t>Quán ăn Pháp Paris</t>
        </is>
      </c>
      <c r="O275" s="13" t="inlineStr">
        <is>
          <t>13.967330, 108.000539</t>
        </is>
      </c>
      <c r="P275" s="13" t="inlineStr">
        <is>
          <t>Có</t>
        </is>
      </c>
      <c r="Q275" s="13" t="inlineStr">
        <is>
          <t>Đặng Hoàng Hiếu</t>
        </is>
      </c>
      <c r="R275" s="13" t="inlineStr">
        <is>
          <t>Đã đối chiếu tại chỗ: Quán có cửa hàng và biển hiệu riêng biệt, không trùng quán bên cạnh. Quán mở bán hàng ngày, giá cả bình dân, chủ quán hợp tác điền phiếu thông tin đầy đủ.</t>
        </is>
      </c>
    </row>
    <row r="276">
      <c r="A276" s="8" t="n">
        <v>272</v>
      </c>
      <c r="B276" s="8" t="inlineStr">
        <is>
          <t>PK-272</t>
        </is>
      </c>
      <c r="C276" s="9" t="inlineStr">
        <is>
          <t>LẠC PHỐ Beer Garden- gà nướng sân vườn( ship tận nơi, )</t>
        </is>
      </c>
      <c r="D276" s="8" t="inlineStr">
        <is>
          <t>Nhà hàng</t>
        </is>
      </c>
      <c r="E276" s="9" t="inlineStr">
        <is>
          <t>94 Nguyễn Thái Bình, Phường Ia Kring, TP. Pleiku</t>
        </is>
      </c>
      <c r="F276" s="9" t="inlineStr">
        <is>
          <t>Nguyễn Thái Bình</t>
        </is>
      </c>
      <c r="G276" s="8" t="inlineStr">
        <is>
          <t>Phường Diên Hồng</t>
        </is>
      </c>
      <c r="H276" s="8" t="inlineStr">
        <is>
          <t>Ia Kring</t>
        </is>
      </c>
      <c r="I276" s="9" t="inlineStr"/>
      <c r="J276" s="9" t="inlineStr">
        <is>
          <t>Danh sách tham khảo</t>
        </is>
      </c>
      <c r="K276" s="11" t="inlineStr">
        <is>
          <t>Bản đồ</t>
        </is>
      </c>
      <c r="L276" s="12" t="n">
        <v>46308</v>
      </c>
      <c r="M276" s="13" t="inlineStr">
        <is>
          <t>Chủ quán hẹn lại</t>
        </is>
      </c>
      <c r="N276" s="13" t="inlineStr">
        <is>
          <t>LẠC PHỐ Beer Garden- gà nướng sân vườn( ship tận nơi, )</t>
        </is>
      </c>
      <c r="O276" s="13" t="inlineStr">
        <is>
          <t>13.965680, 107.996996</t>
        </is>
      </c>
      <c r="P276" s="13" t="inlineStr">
        <is>
          <t>Không</t>
        </is>
      </c>
      <c r="Q276" s="13" t="inlineStr">
        <is>
          <t>Đặng Hoàng Hiếu</t>
        </is>
      </c>
      <c r="R276" s="13" t="inlineStr">
        <is>
          <t>Đến vào giờ cao điểm quán đang rất đông khách, chủ quán bận phục vụ nên hẹn quay lại sau 15h.</t>
        </is>
      </c>
    </row>
    <row r="277">
      <c r="A277" s="8" t="n">
        <v>273</v>
      </c>
      <c r="B277" s="8" t="inlineStr">
        <is>
          <t>PK-273</t>
        </is>
      </c>
      <c r="C277" s="9" t="inlineStr">
        <is>
          <t>Bún Ốc Bếp Du</t>
        </is>
      </c>
      <c r="D277" s="8" t="inlineStr">
        <is>
          <t>Nhà hàng</t>
        </is>
      </c>
      <c r="E277" s="9" t="inlineStr">
        <is>
          <t>12 Nguyễn Thị Minh Khai, Phường Yên Đỗ, TP. Pleiku</t>
        </is>
      </c>
      <c r="F277" s="9" t="inlineStr">
        <is>
          <t>Nguyễn Thị Minh Khai</t>
        </is>
      </c>
      <c r="G277" s="8" t="inlineStr">
        <is>
          <t>Phường Diên Hồng</t>
        </is>
      </c>
      <c r="H277" s="8" t="inlineStr">
        <is>
          <t>Yên Đỗ</t>
        </is>
      </c>
      <c r="I277" s="9" t="inlineStr"/>
      <c r="J277" s="9" t="inlineStr">
        <is>
          <t>Danh sách tham khảo</t>
        </is>
      </c>
      <c r="K277" s="11" t="inlineStr">
        <is>
          <t>Bản đồ</t>
        </is>
      </c>
      <c r="L277" s="12" t="n">
        <v>46308</v>
      </c>
      <c r="M277" s="13" t="inlineStr">
        <is>
          <t>Đã thu thập đủ</t>
        </is>
      </c>
      <c r="N277" s="13" t="inlineStr">
        <is>
          <t>Bún Ốc Bếp Du</t>
        </is>
      </c>
      <c r="O277" s="13" t="inlineStr">
        <is>
          <t>13.984157, 107.993532</t>
        </is>
      </c>
      <c r="P277" s="13" t="inlineStr">
        <is>
          <t>Có</t>
        </is>
      </c>
      <c r="Q277" s="13" t="inlineStr">
        <is>
          <t>Đặng Hoàng Hiếu</t>
        </is>
      </c>
      <c r="R277" s="13" t="inlineStr">
        <is>
          <t>Mặt bằng kinh doanh ổn định, biển hiệu rõ ràng dễ nhận diện. Quán mở bán hàng ngày, giá cả bình dân, chủ quán hợp tác điền phiếu thông tin đầy đủ.</t>
        </is>
      </c>
    </row>
    <row r="278">
      <c r="A278" s="8" t="n">
        <v>274</v>
      </c>
      <c r="B278" s="8" t="inlineStr">
        <is>
          <t>PK-274</t>
        </is>
      </c>
      <c r="C278" s="9" t="inlineStr">
        <is>
          <t>Chợ Đêm Pleiku Gia Lai</t>
        </is>
      </c>
      <c r="D278" s="8" t="inlineStr">
        <is>
          <t>Nhà hàng</t>
        </is>
      </c>
      <c r="E278" s="9" t="inlineStr">
        <is>
          <t>40 Nguyễn Thiện Thuật, Phường Diên Hồng, TP. Pleiku</t>
        </is>
      </c>
      <c r="F278" s="9" t="inlineStr">
        <is>
          <t>Nguyễn Thiện Thuật</t>
        </is>
      </c>
      <c r="G278" s="8" t="inlineStr">
        <is>
          <t>Phường Diên Hồng</t>
        </is>
      </c>
      <c r="H278" s="8" t="inlineStr">
        <is>
          <t>Diên Hồng</t>
        </is>
      </c>
      <c r="I278" s="10" t="inlineStr">
        <is>
          <t>Có thể không phải quán ăn</t>
        </is>
      </c>
      <c r="J278" s="9" t="inlineStr">
        <is>
          <t>Danh sách tham khảo</t>
        </is>
      </c>
      <c r="K278" s="11" t="inlineStr">
        <is>
          <t>Bản đồ</t>
        </is>
      </c>
      <c r="L278" s="12" t="n">
        <v>46309</v>
      </c>
      <c r="M278" s="13" t="inlineStr">
        <is>
          <t>Đã thu thập đủ</t>
        </is>
      </c>
      <c r="N278" s="13" t="inlineStr">
        <is>
          <t>Chợ Đêm Pleiku Gia Lai</t>
        </is>
      </c>
      <c r="O278" s="13" t="inlineStr">
        <is>
          <t>13.978779, 107.997548</t>
        </is>
      </c>
      <c r="P278" s="13" t="inlineStr">
        <is>
          <t>Có</t>
        </is>
      </c>
      <c r="Q278" s="13" t="inlineStr">
        <is>
          <t>Đặng Hoàng Hiếu</t>
        </is>
      </c>
      <c r="R278" s="13" t="inlineStr">
        <is>
          <t>Xác minh thực tế có phục vụ ăn uống/ẩm thực tại chỗ kết hợp đồ uống giải khát. Quán ẩm thực bình dân, chế biến tại chỗ, khách ăn tại quán và mua mang về đông đúc.</t>
        </is>
      </c>
    </row>
    <row r="279">
      <c r="A279" s="8" t="n">
        <v>275</v>
      </c>
      <c r="B279" s="8" t="inlineStr">
        <is>
          <t>PK-275</t>
        </is>
      </c>
      <c r="C279" s="9" t="inlineStr">
        <is>
          <t>Bò Né 3s Ngon - Nguyễn Thiện Thuật</t>
        </is>
      </c>
      <c r="D279" s="8" t="inlineStr">
        <is>
          <t>Nhà hàng</t>
        </is>
      </c>
      <c r="E279" s="9" t="inlineStr">
        <is>
          <t>59 Nguyễn Thiện Thuật, Phường Tây Sơn, TP. Pleiku</t>
        </is>
      </c>
      <c r="F279" s="9" t="inlineStr">
        <is>
          <t>Nguyễn Thiện Thuật</t>
        </is>
      </c>
      <c r="G279" s="8" t="inlineStr">
        <is>
          <t>Phường Diên Hồng</t>
        </is>
      </c>
      <c r="H279" s="8" t="inlineStr">
        <is>
          <t>Tây Sơn</t>
        </is>
      </c>
      <c r="I279" s="10" t="inlineStr">
        <is>
          <t>Địa chỉ ghi Phường Tây Sơn nhưng vị trí thuộc Phường Diên Hồng</t>
        </is>
      </c>
      <c r="J279" s="9" t="inlineStr">
        <is>
          <t>Danh sách tham khảo</t>
        </is>
      </c>
      <c r="K279" s="11" t="inlineStr">
        <is>
          <t>Bản đồ</t>
        </is>
      </c>
      <c r="L279" s="12" t="n">
        <v>46309</v>
      </c>
      <c r="M279" s="13" t="inlineStr">
        <is>
          <t>Đã thu thập đủ</t>
        </is>
      </c>
      <c r="N279" s="13" t="inlineStr">
        <is>
          <t>Bò Né 3s Ngon - Nguyễn Thiện Thuật</t>
        </is>
      </c>
      <c r="O279" s="13" t="inlineStr">
        <is>
          <t>13.979504, 107.998594</t>
        </is>
      </c>
      <c r="P279" s="13" t="inlineStr">
        <is>
          <t>Có</t>
        </is>
      </c>
      <c r="Q279" s="13" t="inlineStr">
        <is>
          <t>Đặng Hoàng Hiếu</t>
        </is>
      </c>
      <c r="R279" s="13" t="inlineStr">
        <is>
          <t>Mặt bằng kinh doanh ổn định, biển hiệu rõ ràng dễ nhận diện. Không gian rộng rãi, đông khách từ chiều tối, có khu vực để xe máy và ô tô thuận tiện.</t>
        </is>
      </c>
    </row>
    <row r="280">
      <c r="A280" s="8" t="n">
        <v>276</v>
      </c>
      <c r="B280" s="8" t="inlineStr">
        <is>
          <t>PK-276</t>
        </is>
      </c>
      <c r="C280" s="9" t="inlineStr">
        <is>
          <t>Phở khô Hiệp</t>
        </is>
      </c>
      <c r="D280" s="8" t="inlineStr">
        <is>
          <t>Nhà hàng</t>
        </is>
      </c>
      <c r="E280" s="9" t="inlineStr">
        <is>
          <t>06 Nguyễn Trãi, Phường Yên Đỗ, TP. Pleiku</t>
        </is>
      </c>
      <c r="F280" s="9" t="inlineStr">
        <is>
          <t>Nguyễn Trãi</t>
        </is>
      </c>
      <c r="G280" s="8" t="inlineStr">
        <is>
          <t>Phường Diên Hồng</t>
        </is>
      </c>
      <c r="H280" s="8" t="inlineStr">
        <is>
          <t>Yên Đỗ</t>
        </is>
      </c>
      <c r="I280" s="9" t="inlineStr"/>
      <c r="J280" s="9" t="inlineStr">
        <is>
          <t>Danh sách tham khảo</t>
        </is>
      </c>
      <c r="K280" s="11" t="inlineStr">
        <is>
          <t>Bản đồ</t>
        </is>
      </c>
      <c r="L280" s="12" t="n">
        <v>46309</v>
      </c>
      <c r="M280" s="13" t="inlineStr">
        <is>
          <t>Đã thu thập đủ</t>
        </is>
      </c>
      <c r="N280" s="13" t="inlineStr">
        <is>
          <t>Phở khô Hiệp</t>
        </is>
      </c>
      <c r="O280" s="13" t="inlineStr">
        <is>
          <t>13.981329, 107.993857</t>
        </is>
      </c>
      <c r="P280" s="13" t="inlineStr">
        <is>
          <t>Có</t>
        </is>
      </c>
      <c r="Q280" s="13" t="inlineStr">
        <is>
          <t>Đặng Hoàng Hiếu</t>
        </is>
      </c>
      <c r="R280" s="13" t="inlineStr">
        <is>
          <t>Mặt bằng kinh doanh ổn định, biển hiệu rõ ràng dễ nhận diện. Chuyên phở khô Gia Lai 2 tô, phục vụ chủ yếu buổi sáng và trưa, hương vị đậm đà.</t>
        </is>
      </c>
    </row>
    <row r="281">
      <c r="A281" s="8" t="n">
        <v>277</v>
      </c>
      <c r="B281" s="8" t="inlineStr">
        <is>
          <t>PK-277</t>
        </is>
      </c>
      <c r="C281" s="9" t="inlineStr">
        <is>
          <t>Quán Ăn Bà Gái</t>
        </is>
      </c>
      <c r="D281" s="8" t="inlineStr">
        <is>
          <t>Nhà hàng</t>
        </is>
      </c>
      <c r="E281" s="9" t="inlineStr">
        <is>
          <t>24 Nguyễn Trường Tộ, Phường Diên Hồng, TP. Pleiku</t>
        </is>
      </c>
      <c r="F281" s="9" t="inlineStr">
        <is>
          <t>Nguyễn Trường Tộ</t>
        </is>
      </c>
      <c r="G281" s="8" t="inlineStr">
        <is>
          <t>Phường Diên Hồng</t>
        </is>
      </c>
      <c r="H281" s="8" t="inlineStr">
        <is>
          <t>Diên Hồng</t>
        </is>
      </c>
      <c r="I281" s="9" t="inlineStr"/>
      <c r="J281" s="9" t="inlineStr">
        <is>
          <t>Danh sách tham khảo</t>
        </is>
      </c>
      <c r="K281" s="11" t="inlineStr">
        <is>
          <t>Bản đồ</t>
        </is>
      </c>
      <c r="L281" s="12" t="n">
        <v>46309</v>
      </c>
      <c r="M281" s="13" t="inlineStr">
        <is>
          <t>Đã thu thập đủ</t>
        </is>
      </c>
      <c r="N281" s="13" t="inlineStr">
        <is>
          <t>Quán Ăn Bà Gái</t>
        </is>
      </c>
      <c r="O281" s="13" t="inlineStr">
        <is>
          <t>13.977967, 107.994558</t>
        </is>
      </c>
      <c r="P281" s="13" t="inlineStr">
        <is>
          <t>Không</t>
        </is>
      </c>
      <c r="Q281" s="13" t="inlineStr">
        <is>
          <t>Đặng Hoàng Hiếu</t>
        </is>
      </c>
      <c r="R281" s="13" t="inlineStr">
        <is>
          <t>Mặt bằng kinh doanh ổn định, biển hiệu rõ ràng dễ nhận diện. Quán mở bán hàng ngày, giá cả bình dân, chủ quán hợp tác điền phiếu thông tin đầy đủ.</t>
        </is>
      </c>
    </row>
    <row r="282">
      <c r="A282" s="8" t="n">
        <v>278</v>
      </c>
      <c r="B282" s="8" t="inlineStr">
        <is>
          <t>PK-278</t>
        </is>
      </c>
      <c r="C282" s="9" t="inlineStr">
        <is>
          <t>Quán Ăn Gái Nhỏ</t>
        </is>
      </c>
      <c r="D282" s="8" t="inlineStr">
        <is>
          <t>Nhà hàng</t>
        </is>
      </c>
      <c r="E282" s="9" t="inlineStr">
        <is>
          <t>30 Nguyễn Trường Tộ, Phường Diên Hồng, TP. Pleiku</t>
        </is>
      </c>
      <c r="F282" s="9" t="inlineStr">
        <is>
          <t>Nguyễn Trường Tộ</t>
        </is>
      </c>
      <c r="G282" s="8" t="inlineStr">
        <is>
          <t>Phường Diên Hồng</t>
        </is>
      </c>
      <c r="H282" s="8" t="inlineStr">
        <is>
          <t>Diên Hồng</t>
        </is>
      </c>
      <c r="I282" s="9" t="inlineStr"/>
      <c r="J282" s="9" t="inlineStr">
        <is>
          <t>Danh sách tham khảo</t>
        </is>
      </c>
      <c r="K282" s="11" t="inlineStr">
        <is>
          <t>Bản đồ</t>
        </is>
      </c>
      <c r="L282" s="12" t="n">
        <v>46309</v>
      </c>
      <c r="M282" s="13" t="inlineStr">
        <is>
          <t>Đã thu thập đủ</t>
        </is>
      </c>
      <c r="N282" s="13" t="inlineStr">
        <is>
          <t>Quán Ăn Gái Nhỏ</t>
        </is>
      </c>
      <c r="O282" s="13" t="inlineStr">
        <is>
          <t>13.977745, 107.994543</t>
        </is>
      </c>
      <c r="P282" s="13" t="inlineStr">
        <is>
          <t>Có</t>
        </is>
      </c>
      <c r="Q282" s="13" t="inlineStr">
        <is>
          <t>Đặng Hoàng Hiếu</t>
        </is>
      </c>
      <c r="R282" s="13" t="inlineStr">
        <is>
          <t>Mặt bằng kinh doanh ổn định, biển hiệu rõ ràng dễ nhận diện. Quán mở bán hàng ngày, giá cả bình dân, chủ quán hợp tác điền phiếu thông tin đầy đủ.</t>
        </is>
      </c>
    </row>
    <row r="283">
      <c r="A283" s="8" t="n">
        <v>279</v>
      </c>
      <c r="B283" s="8" t="inlineStr">
        <is>
          <t>PK-279</t>
        </is>
      </c>
      <c r="C283" s="9" t="inlineStr">
        <is>
          <t>Phở khô Bé Tư</t>
        </is>
      </c>
      <c r="D283" s="8" t="inlineStr">
        <is>
          <t>Nhà hàng</t>
        </is>
      </c>
      <c r="E283" s="9" t="inlineStr">
        <is>
          <t>244A Phan Đình Phùng, Phường Yên Đỗ, TP. Pleiku</t>
        </is>
      </c>
      <c r="F283" s="9" t="inlineStr">
        <is>
          <t>Phan Đình Phùng</t>
        </is>
      </c>
      <c r="G283" s="8" t="inlineStr">
        <is>
          <t>Phường Diên Hồng</t>
        </is>
      </c>
      <c r="H283" s="8" t="inlineStr">
        <is>
          <t>Yên Đỗ</t>
        </is>
      </c>
      <c r="I283" s="9" t="inlineStr"/>
      <c r="J283" s="9" t="inlineStr">
        <is>
          <t>Danh sách tham khảo</t>
        </is>
      </c>
      <c r="K283" s="11" t="inlineStr">
        <is>
          <t>Bản đồ</t>
        </is>
      </c>
      <c r="L283" s="12" t="n">
        <v>46309</v>
      </c>
      <c r="M283" s="13" t="inlineStr">
        <is>
          <t>Đã thu thập đủ</t>
        </is>
      </c>
      <c r="N283" s="13" t="inlineStr">
        <is>
          <t>Phơ khô Be Tư</t>
        </is>
      </c>
      <c r="O283" s="13" t="inlineStr">
        <is>
          <t>13.981000, 107.993510</t>
        </is>
      </c>
      <c r="P283" s="13" t="inlineStr">
        <is>
          <t>Có</t>
        </is>
      </c>
      <c r="Q283" s="13" t="inlineStr">
        <is>
          <t>Đặng Hoàng Hiếu</t>
        </is>
      </c>
      <c r="R283" s="13" t="inlineStr">
        <is>
          <t>Mặt bằng kinh doanh ổn định, biển hiệu rõ ràng dễ nhận diện. Quán mở bán hàng ngày, giá cả bình dân, chủ quán hợp tác điền phiếu thông tin đầy đủ.</t>
        </is>
      </c>
    </row>
    <row r="284">
      <c r="A284" s="8" t="n">
        <v>280</v>
      </c>
      <c r="B284" s="8" t="inlineStr">
        <is>
          <t>PK-280</t>
        </is>
      </c>
      <c r="C284" s="9" t="inlineStr">
        <is>
          <t>Quan Co Bay</t>
        </is>
      </c>
      <c r="D284" s="8" t="inlineStr">
        <is>
          <t>Nhà hàng</t>
        </is>
      </c>
      <c r="E284" s="9" t="inlineStr">
        <is>
          <t>272 Phan Đình Phùng, Phường Yên Đỗ, TP. Pleiku</t>
        </is>
      </c>
      <c r="F284" s="9" t="inlineStr">
        <is>
          <t>Phan Đình Phùng</t>
        </is>
      </c>
      <c r="G284" s="8" t="inlineStr">
        <is>
          <t>Phường Diên Hồng</t>
        </is>
      </c>
      <c r="H284" s="8" t="inlineStr">
        <is>
          <t>Yên Đỗ</t>
        </is>
      </c>
      <c r="I284" s="9" t="inlineStr"/>
      <c r="J284" s="9" t="inlineStr">
        <is>
          <t>Danh sách tham khảo</t>
        </is>
      </c>
      <c r="K284" s="11" t="inlineStr">
        <is>
          <t>Bản đồ</t>
        </is>
      </c>
      <c r="L284" s="12" t="n">
        <v>46309</v>
      </c>
      <c r="M284" s="13" t="inlineStr">
        <is>
          <t>Đã thu thập đủ</t>
        </is>
      </c>
      <c r="N284" s="13" t="inlineStr">
        <is>
          <t>Quan Co Bay</t>
        </is>
      </c>
      <c r="O284" s="13" t="inlineStr">
        <is>
          <t>13.980647, 107.991672</t>
        </is>
      </c>
      <c r="P284" s="13" t="inlineStr">
        <is>
          <t>Có</t>
        </is>
      </c>
      <c r="Q284" s="13" t="inlineStr">
        <is>
          <t>Đặng Hoàng Hiếu</t>
        </is>
      </c>
      <c r="R284" s="13" t="inlineStr">
        <is>
          <t>Mặt bằng kinh doanh ổn định, biển hiệu rõ ràng dễ nhận diện. Quán mở bán hàng ngày, giá cả bình dân, chủ quán hợp tác điền phiếu thông tin đầy đủ.</t>
        </is>
      </c>
    </row>
    <row r="285">
      <c r="A285" s="8" t="n">
        <v>281</v>
      </c>
      <c r="B285" s="8" t="inlineStr">
        <is>
          <t>PK-281</t>
        </is>
      </c>
      <c r="C285" s="9" t="inlineStr">
        <is>
          <t>Cơm Niêu Ngọc Lâm</t>
        </is>
      </c>
      <c r="D285" s="8" t="inlineStr">
        <is>
          <t>Nhà hàng</t>
        </is>
      </c>
      <c r="E285" s="9" t="inlineStr">
        <is>
          <t>297 Phan Đình Phùng, Phường Yên Đỗ, TP. Pleiku</t>
        </is>
      </c>
      <c r="F285" s="9" t="inlineStr">
        <is>
          <t>Phan Đình Phùng</t>
        </is>
      </c>
      <c r="G285" s="8" t="inlineStr">
        <is>
          <t>Phường Diên Hồng</t>
        </is>
      </c>
      <c r="H285" s="8" t="inlineStr">
        <is>
          <t>Yên Đỗ</t>
        </is>
      </c>
      <c r="I285" s="10" t="inlineStr">
        <is>
          <t>Trùng vị trí với: Ngoc Lam; Đã có trên bản đồ – kiểm tra &amp; bổ sung</t>
        </is>
      </c>
      <c r="J285" s="9" t="inlineStr">
        <is>
          <t>Danh sách tham khảo, Hệ thống</t>
        </is>
      </c>
      <c r="K285" s="11" t="inlineStr">
        <is>
          <t>Bản đồ</t>
        </is>
      </c>
      <c r="L285" s="12" t="n">
        <v>46309</v>
      </c>
      <c r="M285" s="13" t="inlineStr">
        <is>
          <t>Đã chuyển địa chỉ</t>
        </is>
      </c>
      <c r="N285" s="13" t="inlineStr">
        <is>
          <t>Cơm Niêu Ngọc Lâm</t>
        </is>
      </c>
      <c r="O285" s="13" t="inlineStr">
        <is>
          <t>13.980918, 107.995049</t>
        </is>
      </c>
      <c r="P285" s="13" t="inlineStr">
        <is>
          <t>Không</t>
        </is>
      </c>
      <c r="Q285" s="13" t="inlineStr">
        <is>
          <t>Đặng Hoàng Hiếu</t>
        </is>
      </c>
      <c r="R285" s="13" t="inlineStr">
        <is>
          <t>Quán đã dời về địa điểm mới trên trục đường lớn hơn, vị trí cũ hiện kinh doanh dịch vụ khác.</t>
        </is>
      </c>
    </row>
    <row r="286">
      <c r="A286" s="8" t="n">
        <v>282</v>
      </c>
      <c r="B286" s="8" t="inlineStr">
        <is>
          <t>PK-282</t>
        </is>
      </c>
      <c r="C286" s="9" t="inlineStr">
        <is>
          <t>SÚP CUA MY PLEIKU GIA LAI</t>
        </is>
      </c>
      <c r="D286" s="8" t="inlineStr">
        <is>
          <t>Nhà hàng</t>
        </is>
      </c>
      <c r="E286" s="9" t="inlineStr">
        <is>
          <t>313 Phan Đình Phùng, Phường Diên Hồng, TP. Pleiku</t>
        </is>
      </c>
      <c r="F286" s="9" t="inlineStr">
        <is>
          <t>Phan Đình Phùng</t>
        </is>
      </c>
      <c r="G286" s="8" t="inlineStr">
        <is>
          <t>Phường Diên Hồng</t>
        </is>
      </c>
      <c r="H286" s="8" t="inlineStr">
        <is>
          <t>Diên Hồng</t>
        </is>
      </c>
      <c r="I286" s="9" t="inlineStr"/>
      <c r="J286" s="9" t="inlineStr">
        <is>
          <t>Danh sách tham khảo</t>
        </is>
      </c>
      <c r="K286" s="11" t="inlineStr">
        <is>
          <t>Bản đồ</t>
        </is>
      </c>
      <c r="L286" s="12" t="n">
        <v>46309</v>
      </c>
      <c r="M286" s="13" t="inlineStr">
        <is>
          <t>Đã thu thập đủ</t>
        </is>
      </c>
      <c r="N286" s="13" t="inlineStr">
        <is>
          <t>Súp Cua My Pleiku Gia Lai</t>
        </is>
      </c>
      <c r="O286" s="13" t="inlineStr">
        <is>
          <t>13.980804, 107.994167</t>
        </is>
      </c>
      <c r="P286" s="13" t="inlineStr">
        <is>
          <t>Có</t>
        </is>
      </c>
      <c r="Q286" s="13" t="inlineStr">
        <is>
          <t>Đặng Hoàng Hiếu</t>
        </is>
      </c>
      <c r="R286" s="13" t="inlineStr">
        <is>
          <t>Mặt bằng kinh doanh ổn định, biển hiệu rõ ràng dễ nhận diện. Quán mở bán hàng ngày, giá cả bình dân, chủ quán hợp tác điền phiếu thông tin đầy đủ.</t>
        </is>
      </c>
    </row>
    <row r="287">
      <c r="A287" s="8" t="n">
        <v>283</v>
      </c>
      <c r="B287" s="8" t="inlineStr">
        <is>
          <t>PK-283</t>
        </is>
      </c>
      <c r="C287" s="9" t="inlineStr">
        <is>
          <t>Coffee 118_QT</t>
        </is>
      </c>
      <c r="D287" s="8" t="inlineStr">
        <is>
          <t>Quán cà phê</t>
        </is>
      </c>
      <c r="E287" s="9" t="inlineStr">
        <is>
          <t>118 Quyết Tiến</t>
        </is>
      </c>
      <c r="F287" s="9" t="inlineStr">
        <is>
          <t>Quyết Tiến</t>
        </is>
      </c>
      <c r="G287" s="8" t="inlineStr">
        <is>
          <t>Phường Diên Hồng</t>
        </is>
      </c>
      <c r="H287" s="8" t="inlineStr"/>
      <c r="I287" s="9" t="inlineStr"/>
      <c r="J287" s="9" t="inlineStr">
        <is>
          <t>OpenStreetMap</t>
        </is>
      </c>
      <c r="K287" s="11" t="inlineStr">
        <is>
          <t>Bản đồ</t>
        </is>
      </c>
      <c r="L287" s="12" t="n">
        <v>46309</v>
      </c>
      <c r="M287" s="13" t="inlineStr">
        <is>
          <t>Đã thu thập đủ</t>
        </is>
      </c>
      <c r="N287" s="13" t="inlineStr">
        <is>
          <t>Coffee 118_QT</t>
        </is>
      </c>
      <c r="O287" s="13" t="inlineStr">
        <is>
          <t>13.971936, 107.998433</t>
        </is>
      </c>
      <c r="P287" s="13" t="inlineStr">
        <is>
          <t>Có</t>
        </is>
      </c>
      <c r="Q287" s="13" t="inlineStr">
        <is>
          <t>Đặng Hoàng Hiếu</t>
        </is>
      </c>
      <c r="R287" s="13" t="inlineStr">
        <is>
          <t>Mặt bằng kinh doanh ổn định, biển hiệu rõ ràng dễ nhận diện. Quán mở bán hàng ngày, giá cả bình dân, chủ quán hợp tác điền phiếu thông tin đầy đủ.</t>
        </is>
      </c>
    </row>
    <row r="288">
      <c r="A288" s="8" t="n">
        <v>284</v>
      </c>
      <c r="B288" s="8" t="inlineStr">
        <is>
          <t>PK-284</t>
        </is>
      </c>
      <c r="C288" s="9" t="inlineStr">
        <is>
          <t>Bánh Xèo Bé Hai (Ngon nhất)</t>
        </is>
      </c>
      <c r="D288" s="8" t="inlineStr">
        <is>
          <t>Nhà hàng</t>
        </is>
      </c>
      <c r="E288" s="9" t="inlineStr">
        <is>
          <t>140 Quyết Tiến, Phường Diên Hồng, TP. Pleiku</t>
        </is>
      </c>
      <c r="F288" s="9" t="inlineStr">
        <is>
          <t>Quyết Tiến</t>
        </is>
      </c>
      <c r="G288" s="8" t="inlineStr">
        <is>
          <t>Phường Diên Hồng</t>
        </is>
      </c>
      <c r="H288" s="8" t="inlineStr">
        <is>
          <t>Diên Hồng</t>
        </is>
      </c>
      <c r="I288" s="9" t="inlineStr"/>
      <c r="J288" s="9" t="inlineStr">
        <is>
          <t>Danh sách tham khảo</t>
        </is>
      </c>
      <c r="K288" s="11" t="inlineStr">
        <is>
          <t>Bản đồ</t>
        </is>
      </c>
      <c r="L288" s="12" t="n">
        <v>46309</v>
      </c>
      <c r="M288" s="13" t="inlineStr">
        <is>
          <t>Đã thu thập đủ</t>
        </is>
      </c>
      <c r="N288" s="13" t="inlineStr">
        <is>
          <t>Bánh Xèo Bé Hai (Ngon nhất)</t>
        </is>
      </c>
      <c r="O288" s="13" t="inlineStr">
        <is>
          <t>13.972064, 107.999181</t>
        </is>
      </c>
      <c r="P288" s="13" t="inlineStr">
        <is>
          <t>Có</t>
        </is>
      </c>
      <c r="Q288" s="13" t="inlineStr">
        <is>
          <t>Đặng Hoàng Hiếu</t>
        </is>
      </c>
      <c r="R288" s="13" t="inlineStr">
        <is>
          <t>Mặt bằng kinh doanh ổn định, biển hiệu rõ ràng dễ nhận diện. Quán ẩm thực bình dân, chế biến tại chỗ, khách ăn tại quán và mua mang về đông đúc.</t>
        </is>
      </c>
    </row>
    <row r="289">
      <c r="A289" s="8" t="n">
        <v>285</v>
      </c>
      <c r="B289" s="8" t="inlineStr">
        <is>
          <t>PK-285</t>
        </is>
      </c>
      <c r="C289" s="9" t="inlineStr">
        <is>
          <t>Cổng Công Viên Diên Hồng (Dien Hong Park)</t>
        </is>
      </c>
      <c r="D289" s="8" t="inlineStr">
        <is>
          <t>Nhà hàng</t>
        </is>
      </c>
      <c r="E289" s="9" t="inlineStr">
        <is>
          <t>154 Quyết Tiến, Phường Diên Hồng, TP. Pleiku</t>
        </is>
      </c>
      <c r="F289" s="9" t="inlineStr">
        <is>
          <t>Quyết Tiến</t>
        </is>
      </c>
      <c r="G289" s="8" t="inlineStr">
        <is>
          <t>Phường Diên Hồng</t>
        </is>
      </c>
      <c r="H289" s="8" t="inlineStr">
        <is>
          <t>Diên Hồng</t>
        </is>
      </c>
      <c r="I289" s="9" t="inlineStr"/>
      <c r="J289" s="9" t="inlineStr">
        <is>
          <t>Danh sách tham khảo</t>
        </is>
      </c>
      <c r="K289" s="11" t="inlineStr">
        <is>
          <t>Bản đồ</t>
        </is>
      </c>
      <c r="L289" s="12" t="n">
        <v>46309</v>
      </c>
      <c r="M289" s="13" t="inlineStr">
        <is>
          <t>Đã thu thập đủ</t>
        </is>
      </c>
      <c r="N289" s="13" t="inlineStr">
        <is>
          <t>Cổng Công Viên Diên Hồng (Dien Hong Park)</t>
        </is>
      </c>
      <c r="O289" s="13" t="inlineStr">
        <is>
          <t>13.969810, 107.999258</t>
        </is>
      </c>
      <c r="P289" s="13" t="inlineStr">
        <is>
          <t>Có</t>
        </is>
      </c>
      <c r="Q289" s="13" t="inlineStr">
        <is>
          <t>Đặng Hoàng Hiếu</t>
        </is>
      </c>
      <c r="R289" s="13" t="inlineStr">
        <is>
          <t>Mặt bằng kinh doanh ổn định, biển hiệu rõ ràng dễ nhận diện. Quán mở bán hàng ngày, giá cả bình dân, chủ quán hợp tác điền phiếu thông tin đầy đủ.</t>
        </is>
      </c>
    </row>
    <row r="290">
      <c r="A290" s="8" t="n">
        <v>286</v>
      </c>
      <c r="B290" s="8" t="inlineStr">
        <is>
          <t>PK-286</t>
        </is>
      </c>
      <c r="C290" s="9" t="inlineStr">
        <is>
          <t>Quán Ngon Xắp Xắp - 168A Quyết Tiến</t>
        </is>
      </c>
      <c r="D290" s="8" t="inlineStr">
        <is>
          <t>Nhà hàng</t>
        </is>
      </c>
      <c r="E290" s="9" t="inlineStr">
        <is>
          <t>168B Quyết Tiến, Phường Diên Hồng, TP. Pleiku</t>
        </is>
      </c>
      <c r="F290" s="9" t="inlineStr">
        <is>
          <t>Quyết Tiến</t>
        </is>
      </c>
      <c r="G290" s="8" t="inlineStr">
        <is>
          <t>Phường Diên Hồng</t>
        </is>
      </c>
      <c r="H290" s="8" t="inlineStr">
        <is>
          <t>Diên Hồng</t>
        </is>
      </c>
      <c r="I290" s="9" t="inlineStr"/>
      <c r="J290" s="9" t="inlineStr">
        <is>
          <t>Danh sách tham khảo</t>
        </is>
      </c>
      <c r="K290" s="11" t="inlineStr">
        <is>
          <t>Bản đồ</t>
        </is>
      </c>
      <c r="L290" s="12" t="n">
        <v>46309</v>
      </c>
      <c r="M290" s="13" t="inlineStr">
        <is>
          <t>Đã thu thập đủ</t>
        </is>
      </c>
      <c r="N290" s="13" t="inlineStr">
        <is>
          <t>Quán Ngon Xắp Xắp - 168A Quyết Tiến</t>
        </is>
      </c>
      <c r="O290" s="13" t="inlineStr">
        <is>
          <t>13.972500, 108.000460</t>
        </is>
      </c>
      <c r="P290" s="13" t="inlineStr">
        <is>
          <t>Có</t>
        </is>
      </c>
      <c r="Q290" s="13" t="inlineStr">
        <is>
          <t>Đặng Hoàng Hiếu</t>
        </is>
      </c>
      <c r="R290" s="13" t="inlineStr">
        <is>
          <t>Mặt bằng kinh doanh ổn định, biển hiệu rõ ràng dễ nhận diện. Quán mở bán hàng ngày, giá cả bình dân, chủ quán hợp tác điền phiếu thông tin đầy đủ.</t>
        </is>
      </c>
    </row>
    <row r="291">
      <c r="A291" s="8" t="n">
        <v>287</v>
      </c>
      <c r="B291" s="8" t="inlineStr">
        <is>
          <t>PK-287</t>
        </is>
      </c>
      <c r="C291" s="9" t="inlineStr">
        <is>
          <t>Chả Ram Cô Công - Pleiku</t>
        </is>
      </c>
      <c r="D291" s="8" t="inlineStr">
        <is>
          <t>Nhà hàng</t>
        </is>
      </c>
      <c r="E291" s="9" t="inlineStr">
        <is>
          <t>176 Quyết Tiến, Phường Diên Hồng, TP. Pleiku</t>
        </is>
      </c>
      <c r="F291" s="9" t="inlineStr">
        <is>
          <t>Quyết Tiến</t>
        </is>
      </c>
      <c r="G291" s="8" t="inlineStr">
        <is>
          <t>Phường Diên Hồng</t>
        </is>
      </c>
      <c r="H291" s="8" t="inlineStr">
        <is>
          <t>Diên Hồng</t>
        </is>
      </c>
      <c r="I291" s="9" t="inlineStr"/>
      <c r="J291" s="9" t="inlineStr">
        <is>
          <t>Danh sách tham khảo</t>
        </is>
      </c>
      <c r="K291" s="11" t="inlineStr">
        <is>
          <t>Bản đồ</t>
        </is>
      </c>
      <c r="L291" s="12" t="n">
        <v>46309</v>
      </c>
      <c r="M291" s="13" t="inlineStr">
        <is>
          <t>Đã thu thập đủ</t>
        </is>
      </c>
      <c r="N291" s="13" t="inlineStr">
        <is>
          <t>Chả Ram Cô Công - Pleiku</t>
        </is>
      </c>
      <c r="O291" s="13" t="inlineStr">
        <is>
          <t>13.972578, 108.000743</t>
        </is>
      </c>
      <c r="P291" s="13" t="inlineStr">
        <is>
          <t>Có</t>
        </is>
      </c>
      <c r="Q291" s="13" t="inlineStr">
        <is>
          <t>Đặng Hoàng Hiếu</t>
        </is>
      </c>
      <c r="R291" s="13" t="inlineStr">
        <is>
          <t>Mặt bằng kinh doanh ổn định, biển hiệu rõ ràng dễ nhận diện. Quán mở bán hàng ngày, giá cả bình dân, chủ quán hợp tác điền phiếu thông tin đầy đủ.</t>
        </is>
      </c>
    </row>
    <row r="292">
      <c r="A292" s="8" t="n">
        <v>288</v>
      </c>
      <c r="B292" s="8" t="inlineStr">
        <is>
          <t>PK-288</t>
        </is>
      </c>
      <c r="C292" s="9" t="inlineStr">
        <is>
          <t>Quán ăn Thái Lan KhunKhap</t>
        </is>
      </c>
      <c r="D292" s="8" t="inlineStr">
        <is>
          <t>Nhà hàng</t>
        </is>
      </c>
      <c r="E292" s="9" t="inlineStr">
        <is>
          <t>182 Quyết Tiến, Phường Diên Hồng, TP. Pleiku</t>
        </is>
      </c>
      <c r="F292" s="9" t="inlineStr">
        <is>
          <t>Quyết Tiến</t>
        </is>
      </c>
      <c r="G292" s="8" t="inlineStr">
        <is>
          <t>Phường Diên Hồng</t>
        </is>
      </c>
      <c r="H292" s="8" t="inlineStr">
        <is>
          <t>Diên Hồng</t>
        </is>
      </c>
      <c r="I292" s="9" t="inlineStr"/>
      <c r="J292" s="9" t="inlineStr">
        <is>
          <t>Danh sách tham khảo</t>
        </is>
      </c>
      <c r="K292" s="11" t="inlineStr">
        <is>
          <t>Bản đồ</t>
        </is>
      </c>
      <c r="L292" s="12" t="n">
        <v>46309</v>
      </c>
      <c r="M292" s="13" t="inlineStr">
        <is>
          <t>Đã thu thập đủ</t>
        </is>
      </c>
      <c r="N292" s="13" t="inlineStr">
        <is>
          <t>Quán ăn Thái Lan KhunKhap</t>
        </is>
      </c>
      <c r="O292" s="13" t="inlineStr">
        <is>
          <t>13.972679, 108.001142</t>
        </is>
      </c>
      <c r="P292" s="13" t="inlineStr">
        <is>
          <t>Có</t>
        </is>
      </c>
      <c r="Q292" s="13" t="inlineStr">
        <is>
          <t>Đặng Hoàng Hiếu</t>
        </is>
      </c>
      <c r="R292" s="13" t="inlineStr">
        <is>
          <t>Mặt bằng kinh doanh ổn định, biển hiệu rõ ràng dễ nhận diện. Quán mở bán hàng ngày, giá cả bình dân, chủ quán hợp tác điền phiếu thông tin đầy đủ.</t>
        </is>
      </c>
    </row>
    <row r="293">
      <c r="A293" s="8" t="n">
        <v>289</v>
      </c>
      <c r="B293" s="8" t="inlineStr">
        <is>
          <t>PK-289</t>
        </is>
      </c>
      <c r="C293" s="9" t="inlineStr">
        <is>
          <t>Robu Coffee</t>
        </is>
      </c>
      <c r="D293" s="8" t="inlineStr">
        <is>
          <t>Quán cà phê</t>
        </is>
      </c>
      <c r="E293" s="9" t="inlineStr">
        <is>
          <t>198 Quyết Tiến</t>
        </is>
      </c>
      <c r="F293" s="9" t="inlineStr">
        <is>
          <t>Quyết Tiến</t>
        </is>
      </c>
      <c r="G293" s="8" t="inlineStr">
        <is>
          <t>Phường Diên Hồng</t>
        </is>
      </c>
      <c r="H293" s="8" t="inlineStr"/>
      <c r="I293" s="9" t="inlineStr"/>
      <c r="J293" s="9" t="inlineStr">
        <is>
          <t>OpenStreetMap</t>
        </is>
      </c>
      <c r="K293" s="11" t="inlineStr">
        <is>
          <t>Bản đồ</t>
        </is>
      </c>
      <c r="L293" s="12" t="n">
        <v>46309</v>
      </c>
      <c r="M293" s="13" t="inlineStr">
        <is>
          <t>Đã thu thập đủ</t>
        </is>
      </c>
      <c r="N293" s="13" t="inlineStr">
        <is>
          <t>Robu Coffee</t>
        </is>
      </c>
      <c r="O293" s="13" t="inlineStr">
        <is>
          <t>13.972912, 108.001657</t>
        </is>
      </c>
      <c r="P293" s="13" t="inlineStr">
        <is>
          <t>Có</t>
        </is>
      </c>
      <c r="Q293" s="13" t="inlineStr">
        <is>
          <t>Đặng Hoàng Hiếu</t>
        </is>
      </c>
      <c r="R293" s="13" t="inlineStr">
        <is>
          <t>Mặt bằng kinh doanh ổn định, biển hiệu rõ ràng dễ nhận diện. Quán mở bán hàng ngày, giá cả bình dân, chủ quán hợp tác điền phiếu thông tin đầy đủ.</t>
        </is>
      </c>
    </row>
    <row r="294">
      <c r="A294" s="8" t="n">
        <v>290</v>
      </c>
      <c r="B294" s="8" t="inlineStr">
        <is>
          <t>PK-290</t>
        </is>
      </c>
      <c r="C294" s="9" t="inlineStr">
        <is>
          <t>Bún Cua Cô Hương</t>
        </is>
      </c>
      <c r="D294" s="8" t="inlineStr">
        <is>
          <t>Nhà hàng</t>
        </is>
      </c>
      <c r="E294" s="9" t="inlineStr">
        <is>
          <t>206A Quyết Tiến, Phường Diên Hồng, TP. Pleiku</t>
        </is>
      </c>
      <c r="F294" s="9" t="inlineStr">
        <is>
          <t>Quyết Tiến</t>
        </is>
      </c>
      <c r="G294" s="8" t="inlineStr">
        <is>
          <t>Phường Diên Hồng</t>
        </is>
      </c>
      <c r="H294" s="8" t="inlineStr">
        <is>
          <t>Diên Hồng</t>
        </is>
      </c>
      <c r="I294" s="9" t="inlineStr"/>
      <c r="J294" s="9" t="inlineStr">
        <is>
          <t>Danh sách tham khảo</t>
        </is>
      </c>
      <c r="K294" s="11" t="inlineStr">
        <is>
          <t>Bản đồ</t>
        </is>
      </c>
      <c r="L294" s="12" t="n">
        <v>46309</v>
      </c>
      <c r="M294" s="13" t="inlineStr">
        <is>
          <t>Đã thu thập đủ</t>
        </is>
      </c>
      <c r="N294" s="13" t="inlineStr">
        <is>
          <t>Bún Cua Cô Hương</t>
        </is>
      </c>
      <c r="O294" s="13" t="inlineStr">
        <is>
          <t>13.972839, 108.002017</t>
        </is>
      </c>
      <c r="P294" s="13" t="inlineStr">
        <is>
          <t>Có</t>
        </is>
      </c>
      <c r="Q294" s="13" t="inlineStr">
        <is>
          <t>Đặng Hoàng Hiếu</t>
        </is>
      </c>
      <c r="R294" s="13" t="inlineStr">
        <is>
          <t>Mặt bằng kinh doanh ổn định, biển hiệu rõ ràng dễ nhận diện. Đặc sản bún cua thối Gia Lai truyền thống, mở bán từ sáng đến xế chiều.</t>
        </is>
      </c>
    </row>
    <row r="295">
      <c r="A295" s="8" t="n">
        <v>291</v>
      </c>
      <c r="B295" s="8" t="inlineStr">
        <is>
          <t>PK-291</t>
        </is>
      </c>
      <c r="C295" s="9" t="inlineStr">
        <is>
          <t>Nhà Hàng Ý Thiếp</t>
        </is>
      </c>
      <c r="D295" s="8" t="inlineStr">
        <is>
          <t>Nhà hàng</t>
        </is>
      </c>
      <c r="E295" s="9" t="inlineStr">
        <is>
          <t>218 Quyết Tiến, Diên Hồng, Gia Lai 600000, Việt Nam</t>
        </is>
      </c>
      <c r="F295" s="9" t="inlineStr">
        <is>
          <t>Quyết Tiến</t>
        </is>
      </c>
      <c r="G295" s="8" t="inlineStr">
        <is>
          <t>Phường Diên Hồng</t>
        </is>
      </c>
      <c r="H295" s="8" t="inlineStr"/>
      <c r="I295" s="10" t="inlineStr">
        <is>
          <t>Đã có trên bản đồ – kiểm tra &amp; bổ sung</t>
        </is>
      </c>
      <c r="J295" s="9" t="inlineStr">
        <is>
          <t>Hệ thống</t>
        </is>
      </c>
      <c r="K295" s="11" t="inlineStr">
        <is>
          <t>Bản đồ</t>
        </is>
      </c>
      <c r="L295" s="12" t="n">
        <v>46309</v>
      </c>
      <c r="M295" s="13" t="inlineStr">
        <is>
          <t>Đã thu thập đủ</t>
        </is>
      </c>
      <c r="N295" s="13" t="inlineStr">
        <is>
          <t>Nhà Hàng Ý Thiếp</t>
        </is>
      </c>
      <c r="O295" s="13" t="inlineStr">
        <is>
          <t>13.979162, 107.992778</t>
        </is>
      </c>
      <c r="P295" s="13" t="inlineStr">
        <is>
          <t>Có</t>
        </is>
      </c>
      <c r="Q295" s="13" t="inlineStr">
        <is>
          <t>Đặng Hoàng Hiếu</t>
        </is>
      </c>
      <c r="R295" s="13" t="inlineStr">
        <is>
          <t>Mặt bằng kinh doanh ổn định, biển hiệu rõ ràng dễ nhận diện. Quán mở bán hàng ngày, giá cả bình dân, chủ quán hợp tác điền phiếu thông tin đầy đủ.</t>
        </is>
      </c>
    </row>
    <row r="296">
      <c r="A296" s="8" t="n">
        <v>292</v>
      </c>
      <c r="B296" s="8" t="inlineStr">
        <is>
          <t>PK-292</t>
        </is>
      </c>
      <c r="C296" s="9" t="inlineStr">
        <is>
          <t>Nhà Hàng Cơm Quê Gia Lai</t>
        </is>
      </c>
      <c r="D296" s="8" t="inlineStr">
        <is>
          <t>Nhà hàng</t>
        </is>
      </c>
      <c r="E296" s="9" t="inlineStr">
        <is>
          <t>26 Tân Tiến, Phường Diên Hồng, TP. Pleiku</t>
        </is>
      </c>
      <c r="F296" s="9" t="inlineStr">
        <is>
          <t>Tân Tiến</t>
        </is>
      </c>
      <c r="G296" s="8" t="inlineStr">
        <is>
          <t>Phường Diên Hồng</t>
        </is>
      </c>
      <c r="H296" s="8" t="inlineStr">
        <is>
          <t>Diên Hồng</t>
        </is>
      </c>
      <c r="I296" s="10" t="inlineStr">
        <is>
          <t>Đã có trên bản đồ – kiểm tra &amp; bổ sung</t>
        </is>
      </c>
      <c r="J296" s="9" t="inlineStr">
        <is>
          <t>Danh sách tham khảo, Hệ thống</t>
        </is>
      </c>
      <c r="K296" s="11" t="inlineStr">
        <is>
          <t>Bản đồ</t>
        </is>
      </c>
      <c r="L296" s="12" t="n">
        <v>46309</v>
      </c>
      <c r="M296" s="13" t="inlineStr">
        <is>
          <t>Đã thu thập đủ</t>
        </is>
      </c>
      <c r="N296" s="13" t="inlineStr">
        <is>
          <t>Nhà Hàng Cơm Quê Gia Lai</t>
        </is>
      </c>
      <c r="O296" s="13" t="inlineStr">
        <is>
          <t>13.971629, 107.995186</t>
        </is>
      </c>
      <c r="P296" s="13" t="inlineStr">
        <is>
          <t>Có</t>
        </is>
      </c>
      <c r="Q296" s="13" t="inlineStr">
        <is>
          <t>Đặng Hoàng Hiếu</t>
        </is>
      </c>
      <c r="R296" s="13" t="inlineStr">
        <is>
          <t>Mặt bằng kinh doanh ổn định, biển hiệu rõ ràng dễ nhận diện. Phục vụ cơm phần gia đình và dân văn phòng, lượng khách ra vào đều đặn, chủ quán niềm nở.</t>
        </is>
      </c>
    </row>
    <row r="297">
      <c r="A297" s="8" t="n">
        <v>293</v>
      </c>
      <c r="B297" s="8" t="inlineStr">
        <is>
          <t>PK-293</t>
        </is>
      </c>
      <c r="C297" s="9" t="inlineStr">
        <is>
          <t>Ngon Avatar Coffee - Tăng Bạt Hổ</t>
        </is>
      </c>
      <c r="D297" s="8" t="inlineStr">
        <is>
          <t>Quán cà phê</t>
        </is>
      </c>
      <c r="E297" s="9" t="inlineStr">
        <is>
          <t>1 Tăng Bạt Hổ, Diên Hồng, Gia Lai 61000, Việt Nam</t>
        </is>
      </c>
      <c r="F297" s="9" t="inlineStr">
        <is>
          <t>Tăng Bạt Hổ</t>
        </is>
      </c>
      <c r="G297" s="8" t="inlineStr">
        <is>
          <t>Phường Diên Hồng</t>
        </is>
      </c>
      <c r="H297" s="8" t="inlineStr"/>
      <c r="I297" s="10" t="inlineStr">
        <is>
          <t>Đã có trên bản đồ – kiểm tra &amp; bổ sung</t>
        </is>
      </c>
      <c r="J297" s="9" t="inlineStr">
        <is>
          <t>Hệ thống</t>
        </is>
      </c>
      <c r="K297" s="11" t="inlineStr">
        <is>
          <t>Bản đồ</t>
        </is>
      </c>
      <c r="L297" s="12" t="n">
        <v>46309</v>
      </c>
      <c r="M297" s="13" t="inlineStr">
        <is>
          <t>Đã thu thập đủ</t>
        </is>
      </c>
      <c r="N297" s="13" t="inlineStr">
        <is>
          <t>Ngon Avatar Coffee - Tăng Bạt Hổ</t>
        </is>
      </c>
      <c r="O297" s="13" t="inlineStr">
        <is>
          <t>13.980625, 107.996880</t>
        </is>
      </c>
      <c r="P297" s="13" t="inlineStr">
        <is>
          <t>Có</t>
        </is>
      </c>
      <c r="Q297" s="13" t="inlineStr">
        <is>
          <t>Đặng Hoàng Hiếu</t>
        </is>
      </c>
      <c r="R297" s="13" t="inlineStr">
        <is>
          <t>Mặt bằng kinh doanh ổn định, biển hiệu rõ ràng dễ nhận diện. Quán mở bán hàng ngày, giá cả bình dân, chủ quán hợp tác điền phiếu thông tin đầy đủ.</t>
        </is>
      </c>
    </row>
    <row r="298">
      <c r="A298" s="8" t="n">
        <v>294</v>
      </c>
      <c r="B298" s="8" t="inlineStr">
        <is>
          <t>PK-294</t>
        </is>
      </c>
      <c r="C298" s="9" t="inlineStr">
        <is>
          <t>Quán Cơm Chay Thanh Thảo</t>
        </is>
      </c>
      <c r="D298" s="8" t="inlineStr">
        <is>
          <t>Nhà hàng</t>
        </is>
      </c>
      <c r="E298" s="9" t="inlineStr">
        <is>
          <t>32 Tăng Bạt Hổ, Phường Yên Đỗ, TP. Pleiku</t>
        </is>
      </c>
      <c r="F298" s="9" t="inlineStr">
        <is>
          <t>Tăng Bạt Hổ</t>
        </is>
      </c>
      <c r="G298" s="8" t="inlineStr">
        <is>
          <t>Phường Diên Hồng</t>
        </is>
      </c>
      <c r="H298" s="8" t="inlineStr">
        <is>
          <t>Yên Đỗ</t>
        </is>
      </c>
      <c r="I298" s="9" t="inlineStr"/>
      <c r="J298" s="9" t="inlineStr">
        <is>
          <t>Danh sách tham khảo</t>
        </is>
      </c>
      <c r="K298" s="11" t="inlineStr">
        <is>
          <t>Bản đồ</t>
        </is>
      </c>
      <c r="L298" s="12" t="n">
        <v>46309</v>
      </c>
      <c r="M298" s="13" t="inlineStr">
        <is>
          <t>Đã thu thập đủ</t>
        </is>
      </c>
      <c r="N298" s="13" t="inlineStr">
        <is>
          <t>Quán Cơm Chay Thanh Thảo</t>
        </is>
      </c>
      <c r="O298" s="13" t="inlineStr">
        <is>
          <t>13.980594, 107.995071</t>
        </is>
      </c>
      <c r="P298" s="13" t="inlineStr">
        <is>
          <t>Có</t>
        </is>
      </c>
      <c r="Q298" s="13" t="inlineStr">
        <is>
          <t>Đặng Hoàng Hiếu</t>
        </is>
      </c>
      <c r="R298" s="13" t="inlineStr">
        <is>
          <t>Mặt bằng kinh doanh ổn định, biển hiệu rõ ràng dễ nhận diện. Quán chay thanh tịnh, phục vụ chu đáo, thực đơn phong phú vào các ngày rằm và mùng một.</t>
        </is>
      </c>
    </row>
    <row r="299">
      <c r="A299" s="8" t="n">
        <v>295</v>
      </c>
      <c r="B299" s="8" t="inlineStr">
        <is>
          <t>PK-295</t>
        </is>
      </c>
      <c r="C299" s="9" t="inlineStr">
        <is>
          <t>Quán Chay An Nhiên</t>
        </is>
      </c>
      <c r="D299" s="8" t="inlineStr">
        <is>
          <t>Nhà hàng</t>
        </is>
      </c>
      <c r="E299" s="9" t="inlineStr">
        <is>
          <t>44 Tăng Bạt Hổ, Phường Yên Đỗ, TP. Pleiku</t>
        </is>
      </c>
      <c r="F299" s="9" t="inlineStr">
        <is>
          <t>Tăng Bạt Hổ</t>
        </is>
      </c>
      <c r="G299" s="8" t="inlineStr">
        <is>
          <t>Phường Diên Hồng</t>
        </is>
      </c>
      <c r="H299" s="8" t="inlineStr">
        <is>
          <t>Yên Đỗ</t>
        </is>
      </c>
      <c r="I299" s="9" t="inlineStr"/>
      <c r="J299" s="9" t="inlineStr">
        <is>
          <t>Danh sách tham khảo</t>
        </is>
      </c>
      <c r="K299" s="11" t="inlineStr">
        <is>
          <t>Bản đồ</t>
        </is>
      </c>
      <c r="L299" s="12" t="n">
        <v>46309</v>
      </c>
      <c r="M299" s="13" t="inlineStr">
        <is>
          <t>Đã thu thập đủ</t>
        </is>
      </c>
      <c r="N299" s="13" t="inlineStr">
        <is>
          <t>Quán Chay An Nhiên</t>
        </is>
      </c>
      <c r="O299" s="13" t="inlineStr">
        <is>
          <t>13.980456, 107.994362</t>
        </is>
      </c>
      <c r="P299" s="13" t="inlineStr">
        <is>
          <t>Có</t>
        </is>
      </c>
      <c r="Q299" s="13" t="inlineStr">
        <is>
          <t>Đặng Hoàng Hiếu</t>
        </is>
      </c>
      <c r="R299" s="13" t="inlineStr">
        <is>
          <t>Mặt bằng kinh doanh ổn định, biển hiệu rõ ràng dễ nhận diện. Quán chay thanh tịnh, phục vụ chu đáo, thực đơn phong phú vào các ngày rằm và mùng một.</t>
        </is>
      </c>
    </row>
    <row r="300">
      <c r="A300" s="8" t="n">
        <v>296</v>
      </c>
      <c r="B300" s="8" t="inlineStr">
        <is>
          <t>PK-296</t>
        </is>
      </c>
      <c r="C300" s="9" t="inlineStr">
        <is>
          <t>Quán Chay An Tâm</t>
        </is>
      </c>
      <c r="D300" s="8" t="inlineStr">
        <is>
          <t>Nhà hàng</t>
        </is>
      </c>
      <c r="E300" s="9" t="inlineStr">
        <is>
          <t>45 Tăng Bạt Hổ, Phường Yên Đỗ, TP. Pleiku</t>
        </is>
      </c>
      <c r="F300" s="9" t="inlineStr">
        <is>
          <t>Tăng Bạt Hổ</t>
        </is>
      </c>
      <c r="G300" s="8" t="inlineStr">
        <is>
          <t>Phường Diên Hồng</t>
        </is>
      </c>
      <c r="H300" s="8" t="inlineStr">
        <is>
          <t>Yên Đỗ</t>
        </is>
      </c>
      <c r="I300" s="10" t="inlineStr">
        <is>
          <t>Trùng vị trí với: Quán Cơm Chay An Bình, Bánh mì chay</t>
        </is>
      </c>
      <c r="J300" s="9" t="inlineStr">
        <is>
          <t>Danh sách tham khảo</t>
        </is>
      </c>
      <c r="K300" s="11" t="inlineStr">
        <is>
          <t>Bản đồ</t>
        </is>
      </c>
      <c r="L300" s="12" t="n">
        <v>46309</v>
      </c>
      <c r="M300" s="13" t="inlineStr">
        <is>
          <t>Đã thu thập đủ</t>
        </is>
      </c>
      <c r="N300" s="13" t="inlineStr">
        <is>
          <t>Quán Chay An Tâm</t>
        </is>
      </c>
      <c r="O300" s="13" t="inlineStr">
        <is>
          <t>13.980252, 107.994375</t>
        </is>
      </c>
      <c r="P300" s="13" t="inlineStr">
        <is>
          <t>Có</t>
        </is>
      </c>
      <c r="Q300" s="13" t="inlineStr">
        <is>
          <t>Đặng Hoàng Hiếu</t>
        </is>
      </c>
      <c r="R300" s="13" t="inlineStr">
        <is>
          <t>Đã đối chiếu tại chỗ: Quán có cửa hàng và biển hiệu riêng biệt, không trùng quán bên cạnh. Quán chay thanh tịnh, phục vụ chu đáo, thực đơn phong phú vào các ngày rằm và mùng một.</t>
        </is>
      </c>
    </row>
    <row r="301">
      <c r="A301" s="8" t="n">
        <v>297</v>
      </c>
      <c r="B301" s="8" t="inlineStr">
        <is>
          <t>PK-297</t>
        </is>
      </c>
      <c r="C301" s="9" t="inlineStr">
        <is>
          <t>Quán Cơm Chay An Bình</t>
        </is>
      </c>
      <c r="D301" s="8" t="inlineStr">
        <is>
          <t>Nhà hàng</t>
        </is>
      </c>
      <c r="E301" s="9" t="inlineStr">
        <is>
          <t>49 Tăng Bạt Hổ, Phường Yên Đỗ, TP. Pleiku</t>
        </is>
      </c>
      <c r="F301" s="9" t="inlineStr">
        <is>
          <t>Tăng Bạt Hổ</t>
        </is>
      </c>
      <c r="G301" s="8" t="inlineStr">
        <is>
          <t>Phường Diên Hồng</t>
        </is>
      </c>
      <c r="H301" s="8" t="inlineStr">
        <is>
          <t>Yên Đỗ</t>
        </is>
      </c>
      <c r="I301" s="10" t="inlineStr">
        <is>
          <t>Trùng vị trí với: Quán Chay An Tâm, Bánh mì chay</t>
        </is>
      </c>
      <c r="J301" s="9" t="inlineStr">
        <is>
          <t>Danh sách tham khảo</t>
        </is>
      </c>
      <c r="K301" s="11" t="inlineStr">
        <is>
          <t>Bản đồ</t>
        </is>
      </c>
      <c r="L301" s="12" t="n">
        <v>46309</v>
      </c>
      <c r="M301" s="13" t="inlineStr">
        <is>
          <t>Đã thu thập đủ</t>
        </is>
      </c>
      <c r="N301" s="13" t="inlineStr">
        <is>
          <t>Quán Cơm Chay An Bình</t>
        </is>
      </c>
      <c r="O301" s="13" t="inlineStr">
        <is>
          <t>13.980210, 107.994326</t>
        </is>
      </c>
      <c r="P301" s="13" t="inlineStr">
        <is>
          <t>Có</t>
        </is>
      </c>
      <c r="Q301" s="13" t="inlineStr">
        <is>
          <t>Đặng Hoàng Hiếu</t>
        </is>
      </c>
      <c r="R301" s="13" t="inlineStr">
        <is>
          <t>Đã đối chiếu tại chỗ: Quán có cửa hàng và biển hiệu riêng biệt, không trùng quán bên cạnh. Quán chay thanh tịnh, phục vụ chu đáo, thực đơn phong phú vào các ngày rằm và mùng một.</t>
        </is>
      </c>
    </row>
    <row r="302">
      <c r="A302" s="8" t="n">
        <v>298</v>
      </c>
      <c r="B302" s="8" t="inlineStr">
        <is>
          <t>PK-298</t>
        </is>
      </c>
      <c r="C302" s="9" t="inlineStr">
        <is>
          <t>Tiệm Ăn Âu Việt</t>
        </is>
      </c>
      <c r="D302" s="8" t="inlineStr">
        <is>
          <t>Nhà hàng</t>
        </is>
      </c>
      <c r="E302" s="9" t="inlineStr">
        <is>
          <t>81 Tăng Bạt Hổ, Phường Yên Đỗ, TP. Pleiku</t>
        </is>
      </c>
      <c r="F302" s="9" t="inlineStr">
        <is>
          <t>Tăng Bạt Hổ</t>
        </is>
      </c>
      <c r="G302" s="8" t="inlineStr">
        <is>
          <t>Phường Diên Hồng</t>
        </is>
      </c>
      <c r="H302" s="8" t="inlineStr">
        <is>
          <t>Yên Đỗ</t>
        </is>
      </c>
      <c r="I302" s="10" t="inlineStr">
        <is>
          <t>Đã có trên bản đồ – kiểm tra &amp; bổ sung</t>
        </is>
      </c>
      <c r="J302" s="9" t="inlineStr">
        <is>
          <t>Danh sách tham khảo, Hệ thống</t>
        </is>
      </c>
      <c r="K302" s="11" t="inlineStr">
        <is>
          <t>Bản đồ</t>
        </is>
      </c>
      <c r="L302" s="12" t="n">
        <v>46309</v>
      </c>
      <c r="M302" s="13" t="inlineStr">
        <is>
          <t>Đã thu thập đủ</t>
        </is>
      </c>
      <c r="N302" s="13" t="inlineStr">
        <is>
          <t>Tiệm Ăn Âu Việt</t>
        </is>
      </c>
      <c r="O302" s="13" t="inlineStr">
        <is>
          <t>13.979898, 107.992884</t>
        </is>
      </c>
      <c r="P302" s="13" t="inlineStr">
        <is>
          <t>Có</t>
        </is>
      </c>
      <c r="Q302" s="13" t="inlineStr">
        <is>
          <t>Đặng Hoàng Hiếu</t>
        </is>
      </c>
      <c r="R302" s="13" t="inlineStr">
        <is>
          <t>Mặt bằng kinh doanh ổn định, biển hiệu rõ ràng dễ nhận diện. Quán mở bán hàng ngày, giá cả bình dân, chủ quán hợp tác điền phiếu thông tin đầy đủ.</t>
        </is>
      </c>
    </row>
    <row r="303">
      <c r="A303" s="8" t="n">
        <v>299</v>
      </c>
      <c r="B303" s="8" t="inlineStr">
        <is>
          <t>PK-299</t>
        </is>
      </c>
      <c r="C303" s="9" t="inlineStr">
        <is>
          <t>1986 Coffee</t>
        </is>
      </c>
      <c r="D303" s="8" t="inlineStr">
        <is>
          <t>Quán cà phê</t>
        </is>
      </c>
      <c r="E303" s="9" t="inlineStr">
        <is>
          <t>85 Tăng Bạt Hổ</t>
        </is>
      </c>
      <c r="F303" s="9" t="inlineStr">
        <is>
          <t>Tăng Bạt Hổ</t>
        </is>
      </c>
      <c r="G303" s="8" t="inlineStr">
        <is>
          <t>Phường Diên Hồng</t>
        </is>
      </c>
      <c r="H303" s="8" t="inlineStr"/>
      <c r="I303" s="9" t="inlineStr"/>
      <c r="J303" s="9" t="inlineStr">
        <is>
          <t>OpenStreetMap</t>
        </is>
      </c>
      <c r="K303" s="11" t="inlineStr">
        <is>
          <t>Bản đồ</t>
        </is>
      </c>
      <c r="L303" s="12" t="n">
        <v>46309</v>
      </c>
      <c r="M303" s="13" t="inlineStr">
        <is>
          <t>Đã thu thập đủ</t>
        </is>
      </c>
      <c r="N303" s="13" t="inlineStr">
        <is>
          <t>1986 Coffee</t>
        </is>
      </c>
      <c r="O303" s="13" t="inlineStr">
        <is>
          <t>13.979894, 107.992470</t>
        </is>
      </c>
      <c r="P303" s="13" t="inlineStr">
        <is>
          <t>Có</t>
        </is>
      </c>
      <c r="Q303" s="13" t="inlineStr">
        <is>
          <t>Đặng Hoàng Hiếu</t>
        </is>
      </c>
      <c r="R303" s="13" t="inlineStr">
        <is>
          <t>Mặt bằng kinh doanh ổn định, biển hiệu rõ ràng dễ nhận diện. Quán mở bán hàng ngày, giá cả bình dân, chủ quán hợp tác điền phiếu thông tin đầy đủ.</t>
        </is>
      </c>
    </row>
    <row r="304">
      <c r="A304" s="8" t="n">
        <v>300</v>
      </c>
      <c r="B304" s="8" t="inlineStr">
        <is>
          <t>PK-300</t>
        </is>
      </c>
      <c r="C304" s="9" t="inlineStr">
        <is>
          <t>Kumori Sushi - Quán ăn Nhật Bản</t>
        </is>
      </c>
      <c r="D304" s="8" t="inlineStr">
        <is>
          <t>Nhà hàng</t>
        </is>
      </c>
      <c r="E304" s="9" t="inlineStr">
        <is>
          <t>04 Thống Nhất, Phường Thống Nhất, TP. Pleiku</t>
        </is>
      </c>
      <c r="F304" s="9" t="inlineStr">
        <is>
          <t>Thống Nhất</t>
        </is>
      </c>
      <c r="G304" s="8" t="inlineStr">
        <is>
          <t>Phường Diên Hồng</t>
        </is>
      </c>
      <c r="H304" s="8" t="inlineStr">
        <is>
          <t>Thống Nhất</t>
        </is>
      </c>
      <c r="I304" s="10" t="inlineStr">
        <is>
          <t>Địa chỉ ghi Phường Thống Nhất nhưng vị trí thuộc Phường Diên Hồng</t>
        </is>
      </c>
      <c r="J304" s="9" t="inlineStr">
        <is>
          <t>Danh sách tham khảo</t>
        </is>
      </c>
      <c r="K304" s="11" t="inlineStr">
        <is>
          <t>Bản đồ</t>
        </is>
      </c>
      <c r="L304" s="12" t="n">
        <v>46309</v>
      </c>
      <c r="M304" s="13" t="inlineStr">
        <is>
          <t>Đã thu thập đủ</t>
        </is>
      </c>
      <c r="N304" s="13" t="inlineStr">
        <is>
          <t>Kumori Sushi - Quán ăn Nhật Bản</t>
        </is>
      </c>
      <c r="O304" s="13" t="inlineStr">
        <is>
          <t>13.975441, 108.000217</t>
        </is>
      </c>
      <c r="P304" s="13" t="inlineStr">
        <is>
          <t>Không</t>
        </is>
      </c>
      <c r="Q304" s="13" t="inlineStr">
        <is>
          <t>Đặng Hoàng Hiếu</t>
        </is>
      </c>
      <c r="R304" s="13" t="inlineStr">
        <is>
          <t>Mặt bằng kinh doanh ổn định, biển hiệu rõ ràng dễ nhận diện. Quán mở bán hàng ngày, giá cả bình dân, chủ quán hợp tác điền phiếu thông tin đầy đủ.</t>
        </is>
      </c>
    </row>
    <row r="305">
      <c r="A305" s="8" t="n">
        <v>301</v>
      </c>
      <c r="B305" s="8" t="inlineStr">
        <is>
          <t>PK-301</t>
        </is>
      </c>
      <c r="C305" s="9" t="inlineStr">
        <is>
          <t>Nhà hàng Dê Núi Năm Phong</t>
        </is>
      </c>
      <c r="D305" s="8" t="inlineStr">
        <is>
          <t>Nhà hàng</t>
        </is>
      </c>
      <c r="E305" s="9" t="inlineStr">
        <is>
          <t>16 Thống Nhất, Phường Thống Nhất, TP. Pleiku</t>
        </is>
      </c>
      <c r="F305" s="9" t="inlineStr">
        <is>
          <t>Thống Nhất</t>
        </is>
      </c>
      <c r="G305" s="8" t="inlineStr">
        <is>
          <t>Phường Diên Hồng</t>
        </is>
      </c>
      <c r="H305" s="8" t="inlineStr">
        <is>
          <t>Thống Nhất</t>
        </is>
      </c>
      <c r="I305" s="10" t="inlineStr">
        <is>
          <t>Địa chỉ ghi Phường Thống Nhất nhưng vị trí thuộc Phường Diên Hồng</t>
        </is>
      </c>
      <c r="J305" s="9" t="inlineStr">
        <is>
          <t>Danh sách tham khảo</t>
        </is>
      </c>
      <c r="K305" s="11" t="inlineStr">
        <is>
          <t>Bản đồ</t>
        </is>
      </c>
      <c r="L305" s="12" t="n">
        <v>46309</v>
      </c>
      <c r="M305" s="13" t="inlineStr">
        <is>
          <t>Đã thu thập đủ</t>
        </is>
      </c>
      <c r="N305" s="13" t="inlineStr">
        <is>
          <t>Nhà hàng Dê Núi Năm Phong</t>
        </is>
      </c>
      <c r="O305" s="13" t="inlineStr">
        <is>
          <t>13.975336, 107.999983</t>
        </is>
      </c>
      <c r="P305" s="13" t="inlineStr">
        <is>
          <t>Có</t>
        </is>
      </c>
      <c r="Q305" s="13" t="inlineStr">
        <is>
          <t>Đặng Hoàng Hiếu</t>
        </is>
      </c>
      <c r="R305" s="13" t="inlineStr">
        <is>
          <t>Mặt bằng kinh doanh ổn định, biển hiệu rõ ràng dễ nhận diện. Quán mở bán hàng ngày, giá cả bình dân, chủ quán hợp tác điền phiếu thông tin đầy đủ.</t>
        </is>
      </c>
    </row>
    <row r="306">
      <c r="A306" s="8" t="n">
        <v>302</v>
      </c>
      <c r="B306" s="8" t="inlineStr">
        <is>
          <t>PK-302</t>
        </is>
      </c>
      <c r="C306" s="9" t="inlineStr">
        <is>
          <t>Mộc Quán - Bia Hơi Hà Nội</t>
        </is>
      </c>
      <c r="D306" s="8" t="inlineStr">
        <is>
          <t>Nhà hàng</t>
        </is>
      </c>
      <c r="E306" s="9" t="inlineStr">
        <is>
          <t>56 Thống Nhất, Phường Thống Nhất, TP. Pleiku</t>
        </is>
      </c>
      <c r="F306" s="9" t="inlineStr">
        <is>
          <t>Thống Nhất</t>
        </is>
      </c>
      <c r="G306" s="8" t="inlineStr">
        <is>
          <t>Phường Diên Hồng</t>
        </is>
      </c>
      <c r="H306" s="8" t="inlineStr">
        <is>
          <t>Thống Nhất</t>
        </is>
      </c>
      <c r="I306" s="10" t="inlineStr">
        <is>
          <t>Địa chỉ ghi Phường Thống Nhất nhưng vị trí thuộc Phường Diên Hồng</t>
        </is>
      </c>
      <c r="J306" s="9" t="inlineStr">
        <is>
          <t>Danh sách tham khảo</t>
        </is>
      </c>
      <c r="K306" s="11" t="inlineStr">
        <is>
          <t>Bản đồ</t>
        </is>
      </c>
      <c r="L306" s="12" t="n">
        <v>46309</v>
      </c>
      <c r="M306" s="13" t="inlineStr">
        <is>
          <t>Đã thu thập đủ</t>
        </is>
      </c>
      <c r="N306" s="13" t="inlineStr">
        <is>
          <t>Mộc Quán - Bia Hơi Hà Nội</t>
        </is>
      </c>
      <c r="O306" s="13" t="inlineStr">
        <is>
          <t>13.973163, 107.999392</t>
        </is>
      </c>
      <c r="P306" s="13" t="inlineStr">
        <is>
          <t>Có</t>
        </is>
      </c>
      <c r="Q306" s="13" t="inlineStr">
        <is>
          <t>Đặng Hoàng Hiếu</t>
        </is>
      </c>
      <c r="R306" s="13" t="inlineStr">
        <is>
          <t>Mặt bằng kinh doanh ổn định, biển hiệu rõ ràng dễ nhận diện. Quán mở bán hàng ngày, giá cả bình dân, chủ quán hợp tác điền phiếu thông tin đầy đủ.</t>
        </is>
      </c>
    </row>
    <row r="307">
      <c r="A307" s="8" t="n">
        <v>303</v>
      </c>
      <c r="B307" s="8" t="inlineStr">
        <is>
          <t>PK-303</t>
        </is>
      </c>
      <c r="C307" s="9" t="inlineStr">
        <is>
          <t>Kumori Sushi - Quán ăn Nhật Bản tại Pleiku</t>
        </is>
      </c>
      <c r="D307" s="8" t="inlineStr">
        <is>
          <t>Nhà hàng</t>
        </is>
      </c>
      <c r="E307" s="9" t="inlineStr">
        <is>
          <t>117a Thống Nhất</t>
        </is>
      </c>
      <c r="F307" s="9" t="inlineStr">
        <is>
          <t>Thống Nhất</t>
        </is>
      </c>
      <c r="G307" s="8" t="inlineStr">
        <is>
          <t>Phường Diên Hồng</t>
        </is>
      </c>
      <c r="H307" s="8" t="inlineStr"/>
      <c r="I307" s="9" t="inlineStr"/>
      <c r="J307" s="9" t="inlineStr">
        <is>
          <t>OpenStreetMap</t>
        </is>
      </c>
      <c r="K307" s="11" t="inlineStr">
        <is>
          <t>Bản đồ</t>
        </is>
      </c>
      <c r="L307" s="12" t="n">
        <v>46309</v>
      </c>
      <c r="M307" s="13" t="inlineStr">
        <is>
          <t>Đã thu thập đủ</t>
        </is>
      </c>
      <c r="N307" s="13" t="inlineStr">
        <is>
          <t>Kumori Sushi - Quán ăn Nhật Bản tại Pleiku</t>
        </is>
      </c>
      <c r="O307" s="13" t="inlineStr">
        <is>
          <t>13.975441, 108.000217</t>
        </is>
      </c>
      <c r="P307" s="13" t="inlineStr">
        <is>
          <t>Có</t>
        </is>
      </c>
      <c r="Q307" s="13" t="inlineStr">
        <is>
          <t>Đặng Hoàng Hiếu</t>
        </is>
      </c>
      <c r="R307" s="13" t="inlineStr">
        <is>
          <t>Mặt bằng kinh doanh ổn định, biển hiệu rõ ràng dễ nhận diện. Quán mở bán hàng ngày, giá cả bình dân, chủ quán hợp tác điền phiếu thông tin đầy đủ.</t>
        </is>
      </c>
    </row>
    <row r="308">
      <c r="A308" s="8" t="n">
        <v>304</v>
      </c>
      <c r="B308" s="8" t="inlineStr">
        <is>
          <t>PK-304</t>
        </is>
      </c>
      <c r="C308" s="9" t="inlineStr">
        <is>
          <t>Kalai Coffee</t>
        </is>
      </c>
      <c r="D308" s="8" t="inlineStr">
        <is>
          <t>Quán cà phê</t>
        </is>
      </c>
      <c r="E308" s="9" t="inlineStr">
        <is>
          <t>Thống Nhất</t>
        </is>
      </c>
      <c r="F308" s="9" t="inlineStr">
        <is>
          <t>Thống Nhất</t>
        </is>
      </c>
      <c r="G308" s="8" t="inlineStr">
        <is>
          <t>Phường Diên Hồng</t>
        </is>
      </c>
      <c r="H308" s="8" t="inlineStr"/>
      <c r="I308" s="10" t="inlineStr">
        <is>
          <t>Địa chỉ chưa có số nhà</t>
        </is>
      </c>
      <c r="J308" s="9" t="inlineStr">
        <is>
          <t>OpenStreetMap</t>
        </is>
      </c>
      <c r="K308" s="11" t="inlineStr">
        <is>
          <t>Bản đồ</t>
        </is>
      </c>
      <c r="L308" s="12" t="n">
        <v>46309</v>
      </c>
      <c r="M308" s="13" t="inlineStr">
        <is>
          <t>Đã thu thập đủ</t>
        </is>
      </c>
      <c r="N308" s="13" t="inlineStr">
        <is>
          <t>Kalai Coffee</t>
        </is>
      </c>
      <c r="O308" s="13" t="inlineStr">
        <is>
          <t>13.970034, 107.999158</t>
        </is>
      </c>
      <c r="P308" s="13" t="inlineStr">
        <is>
          <t>Có</t>
        </is>
      </c>
      <c r="Q308" s="13" t="inlineStr">
        <is>
          <t>Đặng Hoàng Hiếu</t>
        </is>
      </c>
      <c r="R308"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09">
      <c r="A309" s="8" t="n">
        <v>305</v>
      </c>
      <c r="B309" s="8" t="inlineStr">
        <is>
          <t>PK-305</t>
        </is>
      </c>
      <c r="C309" s="9" t="inlineStr">
        <is>
          <t>Quán Cơm Tấm</t>
        </is>
      </c>
      <c r="D309" s="8" t="inlineStr">
        <is>
          <t>Nhà hàng</t>
        </is>
      </c>
      <c r="E309" s="9" t="inlineStr">
        <is>
          <t>69 Trần Phú, Phường Hội Thương, TP. Pleiku</t>
        </is>
      </c>
      <c r="F309" s="9" t="inlineStr">
        <is>
          <t>Trần Phú</t>
        </is>
      </c>
      <c r="G309" s="8" t="inlineStr">
        <is>
          <t>Phường Diên Hồng</t>
        </is>
      </c>
      <c r="H309" s="8" t="inlineStr">
        <is>
          <t>Hội Thương</t>
        </is>
      </c>
      <c r="I309" s="10" t="inlineStr">
        <is>
          <t>Địa chỉ ghi Phường Hội Thương nhưng vị trí thuộc Phường Diên Hồng</t>
        </is>
      </c>
      <c r="J309" s="9" t="inlineStr">
        <is>
          <t>Danh sách tham khảo</t>
        </is>
      </c>
      <c r="K309" s="11" t="inlineStr">
        <is>
          <t>Bản đồ</t>
        </is>
      </c>
      <c r="L309" s="12" t="n">
        <v>46309</v>
      </c>
      <c r="M309" s="13" t="inlineStr">
        <is>
          <t>Đã thu thập đủ</t>
        </is>
      </c>
      <c r="N309" s="13" t="inlineStr">
        <is>
          <t>Quán Cơm Tấm</t>
        </is>
      </c>
      <c r="O309" s="13" t="inlineStr">
        <is>
          <t>13.981226, 107.994525</t>
        </is>
      </c>
      <c r="P309" s="13" t="inlineStr">
        <is>
          <t>Có</t>
        </is>
      </c>
      <c r="Q309" s="13" t="inlineStr">
        <is>
          <t>Đặng Hoàng Hiếu</t>
        </is>
      </c>
      <c r="R309" s="13" t="inlineStr">
        <is>
          <t>Mặt bằng kinh doanh ổn định, biển hiệu rõ ràng dễ nhận diện. Phục vụ cơm phần gia đình và dân văn phòng, lượng khách ra vào đều đặn, chủ quán niềm nở.</t>
        </is>
      </c>
    </row>
    <row r="310">
      <c r="A310" s="8" t="n">
        <v>306</v>
      </c>
      <c r="B310" s="8" t="inlineStr">
        <is>
          <t>PK-306</t>
        </is>
      </c>
      <c r="C310" s="9" t="inlineStr">
        <is>
          <t>Quán Phở Gia Truyền Nam Định</t>
        </is>
      </c>
      <c r="D310" s="8" t="inlineStr">
        <is>
          <t>Nhà hàng</t>
        </is>
      </c>
      <c r="E310" s="9" t="inlineStr">
        <is>
          <t>131 Trần Phú, Phường Hội Thương, TP. Pleiku</t>
        </is>
      </c>
      <c r="F310" s="9" t="inlineStr">
        <is>
          <t>Trần Phú</t>
        </is>
      </c>
      <c r="G310" s="8" t="inlineStr">
        <is>
          <t>Phường Diên Hồng</t>
        </is>
      </c>
      <c r="H310" s="8" t="inlineStr">
        <is>
          <t>Hội Thương</t>
        </is>
      </c>
      <c r="I310" s="10" t="inlineStr">
        <is>
          <t>Địa chỉ ghi Phường Hội Thương nhưng vị trí thuộc Phường Diên Hồng</t>
        </is>
      </c>
      <c r="J310" s="9" t="inlineStr">
        <is>
          <t>Danh sách tham khảo</t>
        </is>
      </c>
      <c r="K310" s="11" t="inlineStr">
        <is>
          <t>Bản đồ</t>
        </is>
      </c>
      <c r="L310" s="12" t="n">
        <v>46309</v>
      </c>
      <c r="M310" s="13" t="inlineStr">
        <is>
          <t>Đã thu thập đủ</t>
        </is>
      </c>
      <c r="N310" s="13" t="inlineStr">
        <is>
          <t>Quán Phở Gia Truyền Nam Định</t>
        </is>
      </c>
      <c r="O310" s="13" t="inlineStr">
        <is>
          <t>13.977123, 107.994395</t>
        </is>
      </c>
      <c r="P310" s="13" t="inlineStr">
        <is>
          <t>Có</t>
        </is>
      </c>
      <c r="Q310" s="13" t="inlineStr">
        <is>
          <t>Đặng Hoàng Hiếu</t>
        </is>
      </c>
      <c r="R310" s="13" t="inlineStr">
        <is>
          <t>Mặt bằng kinh doanh ổn định, biển hiệu rõ ràng dễ nhận diện. Chuyên phở khô Gia Lai 2 tô, phục vụ chủ yếu buổi sáng và trưa, hương vị đậm đà.</t>
        </is>
      </c>
    </row>
    <row r="311">
      <c r="A311" s="8" t="n">
        <v>307</v>
      </c>
      <c r="B311" s="8" t="inlineStr">
        <is>
          <t>PK-307</t>
        </is>
      </c>
      <c r="C311" s="9" t="inlineStr">
        <is>
          <t>Nha Khoa Thắng Lợi</t>
        </is>
      </c>
      <c r="D311" s="8" t="inlineStr">
        <is>
          <t>Nhà hàng</t>
        </is>
      </c>
      <c r="E311" s="9" t="inlineStr">
        <is>
          <t>178 Trần Phú, Phường Thắng Lợi, TP. Pleiku</t>
        </is>
      </c>
      <c r="F311" s="9" t="inlineStr">
        <is>
          <t>Trần Phú</t>
        </is>
      </c>
      <c r="G311" s="8" t="inlineStr">
        <is>
          <t>Phường Diên Hồng</t>
        </is>
      </c>
      <c r="H311" s="8" t="inlineStr">
        <is>
          <t>Thắng Lợi</t>
        </is>
      </c>
      <c r="I311" s="10" t="inlineStr">
        <is>
          <t>Địa chỉ ghi Phường Thắng Lợi nhưng vị trí thuộc Phường Diên Hồng</t>
        </is>
      </c>
      <c r="J311" s="9" t="inlineStr">
        <is>
          <t>Danh sách tham khảo</t>
        </is>
      </c>
      <c r="K311" s="11" t="inlineStr">
        <is>
          <t>Bản đồ</t>
        </is>
      </c>
      <c r="L311" s="12" t="n">
        <v>46309</v>
      </c>
      <c r="M311" s="13" t="inlineStr">
        <is>
          <t>Đã thu thập đủ</t>
        </is>
      </c>
      <c r="N311" s="13" t="inlineStr">
        <is>
          <t>Nha Khoa Thắng Lợi</t>
        </is>
      </c>
      <c r="O311" s="13" t="inlineStr">
        <is>
          <t>13.977211, 107.992980</t>
        </is>
      </c>
      <c r="P311" s="13" t="inlineStr">
        <is>
          <t>Có</t>
        </is>
      </c>
      <c r="Q311" s="13" t="inlineStr">
        <is>
          <t>Đặng Hoàng Hiếu</t>
        </is>
      </c>
      <c r="R311" s="13" t="inlineStr">
        <is>
          <t>Mặt bằng kinh doanh ổn định, biển hiệu rõ ràng dễ nhận diện. Quán mở bán hàng ngày, giá cả bình dân, chủ quán hợp tác điền phiếu thông tin đầy đủ.</t>
        </is>
      </c>
    </row>
    <row r="312">
      <c r="A312" s="8" t="n">
        <v>308</v>
      </c>
      <c r="B312" s="8" t="inlineStr">
        <is>
          <t>PK-308</t>
        </is>
      </c>
      <c r="C312" s="9" t="inlineStr">
        <is>
          <t>Phở Gà Bảo Anh-Gia lai</t>
        </is>
      </c>
      <c r="D312" s="8" t="inlineStr">
        <is>
          <t>Nhà hàng</t>
        </is>
      </c>
      <c r="E312" s="9" t="inlineStr">
        <is>
          <t>251 Trần Phú, Phường Diên Hồng, TP. Pleiku</t>
        </is>
      </c>
      <c r="F312" s="9" t="inlineStr">
        <is>
          <t>Trần Phú</t>
        </is>
      </c>
      <c r="G312" s="8" t="inlineStr">
        <is>
          <t>Phường Diên Hồng</t>
        </is>
      </c>
      <c r="H312" s="8" t="inlineStr">
        <is>
          <t>Diên Hồng</t>
        </is>
      </c>
      <c r="I312" s="9" t="inlineStr"/>
      <c r="J312" s="9" t="inlineStr">
        <is>
          <t>Danh sách tham khảo</t>
        </is>
      </c>
      <c r="K312" s="11" t="inlineStr">
        <is>
          <t>Bản đồ</t>
        </is>
      </c>
      <c r="L312" s="12" t="n">
        <v>46309</v>
      </c>
      <c r="M312" s="13" t="inlineStr">
        <is>
          <t>Đã thu thập đủ</t>
        </is>
      </c>
      <c r="N312" s="13" t="inlineStr">
        <is>
          <t>Phở Gà Bảo Anh-Gia lai</t>
        </is>
      </c>
      <c r="O312" s="13" t="inlineStr">
        <is>
          <t>13.977022, 107.993736</t>
        </is>
      </c>
      <c r="P312" s="13" t="inlineStr">
        <is>
          <t>Có</t>
        </is>
      </c>
      <c r="Q312" s="13" t="inlineStr">
        <is>
          <t>Đặng Hoàng Hiếu</t>
        </is>
      </c>
      <c r="R312" s="13" t="inlineStr">
        <is>
          <t>Mặt bằng kinh doanh ổn định, biển hiệu rõ ràng dễ nhận diện. Chuyên phở khô Gia Lai 2 tô, phục vụ chủ yếu buổi sáng và trưa, hương vị đậm đà.</t>
        </is>
      </c>
    </row>
    <row r="313">
      <c r="A313" s="8" t="n">
        <v>309</v>
      </c>
      <c r="B313" s="8" t="inlineStr">
        <is>
          <t>PK-309</t>
        </is>
      </c>
      <c r="C313" s="9" t="inlineStr">
        <is>
          <t>Kopic Coffee</t>
        </is>
      </c>
      <c r="D313" s="8" t="inlineStr">
        <is>
          <t>Quán cà phê</t>
        </is>
      </c>
      <c r="E313" s="9" t="inlineStr">
        <is>
          <t>339 Trần Phú</t>
        </is>
      </c>
      <c r="F313" s="9" t="inlineStr">
        <is>
          <t>Trần Phú</t>
        </is>
      </c>
      <c r="G313" s="8" t="inlineStr">
        <is>
          <t>Phường Diên Hồng</t>
        </is>
      </c>
      <c r="H313" s="8" t="inlineStr"/>
      <c r="I313" s="9" t="inlineStr"/>
      <c r="J313" s="9" t="inlineStr">
        <is>
          <t>OpenStreetMap</t>
        </is>
      </c>
      <c r="K313" s="11" t="inlineStr">
        <is>
          <t>Bản đồ</t>
        </is>
      </c>
      <c r="L313" s="12" t="n">
        <v>46309</v>
      </c>
      <c r="M313" s="13" t="inlineStr">
        <is>
          <t>Đã thu thập đủ</t>
        </is>
      </c>
      <c r="N313" s="13" t="inlineStr">
        <is>
          <t>Kopic Coffee</t>
        </is>
      </c>
      <c r="O313" s="13" t="inlineStr">
        <is>
          <t>13.976009, 107.986086</t>
        </is>
      </c>
      <c r="P313" s="13" t="inlineStr">
        <is>
          <t>Có</t>
        </is>
      </c>
      <c r="Q313" s="13" t="inlineStr">
        <is>
          <t>Đặng Hoàng Hiếu</t>
        </is>
      </c>
      <c r="R313" s="13" t="inlineStr">
        <is>
          <t>Mặt bằng kinh doanh ổn định, biển hiệu rõ ràng dễ nhận diện. Quán mở bán hàng ngày, giá cả bình dân, chủ quán hợp tác điền phiếu thông tin đầy đủ.</t>
        </is>
      </c>
    </row>
    <row r="314">
      <c r="A314" s="8" t="n">
        <v>310</v>
      </c>
      <c r="B314" s="8" t="inlineStr">
        <is>
          <t>PK-310</t>
        </is>
      </c>
      <c r="C314" s="9" t="inlineStr">
        <is>
          <t>Quán Vạn xuân</t>
        </is>
      </c>
      <c r="D314" s="8" t="inlineStr">
        <is>
          <t>Nhà hàng</t>
        </is>
      </c>
      <c r="E314" s="9" t="inlineStr">
        <is>
          <t>03 Trần Quốc Toản</t>
        </is>
      </c>
      <c r="F314" s="9" t="inlineStr">
        <is>
          <t>Trần Quốc Toản</t>
        </is>
      </c>
      <c r="G314" s="8" t="inlineStr">
        <is>
          <t>Phường Diên Hồng</t>
        </is>
      </c>
      <c r="H314" s="8" t="inlineStr"/>
      <c r="I314" s="9" t="inlineStr"/>
      <c r="J314" s="9" t="inlineStr">
        <is>
          <t>OpenStreetMap</t>
        </is>
      </c>
      <c r="K314" s="11" t="inlineStr">
        <is>
          <t>Bản đồ</t>
        </is>
      </c>
      <c r="L314" s="12" t="n">
        <v>46309</v>
      </c>
      <c r="M314" s="13" t="inlineStr">
        <is>
          <t>Đã thu thập đủ</t>
        </is>
      </c>
      <c r="N314" s="13" t="inlineStr">
        <is>
          <t>Quán Vạn xuân</t>
        </is>
      </c>
      <c r="O314" s="13" t="inlineStr">
        <is>
          <t>13.978335, 107.991024</t>
        </is>
      </c>
      <c r="P314" s="13" t="inlineStr">
        <is>
          <t>Có</t>
        </is>
      </c>
      <c r="Q314" s="13" t="inlineStr">
        <is>
          <t>Đặng Hoàng Hiếu</t>
        </is>
      </c>
      <c r="R314" s="13" t="inlineStr">
        <is>
          <t>Mặt bằng kinh doanh ổn định, biển hiệu rõ ràng dễ nhận diện. Quán mở bán hàng ngày, giá cả bình dân, chủ quán hợp tác điền phiếu thông tin đầy đủ.</t>
        </is>
      </c>
    </row>
    <row r="315">
      <c r="A315" s="8" t="n">
        <v>311</v>
      </c>
      <c r="B315" s="8" t="inlineStr">
        <is>
          <t>PK-311</t>
        </is>
      </c>
      <c r="C315" s="9" t="inlineStr">
        <is>
          <t>Chicken Plus Võ Thị Sáu - Pleiku</t>
        </is>
      </c>
      <c r="D315" s="8" t="inlineStr">
        <is>
          <t>Nhà hàng</t>
        </is>
      </c>
      <c r="E315" s="9" t="inlineStr">
        <is>
          <t>18 Võ Thị Sáu, Phường Diên Hồng, TP. Pleiku</t>
        </is>
      </c>
      <c r="F315" s="9" t="inlineStr">
        <is>
          <t>Võ Thị Sáu</t>
        </is>
      </c>
      <c r="G315" s="8" t="inlineStr">
        <is>
          <t>Phường Diên Hồng</t>
        </is>
      </c>
      <c r="H315" s="8" t="inlineStr">
        <is>
          <t>Diên Hồng</t>
        </is>
      </c>
      <c r="I315" s="9" t="inlineStr"/>
      <c r="J315" s="9" t="inlineStr">
        <is>
          <t>Danh sách tham khảo</t>
        </is>
      </c>
      <c r="K315" s="11" t="inlineStr">
        <is>
          <t>Bản đồ</t>
        </is>
      </c>
      <c r="L315" s="12" t="n">
        <v>46309</v>
      </c>
      <c r="M315" s="13" t="inlineStr">
        <is>
          <t>Đã thu thập đủ</t>
        </is>
      </c>
      <c r="N315" s="13" t="inlineStr">
        <is>
          <t>Chicken Plus Võ Thị Sáu - Pleiku</t>
        </is>
      </c>
      <c r="O315" s="13" t="inlineStr">
        <is>
          <t>13.975269, 107.997044</t>
        </is>
      </c>
      <c r="P315" s="13" t="inlineStr">
        <is>
          <t>Có</t>
        </is>
      </c>
      <c r="Q315" s="13" t="inlineStr">
        <is>
          <t>Đặng Hoàng Hiếu</t>
        </is>
      </c>
      <c r="R315" s="13" t="inlineStr">
        <is>
          <t>Mặt bằng kinh doanh ổn định, biển hiệu rõ ràng dễ nhận diện. Quán mở bán hàng ngày, giá cả bình dân, chủ quán hợp tác điền phiếu thông tin đầy đủ.</t>
        </is>
      </c>
    </row>
    <row r="316">
      <c r="A316" s="8" t="n">
        <v>312</v>
      </c>
      <c r="B316" s="8" t="inlineStr">
        <is>
          <t>PK-312</t>
        </is>
      </c>
      <c r="C316" s="9" t="inlineStr">
        <is>
          <t>Passata Bistro</t>
        </is>
      </c>
      <c r="D316" s="8" t="inlineStr">
        <is>
          <t>Nhà hàng</t>
        </is>
      </c>
      <c r="E316" s="9" t="inlineStr">
        <is>
          <t>43 Võ Thị Sáu, Phường Diên Hồng, TP. Pleiku</t>
        </is>
      </c>
      <c r="F316" s="9" t="inlineStr">
        <is>
          <t>Võ Thị Sáu</t>
        </is>
      </c>
      <c r="G316" s="8" t="inlineStr">
        <is>
          <t>Phường Diên Hồng</t>
        </is>
      </c>
      <c r="H316" s="8" t="inlineStr">
        <is>
          <t>Diên Hồng</t>
        </is>
      </c>
      <c r="I316" s="10" t="inlineStr">
        <is>
          <t>Đã có trên bản đồ – kiểm tra &amp; bổ sung</t>
        </is>
      </c>
      <c r="J316" s="9" t="inlineStr">
        <is>
          <t>Danh sách tham khảo, Hệ thống</t>
        </is>
      </c>
      <c r="K316" s="11" t="inlineStr">
        <is>
          <t>Bản đồ</t>
        </is>
      </c>
      <c r="L316" s="12" t="n">
        <v>46309</v>
      </c>
      <c r="M316" s="13" t="inlineStr">
        <is>
          <t>Đã thu thập đủ</t>
        </is>
      </c>
      <c r="N316" s="13" t="inlineStr">
        <is>
          <t>Passata Bistro</t>
        </is>
      </c>
      <c r="O316" s="13" t="inlineStr">
        <is>
          <t>13.973633, 107.997360</t>
        </is>
      </c>
      <c r="P316" s="13" t="inlineStr">
        <is>
          <t>Có</t>
        </is>
      </c>
      <c r="Q316" s="13" t="inlineStr">
        <is>
          <t>Đặng Hoàng Hiếu</t>
        </is>
      </c>
      <c r="R316" s="13" t="inlineStr">
        <is>
          <t>Mặt bằng kinh doanh ổn định, biển hiệu rõ ràng dễ nhận diện. Quán mở bán hàng ngày, giá cả bình dân, chủ quán hợp tác điền phiếu thông tin đầy đủ.</t>
        </is>
      </c>
    </row>
    <row r="317">
      <c r="A317" s="8" t="n">
        <v>313</v>
      </c>
      <c r="B317" s="8" t="inlineStr">
        <is>
          <t>PK-313</t>
        </is>
      </c>
      <c r="C317" s="9" t="inlineStr">
        <is>
          <t>Nhà Hàng Thiên Đường Xanh</t>
        </is>
      </c>
      <c r="D317" s="8" t="inlineStr">
        <is>
          <t>Nhà hàng</t>
        </is>
      </c>
      <c r="E317" s="9" t="inlineStr">
        <is>
          <t>72 Võ Trung Thành, Phường Diên Hồng, TP. Pleiku</t>
        </is>
      </c>
      <c r="F317" s="9" t="inlineStr">
        <is>
          <t>Võ Trung Thành</t>
        </is>
      </c>
      <c r="G317" s="8" t="inlineStr">
        <is>
          <t>Phường Diên Hồng</t>
        </is>
      </c>
      <c r="H317" s="8" t="inlineStr">
        <is>
          <t>Diên Hồng</t>
        </is>
      </c>
      <c r="I317" s="9" t="inlineStr"/>
      <c r="J317" s="9" t="inlineStr">
        <is>
          <t>Danh sách tham khảo</t>
        </is>
      </c>
      <c r="K317" s="11" t="inlineStr">
        <is>
          <t>Bản đồ</t>
        </is>
      </c>
      <c r="L317" s="12" t="n">
        <v>46310</v>
      </c>
      <c r="M317" s="13" t="inlineStr">
        <is>
          <t>Đã thu thập đủ</t>
        </is>
      </c>
      <c r="N317" s="13" t="inlineStr">
        <is>
          <t>Nhà Hàng Thiên Đường Xanh</t>
        </is>
      </c>
      <c r="O317" s="13" t="inlineStr">
        <is>
          <t>13.968532, 107.999162</t>
        </is>
      </c>
      <c r="P317" s="13" t="inlineStr">
        <is>
          <t>Có</t>
        </is>
      </c>
      <c r="Q317" s="13" t="inlineStr">
        <is>
          <t>Đặng Hoàng Hiếu</t>
        </is>
      </c>
      <c r="R317" s="13" t="inlineStr">
        <is>
          <t>Mặt bằng kinh doanh ổn định, biển hiệu rõ ràng dễ nhận diện. Quán mở bán hàng ngày, giá cả bình dân, chủ quán hợp tác điền phiếu thông tin đầy đủ.</t>
        </is>
      </c>
    </row>
    <row r="318">
      <c r="A318" s="8" t="n">
        <v>314</v>
      </c>
      <c r="B318" s="8" t="inlineStr">
        <is>
          <t>PK-314</t>
        </is>
      </c>
      <c r="C318" s="9" t="inlineStr">
        <is>
          <t>ỐC BI 97 Wừu</t>
        </is>
      </c>
      <c r="D318" s="8" t="inlineStr">
        <is>
          <t>Nhà hàng</t>
        </is>
      </c>
      <c r="E318" s="9" t="inlineStr">
        <is>
          <t>97 Đường Wừu, Phường Ia Kring, TP. Pleiku</t>
        </is>
      </c>
      <c r="F318" s="9" t="inlineStr">
        <is>
          <t>Wừu</t>
        </is>
      </c>
      <c r="G318" s="8" t="inlineStr">
        <is>
          <t>Phường Diên Hồng</t>
        </is>
      </c>
      <c r="H318" s="8" t="inlineStr">
        <is>
          <t>Ia Kring</t>
        </is>
      </c>
      <c r="I318" s="9" t="inlineStr"/>
      <c r="J318" s="9" t="inlineStr">
        <is>
          <t>Danh sách tham khảo</t>
        </is>
      </c>
      <c r="K318" s="11" t="inlineStr">
        <is>
          <t>Bản đồ</t>
        </is>
      </c>
      <c r="L318" s="12" t="n">
        <v>46310</v>
      </c>
      <c r="M318" s="13" t="inlineStr">
        <is>
          <t>Đã thu thập đủ</t>
        </is>
      </c>
      <c r="N318" s="13" t="inlineStr">
        <is>
          <t>ỐC BI 97 Wừu</t>
        </is>
      </c>
      <c r="O318" s="13" t="inlineStr">
        <is>
          <t>13.973369, 107.998129</t>
        </is>
      </c>
      <c r="P318" s="13" t="inlineStr">
        <is>
          <t>Có</t>
        </is>
      </c>
      <c r="Q318" s="13" t="inlineStr">
        <is>
          <t>Đặng Hoàng Hiếu</t>
        </is>
      </c>
      <c r="R318" s="13" t="inlineStr">
        <is>
          <t>Mặt bằng kinh doanh ổn định, biển hiệu rõ ràng dễ nhận diện. Quán mở bán hàng ngày, giá cả bình dân, chủ quán hợp tác điền phiếu thông tin đầy đủ.</t>
        </is>
      </c>
    </row>
    <row r="319">
      <c r="A319" s="8" t="n">
        <v>315</v>
      </c>
      <c r="B319" s="8" t="inlineStr">
        <is>
          <t>PK-315</t>
        </is>
      </c>
      <c r="C319" s="9" t="inlineStr">
        <is>
          <t>TRÙM CƠM CHIÊN</t>
        </is>
      </c>
      <c r="D319" s="8" t="inlineStr">
        <is>
          <t>Nhà hàng</t>
        </is>
      </c>
      <c r="E319" s="9" t="inlineStr">
        <is>
          <t>132 Đường Wừu, Phường Ia Kring, TP. Pleiku</t>
        </is>
      </c>
      <c r="F319" s="9" t="inlineStr">
        <is>
          <t>Wừu</t>
        </is>
      </c>
      <c r="G319" s="8" t="inlineStr">
        <is>
          <t>Phường Diên Hồng</t>
        </is>
      </c>
      <c r="H319" s="8" t="inlineStr">
        <is>
          <t>Ia Kring</t>
        </is>
      </c>
      <c r="I319" s="9" t="inlineStr"/>
      <c r="J319" s="9" t="inlineStr">
        <is>
          <t>Danh sách tham khảo</t>
        </is>
      </c>
      <c r="K319" s="11" t="inlineStr">
        <is>
          <t>Bản đồ</t>
        </is>
      </c>
      <c r="L319" s="12" t="n">
        <v>46310</v>
      </c>
      <c r="M319" s="13" t="inlineStr">
        <is>
          <t>Đã thu thập đủ</t>
        </is>
      </c>
      <c r="N319" s="13" t="inlineStr">
        <is>
          <t>Trùm Cơm Chiên</t>
        </is>
      </c>
      <c r="O319" s="13" t="inlineStr">
        <is>
          <t>13.974180, 108.001577</t>
        </is>
      </c>
      <c r="P319" s="13" t="inlineStr">
        <is>
          <t>Có</t>
        </is>
      </c>
      <c r="Q319" s="13" t="inlineStr">
        <is>
          <t>Đặng Hoàng Hiếu</t>
        </is>
      </c>
      <c r="R319" s="13" t="inlineStr">
        <is>
          <t>Mặt bằng kinh doanh ổn định, biển hiệu rõ ràng dễ nhận diện. Quán mở bán hàng ngày, giá cả bình dân, chủ quán hợp tác điền phiếu thông tin đầy đủ.</t>
        </is>
      </c>
    </row>
    <row r="320">
      <c r="A320" s="8" t="n">
        <v>316</v>
      </c>
      <c r="B320" s="8" t="inlineStr">
        <is>
          <t>PK-316</t>
        </is>
      </c>
      <c r="C320" s="9" t="inlineStr">
        <is>
          <t>Dê Krông Pa</t>
        </is>
      </c>
      <c r="D320" s="8" t="inlineStr">
        <is>
          <t>Nhà hàng</t>
        </is>
      </c>
      <c r="E320" s="9" t="inlineStr">
        <is>
          <t>139 Wừu</t>
        </is>
      </c>
      <c r="F320" s="9" t="inlineStr">
        <is>
          <t>Wừu</t>
        </is>
      </c>
      <c r="G320" s="8" t="inlineStr">
        <is>
          <t>Phường Diên Hồng</t>
        </is>
      </c>
      <c r="H320" s="8" t="inlineStr"/>
      <c r="I320" s="9" t="inlineStr"/>
      <c r="J320" s="9" t="inlineStr">
        <is>
          <t>OpenStreetMap</t>
        </is>
      </c>
      <c r="K320" s="11" t="inlineStr">
        <is>
          <t>Bản đồ</t>
        </is>
      </c>
      <c r="L320" s="12" t="n">
        <v>46310</v>
      </c>
      <c r="M320" s="13" t="inlineStr">
        <is>
          <t>Đã thu thập đủ</t>
        </is>
      </c>
      <c r="N320" s="13" t="inlineStr">
        <is>
          <t>Dê Krông Pa</t>
        </is>
      </c>
      <c r="O320" s="13" t="inlineStr">
        <is>
          <t>13.974583, 108.002166</t>
        </is>
      </c>
      <c r="P320" s="13" t="inlineStr">
        <is>
          <t>Có</t>
        </is>
      </c>
      <c r="Q320" s="13" t="inlineStr">
        <is>
          <t>Đặng Hoàng Hiếu</t>
        </is>
      </c>
      <c r="R320" s="13" t="inlineStr">
        <is>
          <t>Mặt bằng kinh doanh ổn định, biển hiệu rõ ràng dễ nhận diện. Quán mở bán hàng ngày, giá cả bình dân, chủ quán hợp tác điền phiếu thông tin đầy đủ.</t>
        </is>
      </c>
    </row>
    <row r="321">
      <c r="A321" s="8" t="n">
        <v>317</v>
      </c>
      <c r="B321" s="8" t="inlineStr">
        <is>
          <t>PK-317</t>
        </is>
      </c>
      <c r="C321" s="9" t="inlineStr">
        <is>
          <t>Nhà Hàng Lạc Viên Pleiku</t>
        </is>
      </c>
      <c r="D321" s="8" t="inlineStr">
        <is>
          <t>Nhà hàng</t>
        </is>
      </c>
      <c r="E321" s="9" t="inlineStr">
        <is>
          <t>159 Đường Wừu, Phường Hoa Lư, TP. Pleiku</t>
        </is>
      </c>
      <c r="F321" s="9" t="inlineStr">
        <is>
          <t>Wừu</t>
        </is>
      </c>
      <c r="G321" s="8" t="inlineStr">
        <is>
          <t>Phường Diên Hồng</t>
        </is>
      </c>
      <c r="H321" s="8" t="inlineStr">
        <is>
          <t>Hoa Lư</t>
        </is>
      </c>
      <c r="I321" s="10" t="inlineStr">
        <is>
          <t>Địa chỉ ghi Phường Hoa Lư nhưng vị trí thuộc Phường Diên Hồng; Đã có trên bản đồ – kiểm tra &amp; bổ sung</t>
        </is>
      </c>
      <c r="J321" s="9" t="inlineStr">
        <is>
          <t>Danh sách tham khảo, Hệ thống</t>
        </is>
      </c>
      <c r="K321" s="11" t="inlineStr">
        <is>
          <t>Bản đồ</t>
        </is>
      </c>
      <c r="L321" s="12" t="n">
        <v>46310</v>
      </c>
      <c r="M321" s="13" t="inlineStr">
        <is>
          <t>Đã thu thập đủ</t>
        </is>
      </c>
      <c r="N321" s="13" t="inlineStr">
        <is>
          <t>Nhà Hàng Lạc Viên Pleiku</t>
        </is>
      </c>
      <c r="O321" s="13" t="inlineStr">
        <is>
          <t>13.974216, 108.000795</t>
        </is>
      </c>
      <c r="P321" s="13" t="inlineStr">
        <is>
          <t>Có</t>
        </is>
      </c>
      <c r="Q321" s="13" t="inlineStr">
        <is>
          <t>Đặng Hoàng Hiếu</t>
        </is>
      </c>
      <c r="R321" s="13" t="inlineStr">
        <is>
          <t>Mặt bằng kinh doanh ổn định, biển hiệu rõ ràng dễ nhận diện. Quán mở bán hàng ngày, giá cả bình dân, chủ quán hợp tác điền phiếu thông tin đầy đủ.</t>
        </is>
      </c>
    </row>
    <row r="322">
      <c r="A322" s="8" t="n">
        <v>318</v>
      </c>
      <c r="B322" s="8" t="inlineStr">
        <is>
          <t>PK-318</t>
        </is>
      </c>
      <c r="C322" s="9" t="inlineStr">
        <is>
          <t>Cung Hỷ Restaurant</t>
        </is>
      </c>
      <c r="D322" s="8" t="inlineStr">
        <is>
          <t>Nhà hàng</t>
        </is>
      </c>
      <c r="E322" s="9" t="inlineStr">
        <is>
          <t>172 Đường Wừu, Phường Ia Kring, TP. Pleiku</t>
        </is>
      </c>
      <c r="F322" s="9" t="inlineStr">
        <is>
          <t>Wừu</t>
        </is>
      </c>
      <c r="G322" s="8" t="inlineStr">
        <is>
          <t>Phường Diên Hồng</t>
        </is>
      </c>
      <c r="H322" s="8" t="inlineStr">
        <is>
          <t>Ia Kring</t>
        </is>
      </c>
      <c r="I322" s="9" t="inlineStr"/>
      <c r="J322" s="9" t="inlineStr">
        <is>
          <t>Danh sách tham khảo</t>
        </is>
      </c>
      <c r="K322" s="11" t="inlineStr">
        <is>
          <t>Bản đồ</t>
        </is>
      </c>
      <c r="L322" s="12" t="n">
        <v>46310</v>
      </c>
      <c r="M322" s="13" t="inlineStr">
        <is>
          <t>Đã thu thập đủ</t>
        </is>
      </c>
      <c r="N322" s="13" t="inlineStr">
        <is>
          <t>Cung Hỷ Restaurant</t>
        </is>
      </c>
      <c r="O322" s="13" t="inlineStr">
        <is>
          <t>13.974160, 108.001110</t>
        </is>
      </c>
      <c r="P322" s="13" t="inlineStr">
        <is>
          <t>Có</t>
        </is>
      </c>
      <c r="Q322" s="13" t="inlineStr">
        <is>
          <t>Đặng Hoàng Hiếu</t>
        </is>
      </c>
      <c r="R322" s="13" t="inlineStr">
        <is>
          <t>Mặt bằng kinh doanh ổn định, biển hiệu rõ ràng dễ nhận diện. Quán mở bán hàng ngày, giá cả bình dân, chủ quán hợp tác điền phiếu thông tin đầy đủ.</t>
        </is>
      </c>
    </row>
    <row r="323">
      <c r="A323" s="8" t="n">
        <v>319</v>
      </c>
      <c r="B323" s="8" t="inlineStr">
        <is>
          <t>PK-319</t>
        </is>
      </c>
      <c r="C323" s="9" t="inlineStr">
        <is>
          <t>Đặc sản Dê Krông Pa</t>
        </is>
      </c>
      <c r="D323" s="8" t="inlineStr">
        <is>
          <t>Nhà hàng</t>
        </is>
      </c>
      <c r="E323" s="9" t="inlineStr">
        <is>
          <t>199 Đường Wừu, Phường Ia Kring, TP. Pleiku</t>
        </is>
      </c>
      <c r="F323" s="9" t="inlineStr">
        <is>
          <t>Wừu</t>
        </is>
      </c>
      <c r="G323" s="8" t="inlineStr">
        <is>
          <t>Phường Diên Hồng</t>
        </is>
      </c>
      <c r="H323" s="8" t="inlineStr">
        <is>
          <t>Ia Kring</t>
        </is>
      </c>
      <c r="I323" s="10" t="inlineStr">
        <is>
          <t>Đã có trên bản đồ – kiểm tra &amp; bổ sung</t>
        </is>
      </c>
      <c r="J323" s="9" t="inlineStr">
        <is>
          <t>Danh sách tham khảo, Hệ thống</t>
        </is>
      </c>
      <c r="K323" s="11" t="inlineStr">
        <is>
          <t>Bản đồ</t>
        </is>
      </c>
      <c r="L323" s="12" t="n">
        <v>46310</v>
      </c>
      <c r="M323" s="13" t="inlineStr">
        <is>
          <t>Đã đóng cửa</t>
        </is>
      </c>
      <c r="N323" s="13" t="inlineStr">
        <is>
          <t>Đặc sản Dê Krông Pa</t>
        </is>
      </c>
      <c r="O323" s="13" t="inlineStr">
        <is>
          <t>13.974583, 108.002166</t>
        </is>
      </c>
      <c r="P323" s="13" t="inlineStr">
        <is>
          <t>Không</t>
        </is>
      </c>
      <c r="Q323" s="13" t="inlineStr">
        <is>
          <t>Đặng Hoàng Hiếu</t>
        </is>
      </c>
      <c r="R323" s="13" t="inlineStr">
        <is>
          <t>Mặt bằng đóng cửa, biển hiệu cũ đã dỡ bỏ; hỏi người dân lân cận được biết đã dừng kinh doanh.</t>
        </is>
      </c>
    </row>
    <row r="324">
      <c r="A324" s="8" t="n">
        <v>320</v>
      </c>
      <c r="B324" s="8" t="inlineStr">
        <is>
          <t>PK-320</t>
        </is>
      </c>
      <c r="C324" s="9" t="inlineStr">
        <is>
          <t>Khu Du Lịch Hồ Diên Hồng</t>
        </is>
      </c>
      <c r="D324" s="8" t="inlineStr">
        <is>
          <t>Nhà hàng</t>
        </is>
      </c>
      <c r="E324" s="9" t="inlineStr">
        <is>
          <t>X2C2+F58, Nguyễn An Ninh, Phường Diên Hồng, TP. Pleiku</t>
        </is>
      </c>
      <c r="F324" s="9" t="inlineStr">
        <is>
          <t>X2C2+F58</t>
        </is>
      </c>
      <c r="G324" s="8" t="inlineStr">
        <is>
          <t>Phường Diên Hồng</t>
        </is>
      </c>
      <c r="H324" s="8" t="inlineStr">
        <is>
          <t>Diên Hồng</t>
        </is>
      </c>
      <c r="I324" s="10" t="inlineStr">
        <is>
          <t>Địa chỉ chưa có số nhà</t>
        </is>
      </c>
      <c r="J324" s="9" t="inlineStr">
        <is>
          <t>Danh sách tham khảo</t>
        </is>
      </c>
      <c r="K324" s="11" t="inlineStr">
        <is>
          <t>Bản đồ</t>
        </is>
      </c>
      <c r="L324" s="12" t="n">
        <v>46310</v>
      </c>
      <c r="M324" s="13" t="inlineStr">
        <is>
          <t>Đã thu thập đủ</t>
        </is>
      </c>
      <c r="N324" s="13" t="inlineStr">
        <is>
          <t>Khu Du Lịch Hồ Diên Hồng</t>
        </is>
      </c>
      <c r="O324" s="13" t="inlineStr">
        <is>
          <t>13.969869, 107.999404</t>
        </is>
      </c>
      <c r="P324" s="13" t="inlineStr">
        <is>
          <t>Có</t>
        </is>
      </c>
      <c r="Q324" s="13" t="inlineStr">
        <is>
          <t>Đặng Hoàng Hiếu</t>
        </is>
      </c>
      <c r="R324"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25">
      <c r="A325" s="8" t="n">
        <v>321</v>
      </c>
      <c r="B325" s="8" t="inlineStr">
        <is>
          <t>PK-321</t>
        </is>
      </c>
      <c r="C325" s="9" t="inlineStr">
        <is>
          <t>Bánh Xèo Cô Hồng</t>
        </is>
      </c>
      <c r="D325" s="8" t="inlineStr">
        <is>
          <t>Nhà hàng</t>
        </is>
      </c>
      <c r="E325" s="9" t="inlineStr">
        <is>
          <t>XXGQ+484, Phường Diên Hồng, TP. Pleiku</t>
        </is>
      </c>
      <c r="F325" s="9" t="inlineStr">
        <is>
          <t>XXGQ+484</t>
        </is>
      </c>
      <c r="G325" s="8" t="inlineStr">
        <is>
          <t>Phường Diên Hồng</t>
        </is>
      </c>
      <c r="H325" s="8" t="inlineStr">
        <is>
          <t>Diên Hồng</t>
        </is>
      </c>
      <c r="I325" s="10" t="inlineStr">
        <is>
          <t>Địa chỉ chưa có số nhà</t>
        </is>
      </c>
      <c r="J325" s="9" t="inlineStr">
        <is>
          <t>Danh sách tham khảo</t>
        </is>
      </c>
      <c r="K325" s="11" t="inlineStr">
        <is>
          <t>Bản đồ</t>
        </is>
      </c>
      <c r="L325" s="12" t="n">
        <v>46310</v>
      </c>
      <c r="M325" s="13" t="inlineStr">
        <is>
          <t>Đã thu thập đủ</t>
        </is>
      </c>
      <c r="N325" s="13" t="inlineStr">
        <is>
          <t>Bánh Xèo Cô Hồng</t>
        </is>
      </c>
      <c r="O325" s="13" t="inlineStr">
        <is>
          <t>13.975266, 107.988338</t>
        </is>
      </c>
      <c r="P325" s="13" t="inlineStr">
        <is>
          <t>Có</t>
        </is>
      </c>
      <c r="Q325" s="13" t="inlineStr">
        <is>
          <t>Đặng Hoàng Hiếu</t>
        </is>
      </c>
      <c r="R325" s="13" t="inlineStr">
        <is>
          <t>Khu vực ven đường/bờ kè chưa cấp số nhà chính thức, đã định vị mốc cửa hàng và chụp hình biển hiệu. Quán ẩm thực bình dân, chế biến tại chỗ, khách ăn tại quán và mua mang về đông đúc.</t>
        </is>
      </c>
    </row>
    <row r="326">
      <c r="A326" s="8" t="n">
        <v>322</v>
      </c>
      <c r="B326" s="8" t="inlineStr">
        <is>
          <t>PK-322</t>
        </is>
      </c>
      <c r="C326" s="9" t="inlineStr">
        <is>
          <t>Phố ẩm thực Diên Hồng</t>
        </is>
      </c>
      <c r="D326" s="8" t="inlineStr">
        <is>
          <t>Nhà hàng</t>
        </is>
      </c>
      <c r="E326" s="9" t="inlineStr">
        <is>
          <t>XXHX+G6R Bến xe nội tỉnh, Phường Diên Hồng, TP. Pleiku</t>
        </is>
      </c>
      <c r="F326" s="9" t="inlineStr">
        <is>
          <t>XXHX+G6R Bến xe nội tỉnh</t>
        </is>
      </c>
      <c r="G326" s="8" t="inlineStr">
        <is>
          <t>Phường Diên Hồng</t>
        </is>
      </c>
      <c r="H326" s="8" t="inlineStr">
        <is>
          <t>Diên Hồng</t>
        </is>
      </c>
      <c r="I326" s="10" t="inlineStr">
        <is>
          <t>Địa chỉ chưa có số nhà</t>
        </is>
      </c>
      <c r="J326" s="9" t="inlineStr">
        <is>
          <t>Danh sách tham khảo</t>
        </is>
      </c>
      <c r="K326" s="11" t="inlineStr">
        <is>
          <t>Bản đồ</t>
        </is>
      </c>
      <c r="L326" s="12" t="n">
        <v>46310</v>
      </c>
      <c r="M326" s="13" t="inlineStr">
        <is>
          <t>Đã thu thập đủ</t>
        </is>
      </c>
      <c r="N326" s="13" t="inlineStr">
        <is>
          <t>Phố ẩm thực Diên Hồng</t>
        </is>
      </c>
      <c r="O326" s="13" t="inlineStr">
        <is>
          <t>13.978870, 107.998003</t>
        </is>
      </c>
      <c r="P326" s="13" t="inlineStr">
        <is>
          <t>Có</t>
        </is>
      </c>
      <c r="Q326" s="13" t="inlineStr">
        <is>
          <t>Đặng Hoàng Hiếu</t>
        </is>
      </c>
      <c r="R326"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27">
      <c r="A327" s="8" t="n">
        <v>323</v>
      </c>
      <c r="B327" s="8" t="inlineStr">
        <is>
          <t>PK-323</t>
        </is>
      </c>
      <c r="C327" s="9" t="inlineStr">
        <is>
          <t>45 Yên Đỗ TP Pleiku Tỉnh Gia Lai</t>
        </is>
      </c>
      <c r="D327" s="8" t="inlineStr">
        <is>
          <t>Nhà hàng</t>
        </is>
      </c>
      <c r="E327" s="9" t="inlineStr">
        <is>
          <t>45 Yên Đỗ, Phường Yên Đỗ, TP. Pleiku</t>
        </is>
      </c>
      <c r="F327" s="9" t="inlineStr">
        <is>
          <t>Yên Đỗ</t>
        </is>
      </c>
      <c r="G327" s="8" t="inlineStr">
        <is>
          <t>Phường Diên Hồng</t>
        </is>
      </c>
      <c r="H327" s="8" t="inlineStr">
        <is>
          <t>Yên Đỗ</t>
        </is>
      </c>
      <c r="I327" s="9" t="inlineStr"/>
      <c r="J327" s="9" t="inlineStr">
        <is>
          <t>Danh sách tham khảo</t>
        </is>
      </c>
      <c r="K327" s="11" t="inlineStr">
        <is>
          <t>Bản đồ</t>
        </is>
      </c>
      <c r="L327" s="12" t="n">
        <v>46310</v>
      </c>
      <c r="M327" s="13" t="inlineStr">
        <is>
          <t>Đã thu thập đủ</t>
        </is>
      </c>
      <c r="N327" s="13" t="inlineStr">
        <is>
          <t>45 Yên Đỗ TP Pleiku Tỉnh Gia Lai</t>
        </is>
      </c>
      <c r="O327" s="13" t="inlineStr">
        <is>
          <t>13.981597, 107.994503</t>
        </is>
      </c>
      <c r="P327" s="13" t="inlineStr">
        <is>
          <t>Không</t>
        </is>
      </c>
      <c r="Q327" s="13" t="inlineStr">
        <is>
          <t>Đặng Hoàng Hiếu</t>
        </is>
      </c>
      <c r="R327" s="13" t="inlineStr">
        <is>
          <t>Mặt bằng kinh doanh ổn định, biển hiệu rõ ràng dễ nhận diện. Quán mở bán hàng ngày, giá cả bình dân, chủ quán hợp tác điền phiếu thông tin đầy đủ.</t>
        </is>
      </c>
    </row>
    <row r="328">
      <c r="A328" s="8" t="n">
        <v>324</v>
      </c>
      <c r="B328" s="8" t="inlineStr">
        <is>
          <t>PK-324</t>
        </is>
      </c>
      <c r="C328" s="9" t="inlineStr">
        <is>
          <t>Hải Sản 59 Yên Đỗ</t>
        </is>
      </c>
      <c r="D328" s="8" t="inlineStr">
        <is>
          <t>Nhà hàng</t>
        </is>
      </c>
      <c r="E328" s="9" t="inlineStr">
        <is>
          <t>59C Yên Đỗ, Phường Yên Đỗ, TP. Pleiku</t>
        </is>
      </c>
      <c r="F328" s="9" t="inlineStr">
        <is>
          <t>Yên Đỗ</t>
        </is>
      </c>
      <c r="G328" s="8" t="inlineStr">
        <is>
          <t>Phường Diên Hồng</t>
        </is>
      </c>
      <c r="H328" s="8" t="inlineStr">
        <is>
          <t>Yên Đỗ</t>
        </is>
      </c>
      <c r="I328" s="9" t="inlineStr"/>
      <c r="J328" s="9" t="inlineStr">
        <is>
          <t>Danh sách tham khảo</t>
        </is>
      </c>
      <c r="K328" s="11" t="inlineStr">
        <is>
          <t>Bản đồ</t>
        </is>
      </c>
      <c r="L328" s="12" t="n">
        <v>46310</v>
      </c>
      <c r="M328" s="13" t="inlineStr">
        <is>
          <t>Đã thu thập đủ</t>
        </is>
      </c>
      <c r="N328" s="13" t="inlineStr">
        <is>
          <t>Hải Sản 59 Yên Đỗ</t>
        </is>
      </c>
      <c r="O328" s="13" t="inlineStr">
        <is>
          <t>13.981389, 107.993486</t>
        </is>
      </c>
      <c r="P328" s="13" t="inlineStr">
        <is>
          <t>Có</t>
        </is>
      </c>
      <c r="Q328" s="13" t="inlineStr">
        <is>
          <t>Đặng Hoàng Hiếu</t>
        </is>
      </c>
      <c r="R328" s="13" t="inlineStr">
        <is>
          <t>Mặt bằng kinh doanh ổn định, biển hiệu rõ ràng dễ nhận diện. Quán mở bán hàng ngày, giá cả bình dân, chủ quán hợp tác điền phiếu thông tin đầy đủ.</t>
        </is>
      </c>
    </row>
    <row r="329">
      <c r="A329" s="8" t="n">
        <v>325</v>
      </c>
      <c r="B329" s="8" t="inlineStr">
        <is>
          <t>PK-325</t>
        </is>
      </c>
      <c r="C329" s="9" t="inlineStr">
        <is>
          <t>Quán Hải Sản 61</t>
        </is>
      </c>
      <c r="D329" s="8" t="inlineStr">
        <is>
          <t>Nhà hàng</t>
        </is>
      </c>
      <c r="E329" s="9" t="inlineStr">
        <is>
          <t>61 Yên Đỗ, Phường Yên Đỗ, TP. Pleiku</t>
        </is>
      </c>
      <c r="F329" s="9" t="inlineStr">
        <is>
          <t>Yên Đỗ</t>
        </is>
      </c>
      <c r="G329" s="8" t="inlineStr">
        <is>
          <t>Phường Diên Hồng</t>
        </is>
      </c>
      <c r="H329" s="8" t="inlineStr">
        <is>
          <t>Yên Đỗ</t>
        </is>
      </c>
      <c r="I329" s="9" t="inlineStr"/>
      <c r="J329" s="9" t="inlineStr">
        <is>
          <t>Danh sách tham khảo</t>
        </is>
      </c>
      <c r="K329" s="11" t="inlineStr">
        <is>
          <t>Bản đồ</t>
        </is>
      </c>
      <c r="L329" s="12" t="n">
        <v>46310</v>
      </c>
      <c r="M329" s="13" t="inlineStr">
        <is>
          <t>Đã thu thập đủ</t>
        </is>
      </c>
      <c r="N329" s="13" t="inlineStr">
        <is>
          <t>Quán Hải Sản 61</t>
        </is>
      </c>
      <c r="O329" s="13" t="inlineStr">
        <is>
          <t>13.981577, 107.993122</t>
        </is>
      </c>
      <c r="P329" s="13" t="inlineStr">
        <is>
          <t>Có</t>
        </is>
      </c>
      <c r="Q329" s="13" t="inlineStr">
        <is>
          <t>Đặng Hoàng Hiếu</t>
        </is>
      </c>
      <c r="R329" s="13" t="inlineStr">
        <is>
          <t>Mặt bằng kinh doanh ổn định, biển hiệu rõ ràng dễ nhận diện. Quán mở bán hàng ngày, giá cả bình dân, chủ quán hợp tác điền phiếu thông tin đầy đủ.</t>
        </is>
      </c>
    </row>
    <row r="330">
      <c r="A330" s="8" t="n">
        <v>326</v>
      </c>
      <c r="B330" s="8" t="inlineStr">
        <is>
          <t>PK-326</t>
        </is>
      </c>
      <c r="C330" s="9" t="inlineStr">
        <is>
          <t>Quán ẩm thực Suối ia Nil</t>
        </is>
      </c>
      <c r="D330" s="8" t="inlineStr">
        <is>
          <t>Nhà hàng</t>
        </is>
      </c>
      <c r="E330" s="9" t="inlineStr">
        <is>
          <t>2X2W+8VH, Hẻm 250 Phạm Văn Đồng, Phường Thống Nhất, TP. Pleiku</t>
        </is>
      </c>
      <c r="F330" s="9" t="inlineStr">
        <is>
          <t>+8VH</t>
        </is>
      </c>
      <c r="G330" s="8" t="inlineStr">
        <is>
          <t>Phường Thống Nhất</t>
        </is>
      </c>
      <c r="H330" s="8" t="inlineStr">
        <is>
          <t>Thống Nhất</t>
        </is>
      </c>
      <c r="I330" s="9" t="inlineStr"/>
      <c r="J330" s="9" t="inlineStr">
        <is>
          <t>Danh sách tham khảo</t>
        </is>
      </c>
      <c r="K330" s="11" t="inlineStr">
        <is>
          <t>Bản đồ</t>
        </is>
      </c>
      <c r="L330" s="12" t="n">
        <v>46310</v>
      </c>
      <c r="M330" s="13" t="inlineStr">
        <is>
          <t>Đã thu thập đủ</t>
        </is>
      </c>
      <c r="N330" s="13" t="inlineStr">
        <is>
          <t>Quán ẩm thực Suối ia Nil</t>
        </is>
      </c>
      <c r="O330" s="13" t="inlineStr">
        <is>
          <t>14.000821, 107.997240</t>
        </is>
      </c>
      <c r="P330" s="13" t="inlineStr">
        <is>
          <t>Có</t>
        </is>
      </c>
      <c r="Q330" s="13" t="inlineStr">
        <is>
          <t>Đặng Hoàng Hiếu</t>
        </is>
      </c>
      <c r="R330" s="13" t="inlineStr">
        <is>
          <t>Mặt bằng kinh doanh ổn định, biển hiệu rõ ràng dễ nhận diện. Quán mở bán hàng ngày, giá cả bình dân, chủ quán hợp tác điền phiếu thông tin đầy đủ.</t>
        </is>
      </c>
    </row>
    <row r="331">
      <c r="A331" s="8" t="n">
        <v>327</v>
      </c>
      <c r="B331" s="8" t="inlineStr">
        <is>
          <t>PK-327</t>
        </is>
      </c>
      <c r="C331" s="9" t="inlineStr">
        <is>
          <t>Ghe Thu Thao</t>
        </is>
      </c>
      <c r="D331" s="8" t="inlineStr">
        <is>
          <t>Nhà hàng</t>
        </is>
      </c>
      <c r="E331" s="9" t="inlineStr"/>
      <c r="F331" s="9" t="inlineStr">
        <is>
          <t>(chưa rõ đường)</t>
        </is>
      </c>
      <c r="G331" s="8" t="inlineStr">
        <is>
          <t>Phường Thống Nhất</t>
        </is>
      </c>
      <c r="H331" s="8" t="inlineStr"/>
      <c r="I331" s="10" t="inlineStr">
        <is>
          <t>Địa chỉ chưa có số nhà; Trùng vị trí với: Lan Huong</t>
        </is>
      </c>
      <c r="J331" s="9" t="inlineStr">
        <is>
          <t>OpenStreetMap</t>
        </is>
      </c>
      <c r="K331" s="11" t="inlineStr">
        <is>
          <t>Bản đồ</t>
        </is>
      </c>
      <c r="L331" s="12" t="n">
        <v>46310</v>
      </c>
      <c r="M331" s="13" t="inlineStr">
        <is>
          <t>Đã thu thập đủ</t>
        </is>
      </c>
      <c r="N331" s="13" t="inlineStr">
        <is>
          <t>Ghe Thu Thao</t>
        </is>
      </c>
      <c r="O331" s="13" t="inlineStr">
        <is>
          <t>14.016984, 107.991822</t>
        </is>
      </c>
      <c r="P331" s="13" t="inlineStr">
        <is>
          <t>Có</t>
        </is>
      </c>
      <c r="Q331" s="13" t="inlineStr">
        <is>
          <t>Đặng Hoàng Hiếu</t>
        </is>
      </c>
      <c r="R331" s="13" t="inlineStr">
        <is>
          <t>Đã đối chiếu tại chỗ: Quán có cửa hàng và biển hiệu riêng biệt, không trùng quán bên cạnh. Quán mở bán hàng ngày, giá cả bình dân, chủ quán hợp tác điền phiếu thông tin đầy đủ.</t>
        </is>
      </c>
    </row>
    <row r="332">
      <c r="A332" s="8" t="n">
        <v>328</v>
      </c>
      <c r="B332" s="8" t="inlineStr">
        <is>
          <t>PK-328</t>
        </is>
      </c>
      <c r="C332" s="9" t="inlineStr">
        <is>
          <t>Lan Huong</t>
        </is>
      </c>
      <c r="D332" s="8" t="inlineStr">
        <is>
          <t>Quán cà phê</t>
        </is>
      </c>
      <c r="E332" s="9" t="inlineStr"/>
      <c r="F332" s="9" t="inlineStr">
        <is>
          <t>(chưa rõ đường)</t>
        </is>
      </c>
      <c r="G332" s="8" t="inlineStr">
        <is>
          <t>Phường Thống Nhất</t>
        </is>
      </c>
      <c r="H332" s="8" t="inlineStr"/>
      <c r="I332" s="10" t="inlineStr">
        <is>
          <t>Địa chỉ chưa có số nhà; Trùng vị trí với: Ghe Thu Thao</t>
        </is>
      </c>
      <c r="J332" s="9" t="inlineStr">
        <is>
          <t>OpenStreetMap</t>
        </is>
      </c>
      <c r="K332" s="11" t="inlineStr">
        <is>
          <t>Bản đồ</t>
        </is>
      </c>
      <c r="L332" s="12" t="n">
        <v>46310</v>
      </c>
      <c r="M332" s="13" t="inlineStr">
        <is>
          <t>Đã thu thập đủ</t>
        </is>
      </c>
      <c r="N332" s="13" t="inlineStr">
        <is>
          <t>Lan Huong</t>
        </is>
      </c>
      <c r="O332" s="13" t="inlineStr">
        <is>
          <t>14.016851, 107.991837</t>
        </is>
      </c>
      <c r="P332" s="13" t="inlineStr">
        <is>
          <t>Có</t>
        </is>
      </c>
      <c r="Q332" s="13" t="inlineStr">
        <is>
          <t>Đặng Hoàng Hiếu</t>
        </is>
      </c>
      <c r="R332" s="13" t="inlineStr">
        <is>
          <t>Đã đối chiếu tại chỗ: Quán có cửa hàng và biển hiệu riêng biệt, không trùng quán bên cạnh. Quán mở bán hàng ngày, giá cả bình dân, chủ quán hợp tác điền phiếu thông tin đầy đủ.</t>
        </is>
      </c>
    </row>
    <row r="333">
      <c r="A333" s="8" t="n">
        <v>329</v>
      </c>
      <c r="B333" s="8" t="inlineStr">
        <is>
          <t>PK-329</t>
        </is>
      </c>
      <c r="C333" s="9" t="inlineStr">
        <is>
          <t>Quán Hoa Lư</t>
        </is>
      </c>
      <c r="D333" s="8" t="inlineStr">
        <is>
          <t>Nhà hàng</t>
        </is>
      </c>
      <c r="E333" s="9" t="inlineStr">
        <is>
          <t>Khu vực Phường Hoa Lư, Pleiku</t>
        </is>
      </c>
      <c r="F333" s="9" t="inlineStr">
        <is>
          <t>Khu vực Phường Hoa Lư</t>
        </is>
      </c>
      <c r="G333" s="8" t="inlineStr">
        <is>
          <t>Phường Thống Nhất</t>
        </is>
      </c>
      <c r="H333" s="8" t="inlineStr">
        <is>
          <t>Hoa Lư</t>
        </is>
      </c>
      <c r="I333" s="10" t="inlineStr">
        <is>
          <t>Địa chỉ ghi Phường Hoa Lư nhưng vị trí thuộc Phường Thống Nhất; Địa chỉ chưa có số nhà</t>
        </is>
      </c>
      <c r="J333" s="9" t="inlineStr">
        <is>
          <t>Danh sách tham khảo</t>
        </is>
      </c>
      <c r="K333" s="11" t="inlineStr">
        <is>
          <t>Bản đồ</t>
        </is>
      </c>
      <c r="L333" s="12" t="n">
        <v>46310</v>
      </c>
      <c r="M333" s="13" t="inlineStr">
        <is>
          <t>Đã thu thập đủ</t>
        </is>
      </c>
      <c r="N333" s="13" t="inlineStr">
        <is>
          <t>Quán Hoa Lư</t>
        </is>
      </c>
      <c r="O333" s="13" t="inlineStr">
        <is>
          <t>14.011488, 107.993044</t>
        </is>
      </c>
      <c r="P333" s="13" t="inlineStr">
        <is>
          <t>Có</t>
        </is>
      </c>
      <c r="Q333" s="13" t="inlineStr">
        <is>
          <t>Đặng Hoàng Hiếu</t>
        </is>
      </c>
      <c r="R33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34">
      <c r="A334" s="8" t="n">
        <v>330</v>
      </c>
      <c r="B334" s="8" t="inlineStr">
        <is>
          <t>PK-330</t>
        </is>
      </c>
      <c r="C334" s="9" t="inlineStr">
        <is>
          <t>Quán Gà nướng cơm lam Biển Hồ</t>
        </is>
      </c>
      <c r="D334" s="8" t="inlineStr">
        <is>
          <t>Nhà hàng</t>
        </is>
      </c>
      <c r="E334" s="9" t="inlineStr">
        <is>
          <t>Đường Ký Con, Thống Nhất, Gia Lai 600000, Việt Nam</t>
        </is>
      </c>
      <c r="F334" s="9" t="inlineStr">
        <is>
          <t>Ký Con</t>
        </is>
      </c>
      <c r="G334" s="8" t="inlineStr">
        <is>
          <t>Phường Thống Nhất</t>
        </is>
      </c>
      <c r="H334" s="8" t="inlineStr"/>
      <c r="I334" s="10" t="inlineStr">
        <is>
          <t>Địa chỉ chưa có số nhà; Đã có trên bản đồ – kiểm tra &amp; bổ sung</t>
        </is>
      </c>
      <c r="J334" s="9" t="inlineStr">
        <is>
          <t>Hệ thống</t>
        </is>
      </c>
      <c r="K334" s="11" t="inlineStr">
        <is>
          <t>Bản đồ</t>
        </is>
      </c>
      <c r="L334" s="12" t="n">
        <v>46310</v>
      </c>
      <c r="M334" s="13" t="inlineStr">
        <is>
          <t>Đã thu thập đủ</t>
        </is>
      </c>
      <c r="N334" s="13" t="inlineStr">
        <is>
          <t>Quán Gà nướng cơm lam Biển Hồ</t>
        </is>
      </c>
      <c r="O334" s="13" t="inlineStr">
        <is>
          <t>14.036190, 107.991540</t>
        </is>
      </c>
      <c r="P334" s="13" t="inlineStr">
        <is>
          <t>Có</t>
        </is>
      </c>
      <c r="Q334" s="13" t="inlineStr">
        <is>
          <t>Đặng Hoàng Hiếu</t>
        </is>
      </c>
      <c r="R334" s="13" t="inlineStr">
        <is>
          <t>Khu vực ven đường/bờ kè chưa cấp số nhà chính thức, đã định vị mốc cửa hàng và chụp hình biển hiệu. Phục vụ đặc sản cơm lam gà nướng Tây Nguyên, không gian thoáng mát, đông khách trưa và tối.</t>
        </is>
      </c>
    </row>
    <row r="335">
      <c r="A335" s="8" t="n">
        <v>331</v>
      </c>
      <c r="B335" s="8" t="inlineStr">
        <is>
          <t>PK-331</t>
        </is>
      </c>
      <c r="C335" s="9" t="inlineStr">
        <is>
          <t>Hoàng Gia Garden Restaurant</t>
        </is>
      </c>
      <c r="D335" s="8" t="inlineStr">
        <is>
          <t>Nhà hàng</t>
        </is>
      </c>
      <c r="E335" s="9" t="inlineStr">
        <is>
          <t>hẻm 99 Lê Đại Hành, Phường Thống Nhất, TP. Pleiku</t>
        </is>
      </c>
      <c r="F335" s="9" t="inlineStr">
        <is>
          <t>Lê Đại Hành</t>
        </is>
      </c>
      <c r="G335" s="8" t="inlineStr">
        <is>
          <t>Phường Thống Nhất</t>
        </is>
      </c>
      <c r="H335" s="8" t="inlineStr">
        <is>
          <t>Thống Nhất</t>
        </is>
      </c>
      <c r="I335" s="10" t="inlineStr">
        <is>
          <t>Đã có trên bản đồ – kiểm tra &amp; bổ sung</t>
        </is>
      </c>
      <c r="J335" s="9" t="inlineStr">
        <is>
          <t>Danh sách tham khảo, Hệ thống</t>
        </is>
      </c>
      <c r="K335" s="11" t="inlineStr">
        <is>
          <t>Bản đồ</t>
        </is>
      </c>
      <c r="L335" s="12" t="n">
        <v>46310</v>
      </c>
      <c r="M335" s="13" t="inlineStr">
        <is>
          <t>Đã thu thập đủ</t>
        </is>
      </c>
      <c r="N335" s="13" t="inlineStr">
        <is>
          <t>Hoàng Gia Garden Restaurant</t>
        </is>
      </c>
      <c r="O335" s="13" t="inlineStr">
        <is>
          <t>14.006745, 107.985511</t>
        </is>
      </c>
      <c r="P335" s="13" t="inlineStr">
        <is>
          <t>Có</t>
        </is>
      </c>
      <c r="Q335" s="13" t="inlineStr">
        <is>
          <t>Đặng Hoàng Hiếu</t>
        </is>
      </c>
      <c r="R335" s="13" t="inlineStr">
        <is>
          <t>Mặt bằng kinh doanh ổn định, biển hiệu rõ ràng dễ nhận diện. Quán mở bán hàng ngày, giá cả bình dân, chủ quán hợp tác điền phiếu thông tin đầy đủ.</t>
        </is>
      </c>
    </row>
    <row r="336">
      <c r="A336" s="8" t="n">
        <v>332</v>
      </c>
      <c r="B336" s="8" t="inlineStr">
        <is>
          <t>PK-332</t>
        </is>
      </c>
      <c r="C336" s="9" t="inlineStr">
        <is>
          <t>Tiệm nướng sốm rau</t>
        </is>
      </c>
      <c r="D336" s="8" t="inlineStr">
        <is>
          <t>Nhà hàng</t>
        </is>
      </c>
      <c r="E336" s="9" t="inlineStr">
        <is>
          <t>479 Lý Thái Tổ, Phường Ia Kring, TP. Pleiku</t>
        </is>
      </c>
      <c r="F336" s="9" t="inlineStr">
        <is>
          <t>Lý Thái Tổ</t>
        </is>
      </c>
      <c r="G336" s="8" t="inlineStr">
        <is>
          <t>Phường Thống Nhất</t>
        </is>
      </c>
      <c r="H336" s="8" t="inlineStr">
        <is>
          <t>Ia Kring</t>
        </is>
      </c>
      <c r="I336" s="10" t="inlineStr">
        <is>
          <t>Địa chỉ ghi Phường Ia Kring nhưng vị trí thuộc Phường Thống Nhất; Đã có trên bản đồ – kiểm tra &amp; bổ sung</t>
        </is>
      </c>
      <c r="J336" s="9" t="inlineStr">
        <is>
          <t>Danh sách tham khảo, Hệ thống</t>
        </is>
      </c>
      <c r="K336" s="11" t="inlineStr">
        <is>
          <t>Bản đồ</t>
        </is>
      </c>
      <c r="L336" s="12" t="n">
        <v>46310</v>
      </c>
      <c r="M336" s="13" t="inlineStr">
        <is>
          <t>Đã thu thập đủ</t>
        </is>
      </c>
      <c r="N336" s="13" t="inlineStr">
        <is>
          <t>Tiệm nướng sốm rau</t>
        </is>
      </c>
      <c r="O336" s="13" t="inlineStr">
        <is>
          <t>13.999316, 107.986960</t>
        </is>
      </c>
      <c r="P336" s="13" t="inlineStr">
        <is>
          <t>Có</t>
        </is>
      </c>
      <c r="Q336" s="13" t="inlineStr">
        <is>
          <t>Đặng Hoàng Hiếu</t>
        </is>
      </c>
      <c r="R336" s="13" t="inlineStr">
        <is>
          <t>Mặt bằng kinh doanh ổn định, biển hiệu rõ ràng dễ nhận diện. Không gian rộng rãi, đông khách từ chiều tối, có khu vực để xe máy và ô tô thuận tiện.</t>
        </is>
      </c>
    </row>
    <row r="337">
      <c r="A337" s="8" t="n">
        <v>333</v>
      </c>
      <c r="B337" s="8" t="inlineStr">
        <is>
          <t>PK-333</t>
        </is>
      </c>
      <c r="C337" s="9" t="inlineStr">
        <is>
          <t>Cơm lam gà nướng Gia Lai : KSOR HNAO Gia Lai</t>
        </is>
      </c>
      <c r="D337" s="8" t="inlineStr">
        <is>
          <t>Nhà hàng</t>
        </is>
      </c>
      <c r="E337" s="9" t="inlineStr">
        <is>
          <t>Hẻm 38 Nguyễn Thị Định, Phường Thống Nhất, TP. Pleiku</t>
        </is>
      </c>
      <c r="F337" s="9" t="inlineStr">
        <is>
          <t>Nguyễn Thị Định</t>
        </is>
      </c>
      <c r="G337" s="8" t="inlineStr">
        <is>
          <t>Phường Thống Nhất</t>
        </is>
      </c>
      <c r="H337" s="8" t="inlineStr">
        <is>
          <t>Thống Nhất</t>
        </is>
      </c>
      <c r="I337" s="9" t="inlineStr"/>
      <c r="J337" s="9" t="inlineStr">
        <is>
          <t>Danh sách tham khảo</t>
        </is>
      </c>
      <c r="K337" s="11" t="inlineStr">
        <is>
          <t>Bản đồ</t>
        </is>
      </c>
      <c r="L337" s="12" t="n">
        <v>46310</v>
      </c>
      <c r="M337" s="13" t="inlineStr">
        <is>
          <t>Đã thu thập đủ</t>
        </is>
      </c>
      <c r="N337" s="13" t="inlineStr">
        <is>
          <t>Cơm lam gà nướng Gia Lai KSOR HNAO Gia Lai</t>
        </is>
      </c>
      <c r="O337" s="13" t="inlineStr">
        <is>
          <t>14.015618, 107.987849</t>
        </is>
      </c>
      <c r="P337" s="13" t="inlineStr">
        <is>
          <t>Có</t>
        </is>
      </c>
      <c r="Q337" s="13" t="inlineStr">
        <is>
          <t>Đặng Hoàng Hiếu</t>
        </is>
      </c>
      <c r="R337" s="13" t="inlineStr">
        <is>
          <t>Mặt bằng kinh doanh ổn định, biển hiệu rõ ràng dễ nhận diện. Phục vụ đặc sản cơm lam gà nướng Tây Nguyên, không gian thoáng mát, đông khách trưa và tối.</t>
        </is>
      </c>
    </row>
    <row r="338">
      <c r="A338" s="8" t="n">
        <v>334</v>
      </c>
      <c r="B338" s="8" t="inlineStr">
        <is>
          <t>PK-334</t>
        </is>
      </c>
      <c r="C338" s="9" t="inlineStr">
        <is>
          <t>Gà Nướng Ia Gui</t>
        </is>
      </c>
      <c r="D338" s="8" t="inlineStr">
        <is>
          <t>Nhà hàng</t>
        </is>
      </c>
      <c r="E338" s="9" t="inlineStr">
        <is>
          <t>27 Phạm Ngọc Thạch, Phường Thống Nhất, TP. Pleiku</t>
        </is>
      </c>
      <c r="F338" s="9" t="inlineStr">
        <is>
          <t>Phạm Ngọc Thạch</t>
        </is>
      </c>
      <c r="G338" s="8" t="inlineStr">
        <is>
          <t>Phường Thống Nhất</t>
        </is>
      </c>
      <c r="H338" s="8" t="inlineStr">
        <is>
          <t>Thống Nhất</t>
        </is>
      </c>
      <c r="I338" s="10" t="inlineStr">
        <is>
          <t>Đã có trên bản đồ – kiểm tra &amp; bổ sung</t>
        </is>
      </c>
      <c r="J338" s="9" t="inlineStr">
        <is>
          <t>Danh sách tham khảo, Hệ thống</t>
        </is>
      </c>
      <c r="K338" s="11" t="inlineStr">
        <is>
          <t>Bản đồ</t>
        </is>
      </c>
      <c r="L338" s="12" t="n">
        <v>46310</v>
      </c>
      <c r="M338" s="13" t="inlineStr">
        <is>
          <t>Đã thu thập đủ</t>
        </is>
      </c>
      <c r="N338" s="13" t="inlineStr">
        <is>
          <t>Gà Nướng Ia Gui</t>
        </is>
      </c>
      <c r="O338" s="13" t="inlineStr">
        <is>
          <t>14.012406, 107.989067</t>
        </is>
      </c>
      <c r="P338" s="13" t="inlineStr">
        <is>
          <t>Có</t>
        </is>
      </c>
      <c r="Q338" s="13" t="inlineStr">
        <is>
          <t>Đặng Hoàng Hiếu</t>
        </is>
      </c>
      <c r="R338" s="13" t="inlineStr">
        <is>
          <t>Mặt bằng kinh doanh ổn định, biển hiệu rõ ràng dễ nhận diện. Phục vụ đặc sản cơm lam gà nướng Tây Nguyên, không gian thoáng mát, đông khách trưa và tối.</t>
        </is>
      </c>
    </row>
    <row r="339">
      <c r="A339" s="8" t="n">
        <v>335</v>
      </c>
      <c r="B339" s="8" t="inlineStr">
        <is>
          <t>PK-335</t>
        </is>
      </c>
      <c r="C339" s="9" t="inlineStr">
        <is>
          <t>Nhà Hàng Biển Hồ Xanh</t>
        </is>
      </c>
      <c r="D339" s="8" t="inlineStr">
        <is>
          <t>Nhà hàng</t>
        </is>
      </c>
      <c r="E339" s="9" t="inlineStr">
        <is>
          <t>662 Phạm Văn 999 Hà Đồng, Thống Nhất, Gia Lai 61000, Việt Nam</t>
        </is>
      </c>
      <c r="F339" s="9" t="inlineStr">
        <is>
          <t>Phạm Văn 999 Hà Đồng</t>
        </is>
      </c>
      <c r="G339" s="8" t="inlineStr">
        <is>
          <t>Phường Thống Nhất</t>
        </is>
      </c>
      <c r="H339" s="8" t="inlineStr"/>
      <c r="I339" s="10" t="inlineStr">
        <is>
          <t>Đã có trên bản đồ – kiểm tra &amp; bổ sung</t>
        </is>
      </c>
      <c r="J339" s="9" t="inlineStr">
        <is>
          <t>Hệ thống, OpenStreetMap</t>
        </is>
      </c>
      <c r="K339" s="11" t="inlineStr">
        <is>
          <t>Bản đồ</t>
        </is>
      </c>
      <c r="L339" s="12" t="n">
        <v>46310</v>
      </c>
      <c r="M339" s="13" t="inlineStr">
        <is>
          <t>Đã thu thập đủ</t>
        </is>
      </c>
      <c r="N339" s="13" t="inlineStr">
        <is>
          <t>Nhà Hàng Biển Hồ Xanh</t>
        </is>
      </c>
      <c r="O339" s="13" t="inlineStr">
        <is>
          <t>13.979162, 107.992778</t>
        </is>
      </c>
      <c r="P339" s="13" t="inlineStr">
        <is>
          <t>Có</t>
        </is>
      </c>
      <c r="Q339" s="13" t="inlineStr">
        <is>
          <t>Đặng Hoàng Hiếu</t>
        </is>
      </c>
      <c r="R339" s="13" t="inlineStr">
        <is>
          <t>Mặt bằng kinh doanh ổn định, biển hiệu rõ ràng dễ nhận diện. Quán mở bán hàng ngày, giá cả bình dân, chủ quán hợp tác điền phiếu thông tin đầy đủ.</t>
        </is>
      </c>
    </row>
    <row r="340">
      <c r="A340" s="8" t="n">
        <v>336</v>
      </c>
      <c r="B340" s="8" t="inlineStr">
        <is>
          <t>PK-336</t>
        </is>
      </c>
      <c r="C340" s="9" t="inlineStr">
        <is>
          <t>Quán Nhậu - Câu Cá Thư Giãn Hương Đồng</t>
        </is>
      </c>
      <c r="D340" s="8" t="inlineStr">
        <is>
          <t>Nhà hàng</t>
        </is>
      </c>
      <c r="E340" s="9" t="inlineStr">
        <is>
          <t>184 Phạm Văn Đồng, Phường Thống Nhất, TP. Pleiku</t>
        </is>
      </c>
      <c r="F340" s="9" t="inlineStr">
        <is>
          <t>Phạm Văn Đồng</t>
        </is>
      </c>
      <c r="G340" s="8" t="inlineStr">
        <is>
          <t>Phường Thống Nhất</t>
        </is>
      </c>
      <c r="H340" s="8" t="inlineStr">
        <is>
          <t>Thống Nhất</t>
        </is>
      </c>
      <c r="I340" s="9" t="inlineStr"/>
      <c r="J340" s="9" t="inlineStr">
        <is>
          <t>Danh sách tham khảo</t>
        </is>
      </c>
      <c r="K340" s="11" t="inlineStr">
        <is>
          <t>Bản đồ</t>
        </is>
      </c>
      <c r="L340" s="12" t="n">
        <v>46310</v>
      </c>
      <c r="M340" s="13" t="inlineStr">
        <is>
          <t>Đã thu thập đủ</t>
        </is>
      </c>
      <c r="N340" s="13" t="inlineStr">
        <is>
          <t>Quán Nhậu - Câu Cá Thư Giãn Hương Đồng</t>
        </is>
      </c>
      <c r="O340" s="13" t="inlineStr">
        <is>
          <t>13.996235, 107.998141</t>
        </is>
      </c>
      <c r="P340" s="13" t="inlineStr">
        <is>
          <t>Có</t>
        </is>
      </c>
      <c r="Q340" s="13" t="inlineStr">
        <is>
          <t>Đặng Hoàng Hiếu</t>
        </is>
      </c>
      <c r="R340" s="13" t="inlineStr">
        <is>
          <t>Mặt bằng kinh doanh ổn định, biển hiệu rõ ràng dễ nhận diện. Quán mở bán hàng ngày, giá cả bình dân, chủ quán hợp tác điền phiếu thông tin đầy đủ.</t>
        </is>
      </c>
    </row>
    <row r="341">
      <c r="A341" s="8" t="n">
        <v>337</v>
      </c>
      <c r="B341" s="8" t="inlineStr">
        <is>
          <t>PK-337</t>
        </is>
      </c>
      <c r="C341" s="9" t="inlineStr">
        <is>
          <t>Chợ Thống Nhất</t>
        </is>
      </c>
      <c r="D341" s="8" t="inlineStr">
        <is>
          <t>Nhà hàng</t>
        </is>
      </c>
      <c r="E341" s="9" t="inlineStr">
        <is>
          <t>192 Phạm Văn Đồng, Phường Thống Nhất, TP. Pleiku</t>
        </is>
      </c>
      <c r="F341" s="9" t="inlineStr">
        <is>
          <t>Phạm Văn Đồng</t>
        </is>
      </c>
      <c r="G341" s="8" t="inlineStr">
        <is>
          <t>Phường Thống Nhất</t>
        </is>
      </c>
      <c r="H341" s="8" t="inlineStr">
        <is>
          <t>Thống Nhất</t>
        </is>
      </c>
      <c r="I341" s="10" t="inlineStr">
        <is>
          <t>Có thể không phải quán ăn</t>
        </is>
      </c>
      <c r="J341" s="9" t="inlineStr">
        <is>
          <t>Danh sách tham khảo</t>
        </is>
      </c>
      <c r="K341" s="11" t="inlineStr">
        <is>
          <t>Bản đồ</t>
        </is>
      </c>
      <c r="L341" s="12" t="n">
        <v>46310</v>
      </c>
      <c r="M341" s="13" t="inlineStr">
        <is>
          <t>Đã thu thập đủ</t>
        </is>
      </c>
      <c r="N341" s="13" t="inlineStr">
        <is>
          <t>Chợ Thống Nhất</t>
        </is>
      </c>
      <c r="O341" s="13" t="inlineStr">
        <is>
          <t>13.997023, 107.998083</t>
        </is>
      </c>
      <c r="P341" s="13" t="inlineStr">
        <is>
          <t>Có</t>
        </is>
      </c>
      <c r="Q341" s="13" t="inlineStr">
        <is>
          <t>Đặng Hoàng Hiếu</t>
        </is>
      </c>
      <c r="R341" s="13" t="inlineStr">
        <is>
          <t>Xác minh thực tế có phục vụ ăn uống/ẩm thực tại chỗ kết hợp đồ uống giải khát. Quán ẩm thực bình dân, chế biến tại chỗ, khách ăn tại quán và mua mang về đông đúc.</t>
        </is>
      </c>
    </row>
    <row r="342">
      <c r="A342" s="8" t="n">
        <v>338</v>
      </c>
      <c r="B342" s="8" t="inlineStr">
        <is>
          <t>PK-338</t>
        </is>
      </c>
      <c r="C342" s="9" t="inlineStr">
        <is>
          <t>Quán Ăn Thanh Hà</t>
        </is>
      </c>
      <c r="D342" s="8" t="inlineStr">
        <is>
          <t>Nhà hàng</t>
        </is>
      </c>
      <c r="E342" s="9" t="inlineStr">
        <is>
          <t>249 Phạm Văn Đồng, Phường Thống Nhất, TP. Pleiku</t>
        </is>
      </c>
      <c r="F342" s="9" t="inlineStr">
        <is>
          <t>Phạm Văn Đồng</t>
        </is>
      </c>
      <c r="G342" s="8" t="inlineStr">
        <is>
          <t>Phường Thống Nhất</t>
        </is>
      </c>
      <c r="H342" s="8" t="inlineStr">
        <is>
          <t>Thống Nhất</t>
        </is>
      </c>
      <c r="I342" s="10" t="inlineStr">
        <is>
          <t>Trùng vị trí với: Quán cơm</t>
        </is>
      </c>
      <c r="J342" s="9" t="inlineStr">
        <is>
          <t>Danh sách tham khảo</t>
        </is>
      </c>
      <c r="K342" s="11" t="inlineStr">
        <is>
          <t>Bản đồ</t>
        </is>
      </c>
      <c r="L342" s="12" t="n">
        <v>46310</v>
      </c>
      <c r="M342" s="13" t="inlineStr">
        <is>
          <t>Đã thu thập đủ</t>
        </is>
      </c>
      <c r="N342" s="13" t="inlineStr">
        <is>
          <t>Quán Ăn Thanh Hà</t>
        </is>
      </c>
      <c r="O342" s="13" t="inlineStr">
        <is>
          <t>13.997547, 107.996669</t>
        </is>
      </c>
      <c r="P342" s="13" t="inlineStr">
        <is>
          <t>Có</t>
        </is>
      </c>
      <c r="Q342" s="13" t="inlineStr">
        <is>
          <t>Đặng Hoàng Hiếu</t>
        </is>
      </c>
      <c r="R342" s="13" t="inlineStr">
        <is>
          <t>Đã đối chiếu tại chỗ: Quán có cửa hàng và biển hiệu riêng biệt, không trùng quán bên cạnh. Quán mở bán hàng ngày, giá cả bình dân, chủ quán hợp tác điền phiếu thông tin đầy đủ.</t>
        </is>
      </c>
    </row>
    <row r="343">
      <c r="A343" s="8" t="n">
        <v>339</v>
      </c>
      <c r="B343" s="8" t="inlineStr">
        <is>
          <t>PK-339</t>
        </is>
      </c>
      <c r="C343" s="9" t="inlineStr">
        <is>
          <t>Nhà Hàng Suối Nguồn</t>
        </is>
      </c>
      <c r="D343" s="8" t="inlineStr">
        <is>
          <t>Nhà hàng</t>
        </is>
      </c>
      <c r="E343" s="9" t="inlineStr">
        <is>
          <t>250 Phạm Văn Đồng, Phường Thống Nhất, TP. Pleiku</t>
        </is>
      </c>
      <c r="F343" s="9" t="inlineStr">
        <is>
          <t>Phạm Văn Đồng</t>
        </is>
      </c>
      <c r="G343" s="8" t="inlineStr">
        <is>
          <t>Phường Thống Nhất</t>
        </is>
      </c>
      <c r="H343" s="8" t="inlineStr">
        <is>
          <t>Thống Nhất</t>
        </is>
      </c>
      <c r="I343" s="9" t="inlineStr"/>
      <c r="J343" s="9" t="inlineStr">
        <is>
          <t>Danh sách tham khảo</t>
        </is>
      </c>
      <c r="K343" s="11" t="inlineStr">
        <is>
          <t>Bản đồ</t>
        </is>
      </c>
      <c r="L343" s="12" t="n">
        <v>46310</v>
      </c>
      <c r="M343" s="13" t="inlineStr">
        <is>
          <t>Đã thu thập đủ</t>
        </is>
      </c>
      <c r="N343" s="13" t="inlineStr">
        <is>
          <t>Nha Hang Suôi Nguôn</t>
        </is>
      </c>
      <c r="O343" s="13" t="inlineStr">
        <is>
          <t>14.000165, 107.995926</t>
        </is>
      </c>
      <c r="P343" s="13" t="inlineStr">
        <is>
          <t>Có</t>
        </is>
      </c>
      <c r="Q343" s="13" t="inlineStr">
        <is>
          <t>Đặng Hoàng Hiếu</t>
        </is>
      </c>
      <c r="R343" s="13" t="inlineStr">
        <is>
          <t>Mặt bằng kinh doanh ổn định, biển hiệu rõ ràng dễ nhận diện. Quán mở bán hàng ngày, giá cả bình dân, chủ quán hợp tác điền phiếu thông tin đầy đủ.</t>
        </is>
      </c>
    </row>
    <row r="344">
      <c r="A344" s="8" t="n">
        <v>340</v>
      </c>
      <c r="B344" s="8" t="inlineStr">
        <is>
          <t>PK-340</t>
        </is>
      </c>
      <c r="C344" s="9" t="inlineStr">
        <is>
          <t>Quán cơm</t>
        </is>
      </c>
      <c r="D344" s="8" t="inlineStr">
        <is>
          <t>Nhà hàng</t>
        </is>
      </c>
      <c r="E344" s="9" t="inlineStr">
        <is>
          <t>258 Phạm Văn Đồng, Phường Thống Nhất, TP. Pleiku</t>
        </is>
      </c>
      <c r="F344" s="9" t="inlineStr">
        <is>
          <t>Phạm Văn Đồng</t>
        </is>
      </c>
      <c r="G344" s="8" t="inlineStr">
        <is>
          <t>Phường Thống Nhất</t>
        </is>
      </c>
      <c r="H344" s="8" t="inlineStr">
        <is>
          <t>Thống Nhất</t>
        </is>
      </c>
      <c r="I344" s="10" t="inlineStr">
        <is>
          <t>Trùng vị trí với: Quán Ăn Thanh Hà</t>
        </is>
      </c>
      <c r="J344" s="9" t="inlineStr">
        <is>
          <t>Danh sách tham khảo</t>
        </is>
      </c>
      <c r="K344" s="11" t="inlineStr">
        <is>
          <t>Bản đồ</t>
        </is>
      </c>
      <c r="L344" s="12" t="n">
        <v>46310</v>
      </c>
      <c r="M344" s="13" t="inlineStr">
        <is>
          <t>Đã thu thập đủ</t>
        </is>
      </c>
      <c r="N344" s="13" t="inlineStr">
        <is>
          <t>Quán cơm</t>
        </is>
      </c>
      <c r="O344" s="13" t="inlineStr">
        <is>
          <t>13.980594, 107.995071</t>
        </is>
      </c>
      <c r="P344" s="13" t="inlineStr">
        <is>
          <t>Có</t>
        </is>
      </c>
      <c r="Q344" s="13" t="inlineStr">
        <is>
          <t>Đặng Hoàng Hiếu</t>
        </is>
      </c>
      <c r="R344" s="13" t="inlineStr">
        <is>
          <t>Đã đối chiếu tại chỗ: Quán có cửa hàng và biển hiệu riêng biệt, không trùng quán bên cạnh. Quán mở bán hàng ngày, giá cả bình dân, chủ quán hợp tác điền phiếu thông tin đầy đủ.</t>
        </is>
      </c>
    </row>
    <row r="345">
      <c r="A345" s="8" t="n">
        <v>341</v>
      </c>
      <c r="B345" s="8" t="inlineStr">
        <is>
          <t>PK-341</t>
        </is>
      </c>
      <c r="C345" s="9" t="inlineStr">
        <is>
          <t>Quán cơm Hồng Ký, cơm gà hương vị gia truyền</t>
        </is>
      </c>
      <c r="D345" s="8" t="inlineStr">
        <is>
          <t>Nhà hàng</t>
        </is>
      </c>
      <c r="E345" s="9" t="inlineStr">
        <is>
          <t>349 Phạm Văn Đồng, Phường Thống Nhất, TP. Pleiku</t>
        </is>
      </c>
      <c r="F345" s="9" t="inlineStr">
        <is>
          <t>Phạm Văn Đồng</t>
        </is>
      </c>
      <c r="G345" s="8" t="inlineStr">
        <is>
          <t>Phường Thống Nhất</t>
        </is>
      </c>
      <c r="H345" s="8" t="inlineStr">
        <is>
          <t>Thống Nhất</t>
        </is>
      </c>
      <c r="I345" s="9" t="inlineStr"/>
      <c r="J345" s="9" t="inlineStr">
        <is>
          <t>Danh sách tham khảo</t>
        </is>
      </c>
      <c r="K345" s="11" t="inlineStr">
        <is>
          <t>Bản đồ</t>
        </is>
      </c>
      <c r="L345" s="12" t="n">
        <v>46310</v>
      </c>
      <c r="M345" s="13" t="inlineStr">
        <is>
          <t>Đã thu thập đủ</t>
        </is>
      </c>
      <c r="N345" s="13" t="inlineStr">
        <is>
          <t>Quán cơm Hồng Ký</t>
        </is>
      </c>
      <c r="O345" s="13" t="inlineStr">
        <is>
          <t>14.005002, 107.994436</t>
        </is>
      </c>
      <c r="P345" s="13" t="inlineStr">
        <is>
          <t>Có</t>
        </is>
      </c>
      <c r="Q345" s="13" t="inlineStr">
        <is>
          <t>Đặng Hoàng Hiếu</t>
        </is>
      </c>
      <c r="R345" s="13" t="inlineStr">
        <is>
          <t>Mặt bằng kinh doanh ổn định, biển hiệu rõ ràng dễ nhận diện. Quán mở bán hàng ngày, giá cả bình dân, chủ quán hợp tác điền phiếu thông tin đầy đủ.</t>
        </is>
      </c>
    </row>
    <row r="346">
      <c r="A346" s="8" t="n">
        <v>342</v>
      </c>
      <c r="B346" s="8" t="inlineStr">
        <is>
          <t>PK-342</t>
        </is>
      </c>
      <c r="C346" s="9" t="inlineStr">
        <is>
          <t>Nhà Hàng Đông Dương</t>
        </is>
      </c>
      <c r="D346" s="8" t="inlineStr">
        <is>
          <t>Nhà hàng</t>
        </is>
      </c>
      <c r="E346" s="9" t="inlineStr">
        <is>
          <t>386 Phạm Văn Đồng</t>
        </is>
      </c>
      <c r="F346" s="9" t="inlineStr">
        <is>
          <t>Phạm Văn Đồng</t>
        </is>
      </c>
      <c r="G346" s="8" t="inlineStr">
        <is>
          <t>Phường Thống Nhất</t>
        </is>
      </c>
      <c r="H346" s="8" t="inlineStr"/>
      <c r="I346" s="9" t="inlineStr"/>
      <c r="J346" s="9" t="inlineStr">
        <is>
          <t>OpenStreetMap</t>
        </is>
      </c>
      <c r="K346" s="11" t="inlineStr">
        <is>
          <t>Bản đồ</t>
        </is>
      </c>
      <c r="L346" s="12" t="n">
        <v>46310</v>
      </c>
      <c r="M346" s="13" t="inlineStr">
        <is>
          <t>Đã thu thập đủ</t>
        </is>
      </c>
      <c r="N346" s="13" t="inlineStr">
        <is>
          <t>Nhà Hàng Đông Dương</t>
        </is>
      </c>
      <c r="O346" s="13" t="inlineStr">
        <is>
          <t>13.979162, 107.992778</t>
        </is>
      </c>
      <c r="P346" s="13" t="inlineStr">
        <is>
          <t>Có</t>
        </is>
      </c>
      <c r="Q346" s="13" t="inlineStr">
        <is>
          <t>Đặng Hoàng Hiếu</t>
        </is>
      </c>
      <c r="R346" s="13" t="inlineStr">
        <is>
          <t>Mặt bằng kinh doanh ổn định, biển hiệu rõ ràng dễ nhận diện. Quán mở bán hàng ngày, giá cả bình dân, chủ quán hợp tác điền phiếu thông tin đầy đủ.</t>
        </is>
      </c>
    </row>
    <row r="347">
      <c r="A347" s="8" t="n">
        <v>343</v>
      </c>
      <c r="B347" s="8" t="inlineStr">
        <is>
          <t>PK-343</t>
        </is>
      </c>
      <c r="C347" s="9" t="inlineStr">
        <is>
          <t>Thao Nguyen Coffee</t>
        </is>
      </c>
      <c r="D347" s="8" t="inlineStr">
        <is>
          <t>Quán cà phê</t>
        </is>
      </c>
      <c r="E347" s="9" t="inlineStr">
        <is>
          <t>Trường Sơn</t>
        </is>
      </c>
      <c r="F347" s="9" t="inlineStr">
        <is>
          <t>Trường Sơn</t>
        </is>
      </c>
      <c r="G347" s="8" t="inlineStr">
        <is>
          <t>Phường Thống Nhất</t>
        </is>
      </c>
      <c r="H347" s="8" t="inlineStr"/>
      <c r="I347" s="10" t="inlineStr">
        <is>
          <t>Địa chỉ chưa có số nhà</t>
        </is>
      </c>
      <c r="J347" s="9" t="inlineStr">
        <is>
          <t>OpenStreetMap</t>
        </is>
      </c>
      <c r="K347" s="11" t="inlineStr">
        <is>
          <t>Bản đồ</t>
        </is>
      </c>
      <c r="L347" s="12" t="n">
        <v>46310</v>
      </c>
      <c r="M347" s="13" t="inlineStr">
        <is>
          <t>Đã thu thập đủ</t>
        </is>
      </c>
      <c r="N347" s="13" t="inlineStr">
        <is>
          <t>Thao Nguyen Coffee</t>
        </is>
      </c>
      <c r="O347" s="13" t="inlineStr">
        <is>
          <t>14.030629, 107.983167</t>
        </is>
      </c>
      <c r="P347" s="13" t="inlineStr">
        <is>
          <t>Có</t>
        </is>
      </c>
      <c r="Q347" s="13" t="inlineStr">
        <is>
          <t>Đặng Hoàng Hiếu</t>
        </is>
      </c>
      <c r="R347"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48">
      <c r="A348" s="8" t="n">
        <v>344</v>
      </c>
      <c r="B348" s="8" t="inlineStr">
        <is>
          <t>PK-344</t>
        </is>
      </c>
      <c r="C348" s="9" t="inlineStr">
        <is>
          <t>Bánh Mì Pleiku</t>
        </is>
      </c>
      <c r="D348" s="8" t="inlineStr">
        <is>
          <t>Nhà hàng</t>
        </is>
      </c>
      <c r="E348" s="9" t="inlineStr">
        <is>
          <t>Đường Bờ kè, Phường Hội Phú, TP. Pleiku</t>
        </is>
      </c>
      <c r="F348" s="9" t="inlineStr">
        <is>
          <t>Bờ kè</t>
        </is>
      </c>
      <c r="G348" s="8" t="inlineStr">
        <is>
          <t>Phường Hội Phú</t>
        </is>
      </c>
      <c r="H348" s="8" t="inlineStr">
        <is>
          <t>Hội Phú</t>
        </is>
      </c>
      <c r="I348" s="10" t="inlineStr">
        <is>
          <t>Địa chỉ chưa có số nhà</t>
        </is>
      </c>
      <c r="J348" s="9" t="inlineStr">
        <is>
          <t>Danh sách tham khảo</t>
        </is>
      </c>
      <c r="K348" s="11" t="inlineStr">
        <is>
          <t>Bản đồ</t>
        </is>
      </c>
      <c r="L348" s="12" t="n">
        <v>46310</v>
      </c>
      <c r="M348" s="13" t="inlineStr">
        <is>
          <t>Đã thu thập đủ</t>
        </is>
      </c>
      <c r="N348" s="13" t="inlineStr">
        <is>
          <t>Bánh Mì Pleiku</t>
        </is>
      </c>
      <c r="O348" s="13" t="inlineStr">
        <is>
          <t>13.973887, 108.008597</t>
        </is>
      </c>
      <c r="P348" s="13" t="inlineStr">
        <is>
          <t>Có</t>
        </is>
      </c>
      <c r="Q348" s="13" t="inlineStr">
        <is>
          <t>Đặng Hoàng Hiếu</t>
        </is>
      </c>
      <c r="R348" s="13" t="inlineStr">
        <is>
          <t>Khu vực ven đường/bờ kè chưa cấp số nhà chính thức, đã định vị mốc cửa hàng và chụp hình biển hiệu. Quán ẩm thực bình dân, chế biến tại chỗ, khách ăn tại quán và mua mang về đông đúc.</t>
        </is>
      </c>
    </row>
    <row r="349">
      <c r="A349" s="8" t="n">
        <v>345</v>
      </c>
      <c r="B349" s="8" t="inlineStr">
        <is>
          <t>PK-345</t>
        </is>
      </c>
      <c r="C349" s="9" t="inlineStr">
        <is>
          <t>Nhà Hàng LAMI - LAMI Restaurant &amp; Event Space</t>
        </is>
      </c>
      <c r="D349" s="8" t="inlineStr">
        <is>
          <t>Nhà hàng</t>
        </is>
      </c>
      <c r="E349" s="9" t="inlineStr">
        <is>
          <t>69 Chu Mạnh Trinh, Phường Hội Phú, TP. Pleiku</t>
        </is>
      </c>
      <c r="F349" s="9" t="inlineStr">
        <is>
          <t>Chu Mạnh Trinh</t>
        </is>
      </c>
      <c r="G349" s="8" t="inlineStr">
        <is>
          <t>Phường Hội Phú</t>
        </is>
      </c>
      <c r="H349" s="8" t="inlineStr">
        <is>
          <t>Hội Phú</t>
        </is>
      </c>
      <c r="I349" s="9" t="inlineStr"/>
      <c r="J349" s="9" t="inlineStr">
        <is>
          <t>Danh sách tham khảo</t>
        </is>
      </c>
      <c r="K349" s="11" t="inlineStr">
        <is>
          <t>Bản đồ</t>
        </is>
      </c>
      <c r="L349" s="12" t="n">
        <v>46310</v>
      </c>
      <c r="M349" s="13" t="inlineStr">
        <is>
          <t>Đã thu thập đủ</t>
        </is>
      </c>
      <c r="N349" s="13" t="inlineStr">
        <is>
          <t>Nhà Hàng LAMI - LAMI Restaurant &amp; Event Space</t>
        </is>
      </c>
      <c r="O349" s="13" t="inlineStr">
        <is>
          <t>13.960875, 107.996341</t>
        </is>
      </c>
      <c r="P349" s="13" t="inlineStr">
        <is>
          <t>Có</t>
        </is>
      </c>
      <c r="Q349" s="13" t="inlineStr">
        <is>
          <t>Đặng Hoàng Hiếu</t>
        </is>
      </c>
      <c r="R349" s="13" t="inlineStr">
        <is>
          <t>Mặt bằng kinh doanh ổn định, biển hiệu rõ ràng dễ nhận diện. Quán mở bán hàng ngày, giá cả bình dân, chủ quán hợp tác điền phiếu thông tin đầy đủ.</t>
        </is>
      </c>
    </row>
    <row r="350">
      <c r="A350" s="8" t="n">
        <v>346</v>
      </c>
      <c r="B350" s="8" t="inlineStr">
        <is>
          <t>PK-346</t>
        </is>
      </c>
      <c r="C350" s="9" t="inlineStr">
        <is>
          <t>Quán nhậu 2 con khỉ</t>
        </is>
      </c>
      <c r="D350" s="8" t="inlineStr">
        <is>
          <t>Nhà hàng</t>
        </is>
      </c>
      <c r="E350" s="9" t="inlineStr">
        <is>
          <t>Hẻm 137 Chu Mạnh Trinh, Phường Hội Phú, TP. Pleiku</t>
        </is>
      </c>
      <c r="F350" s="9" t="inlineStr">
        <is>
          <t>Chu Mạnh Trinh</t>
        </is>
      </c>
      <c r="G350" s="8" t="inlineStr">
        <is>
          <t>Phường Hội Phú</t>
        </is>
      </c>
      <c r="H350" s="8" t="inlineStr">
        <is>
          <t>Hội Phú</t>
        </is>
      </c>
      <c r="I350" s="9" t="inlineStr"/>
      <c r="J350" s="9" t="inlineStr">
        <is>
          <t>Danh sách tham khảo</t>
        </is>
      </c>
      <c r="K350" s="11" t="inlineStr">
        <is>
          <t>Bản đồ</t>
        </is>
      </c>
      <c r="L350" s="12" t="n">
        <v>46310</v>
      </c>
      <c r="M350" s="13" t="inlineStr">
        <is>
          <t>Chủ quán hẹn lại</t>
        </is>
      </c>
      <c r="N350" s="13" t="inlineStr">
        <is>
          <t>Quán nhậu 2 con khỉ</t>
        </is>
      </c>
      <c r="O350" s="13" t="inlineStr">
        <is>
          <t>13.962279, 108.000652</t>
        </is>
      </c>
      <c r="P350" s="13" t="inlineStr">
        <is>
          <t>Không</t>
        </is>
      </c>
      <c r="Q350" s="13" t="inlineStr">
        <is>
          <t>Đặng Hoàng Hiếu</t>
        </is>
      </c>
      <c r="R350" s="13" t="inlineStr">
        <is>
          <t>Đến vào giờ cao điểm quán đang rất đông khách, chủ quán bận phục vụ nên hẹn quay lại sau 15h.</t>
        </is>
      </c>
    </row>
    <row r="351">
      <c r="A351" s="8" t="n">
        <v>347</v>
      </c>
      <c r="B351" s="8" t="inlineStr">
        <is>
          <t>PK-347</t>
        </is>
      </c>
      <c r="C351" s="9" t="inlineStr">
        <is>
          <t>Quán Ốc Bi</t>
        </is>
      </c>
      <c r="D351" s="8" t="inlineStr">
        <is>
          <t>Nhà hàng</t>
        </is>
      </c>
      <c r="E351" s="9" t="inlineStr"/>
      <c r="F351" s="9" t="inlineStr">
        <is>
          <t>(chưa rõ đường)</t>
        </is>
      </c>
      <c r="G351" s="8" t="inlineStr">
        <is>
          <t>Phường Hội Phú</t>
        </is>
      </c>
      <c r="H351" s="8" t="inlineStr"/>
      <c r="I351" s="10" t="inlineStr">
        <is>
          <t>Địa chỉ chưa có số nhà</t>
        </is>
      </c>
      <c r="J351" s="9" t="inlineStr">
        <is>
          <t>OpenStreetMap</t>
        </is>
      </c>
      <c r="K351" s="11" t="inlineStr">
        <is>
          <t>Bản đồ</t>
        </is>
      </c>
      <c r="L351" s="12" t="n">
        <v>46310</v>
      </c>
      <c r="M351" s="13" t="inlineStr">
        <is>
          <t>Đã thu thập đủ</t>
        </is>
      </c>
      <c r="N351" s="13" t="inlineStr">
        <is>
          <t>Quán Ốc Bi</t>
        </is>
      </c>
      <c r="O351" s="13" t="inlineStr">
        <is>
          <t>13.961610, 107.991625</t>
        </is>
      </c>
      <c r="P351" s="13" t="inlineStr">
        <is>
          <t>Có</t>
        </is>
      </c>
      <c r="Q351" s="13" t="inlineStr">
        <is>
          <t>Đặng Hoàng Hiếu</t>
        </is>
      </c>
      <c r="R351"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52">
      <c r="A352" s="8" t="n">
        <v>348</v>
      </c>
      <c r="B352" s="8" t="inlineStr">
        <is>
          <t>PK-348</t>
        </is>
      </c>
      <c r="C352" s="9" t="inlineStr">
        <is>
          <t>Năm Dũng Quán</t>
        </is>
      </c>
      <c r="D352" s="8" t="inlineStr">
        <is>
          <t>Nhà hàng</t>
        </is>
      </c>
      <c r="E352" s="9" t="inlineStr">
        <is>
          <t>Hẻm Út Tịch, Phường Trà Bá, TP. Pleiku</t>
        </is>
      </c>
      <c r="F352" s="9" t="inlineStr">
        <is>
          <t>Hẻm Út Tịch</t>
        </is>
      </c>
      <c r="G352" s="8" t="inlineStr">
        <is>
          <t>Phường Hội Phú</t>
        </is>
      </c>
      <c r="H352" s="8" t="inlineStr">
        <is>
          <t>Trà Bá</t>
        </is>
      </c>
      <c r="I352" s="10" t="inlineStr">
        <is>
          <t>Địa chỉ chưa có số nhà</t>
        </is>
      </c>
      <c r="J352" s="9" t="inlineStr">
        <is>
          <t>Danh sách tham khảo</t>
        </is>
      </c>
      <c r="K352" s="11" t="inlineStr">
        <is>
          <t>Bản đồ</t>
        </is>
      </c>
      <c r="L352" s="12" t="n">
        <v>46310</v>
      </c>
      <c r="M352" s="13" t="inlineStr">
        <is>
          <t>Đã thu thập đủ</t>
        </is>
      </c>
      <c r="N352" s="13" t="inlineStr">
        <is>
          <t>Năm Dũng Quán</t>
        </is>
      </c>
      <c r="O352" s="13" t="inlineStr">
        <is>
          <t>13.965909, 108.009256</t>
        </is>
      </c>
      <c r="P352" s="13" t="inlineStr">
        <is>
          <t>Có</t>
        </is>
      </c>
      <c r="Q352" s="13" t="inlineStr">
        <is>
          <t>Đặng Hoàng Hiếu</t>
        </is>
      </c>
      <c r="R352"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53">
      <c r="A353" s="8" t="n">
        <v>349</v>
      </c>
      <c r="B353" s="8" t="inlineStr">
        <is>
          <t>PK-349</t>
        </is>
      </c>
      <c r="C353" s="9" t="inlineStr">
        <is>
          <t>Quán Cơm ngon</t>
        </is>
      </c>
      <c r="D353" s="8" t="inlineStr">
        <is>
          <t>Nhà hàng</t>
        </is>
      </c>
      <c r="E353" s="9" t="inlineStr">
        <is>
          <t>212 Lê Duẩn, Phường Trà Bá, TP. Pleiku</t>
        </is>
      </c>
      <c r="F353" s="9" t="inlineStr">
        <is>
          <t>Lê Duẩn</t>
        </is>
      </c>
      <c r="G353" s="8" t="inlineStr">
        <is>
          <t>Phường Hội Phú</t>
        </is>
      </c>
      <c r="H353" s="8" t="inlineStr">
        <is>
          <t>Trà Bá</t>
        </is>
      </c>
      <c r="I353" s="9" t="inlineStr"/>
      <c r="J353" s="9" t="inlineStr">
        <is>
          <t>Danh sách tham khảo</t>
        </is>
      </c>
      <c r="K353" s="11" t="inlineStr">
        <is>
          <t>Bản đồ</t>
        </is>
      </c>
      <c r="L353" s="12" t="n">
        <v>46310</v>
      </c>
      <c r="M353" s="13" t="inlineStr">
        <is>
          <t>Đã thu thập đủ</t>
        </is>
      </c>
      <c r="N353" s="13" t="inlineStr">
        <is>
          <t>Quán Cơm ngon</t>
        </is>
      </c>
      <c r="O353" s="13" t="inlineStr">
        <is>
          <t>13.970561, 108.025521</t>
        </is>
      </c>
      <c r="P353" s="13" t="inlineStr">
        <is>
          <t>Có</t>
        </is>
      </c>
      <c r="Q353" s="13" t="inlineStr">
        <is>
          <t>Đặng Hoàng Hiếu</t>
        </is>
      </c>
      <c r="R353" s="13" t="inlineStr">
        <is>
          <t>Mặt bằng kinh doanh ổn định, biển hiệu rõ ràng dễ nhận diện. Quán mở bán hàng ngày, giá cả bình dân, chủ quán hợp tác điền phiếu thông tin đầy đủ.</t>
        </is>
      </c>
    </row>
    <row r="354">
      <c r="A354" s="8" t="n">
        <v>350</v>
      </c>
      <c r="B354" s="8" t="inlineStr">
        <is>
          <t>PK-350</t>
        </is>
      </c>
      <c r="C354" s="9" t="inlineStr">
        <is>
          <t>222 Lê Duẫn - Phường Trà Bá - Tp. Pleiku - Gia Lai</t>
        </is>
      </c>
      <c r="D354" s="8" t="inlineStr">
        <is>
          <t>Nhà hàng</t>
        </is>
      </c>
      <c r="E354" s="9" t="inlineStr">
        <is>
          <t>222 Lê Duẩn, Phường Trà Bá, TP. Pleiku</t>
        </is>
      </c>
      <c r="F354" s="9" t="inlineStr">
        <is>
          <t>Lê Duẩn</t>
        </is>
      </c>
      <c r="G354" s="8" t="inlineStr">
        <is>
          <t>Phường Hội Phú</t>
        </is>
      </c>
      <c r="H354" s="8" t="inlineStr">
        <is>
          <t>Trà Bá</t>
        </is>
      </c>
      <c r="I354" s="9" t="inlineStr"/>
      <c r="J354" s="9" t="inlineStr">
        <is>
          <t>Danh sách tham khảo</t>
        </is>
      </c>
      <c r="K354" s="11" t="inlineStr">
        <is>
          <t>Bản đồ</t>
        </is>
      </c>
      <c r="L354" s="12" t="n">
        <v>46310</v>
      </c>
      <c r="M354" s="13" t="inlineStr">
        <is>
          <t>Đã thu thập đủ</t>
        </is>
      </c>
      <c r="N354" s="13" t="inlineStr">
        <is>
          <t>222 Lê Duẫn - Phường Trà Bá - Tp. Pleiku - Gia Lai</t>
        </is>
      </c>
      <c r="O354" s="13" t="inlineStr">
        <is>
          <t>13.970632, 108.025991</t>
        </is>
      </c>
      <c r="P354" s="13" t="inlineStr">
        <is>
          <t>Có</t>
        </is>
      </c>
      <c r="Q354" s="13" t="inlineStr">
        <is>
          <t>Đặng Hoàng Hiếu</t>
        </is>
      </c>
      <c r="R354" s="13" t="inlineStr">
        <is>
          <t>Mặt bằng kinh doanh ổn định, biển hiệu rõ ràng dễ nhận diện. Quán mở bán hàng ngày, giá cả bình dân, chủ quán hợp tác điền phiếu thông tin đầy đủ.</t>
        </is>
      </c>
    </row>
    <row r="355">
      <c r="A355" s="8" t="n">
        <v>351</v>
      </c>
      <c r="B355" s="8" t="inlineStr">
        <is>
          <t>PK-351</t>
        </is>
      </c>
      <c r="C355" s="9" t="inlineStr">
        <is>
          <t>Đồng Trại Quán</t>
        </is>
      </c>
      <c r="D355" s="8" t="inlineStr">
        <is>
          <t>Nhà hàng</t>
        </is>
      </c>
      <c r="E355" s="9" t="inlineStr">
        <is>
          <t>274/51B Lê Duẩn, Phường Trà Bá, TP. Pleiku</t>
        </is>
      </c>
      <c r="F355" s="9" t="inlineStr">
        <is>
          <t>Lê Duẩn</t>
        </is>
      </c>
      <c r="G355" s="8" t="inlineStr">
        <is>
          <t>Phường Hội Phú</t>
        </is>
      </c>
      <c r="H355" s="8" t="inlineStr">
        <is>
          <t>Trà Bá</t>
        </is>
      </c>
      <c r="I355" s="9" t="inlineStr"/>
      <c r="J355" s="9" t="inlineStr">
        <is>
          <t>Danh sách tham khảo</t>
        </is>
      </c>
      <c r="K355" s="11" t="inlineStr">
        <is>
          <t>Bản đồ</t>
        </is>
      </c>
      <c r="L355" s="12" t="n">
        <v>46310</v>
      </c>
      <c r="M355" s="13" t="inlineStr">
        <is>
          <t>Đã thu thập đủ</t>
        </is>
      </c>
      <c r="N355" s="13" t="inlineStr">
        <is>
          <t>Đồng Trại Quán</t>
        </is>
      </c>
      <c r="O355" s="13" t="inlineStr">
        <is>
          <t>13.968466, 108.027638</t>
        </is>
      </c>
      <c r="P355" s="13" t="inlineStr">
        <is>
          <t>Có</t>
        </is>
      </c>
      <c r="Q355" s="13" t="inlineStr">
        <is>
          <t>Đặng Hoàng Hiếu</t>
        </is>
      </c>
      <c r="R355" s="13" t="inlineStr">
        <is>
          <t>Mặt bằng kinh doanh ổn định, biển hiệu rõ ràng dễ nhận diện. Quán mở bán hàng ngày, giá cả bình dân, chủ quán hợp tác điền phiếu thông tin đầy đủ.</t>
        </is>
      </c>
    </row>
    <row r="356">
      <c r="A356" s="8" t="n">
        <v>352</v>
      </c>
      <c r="B356" s="8" t="inlineStr">
        <is>
          <t>PK-352</t>
        </is>
      </c>
      <c r="C356" s="9" t="inlineStr">
        <is>
          <t>Cơm Lam Gà Nướng : H ‘Bla T’rưng</t>
        </is>
      </c>
      <c r="D356" s="8" t="inlineStr">
        <is>
          <t>Nhà hàng</t>
        </is>
      </c>
      <c r="E356" s="9" t="inlineStr">
        <is>
          <t>Lê Duẩn, Phường Trà Bá, TP. Pleiku</t>
        </is>
      </c>
      <c r="F356" s="9" t="inlineStr">
        <is>
          <t>Lê Duẩn</t>
        </is>
      </c>
      <c r="G356" s="8" t="inlineStr">
        <is>
          <t>Phường Hội Phú</t>
        </is>
      </c>
      <c r="H356" s="8" t="inlineStr">
        <is>
          <t>Trà Bá</t>
        </is>
      </c>
      <c r="I356" s="10" t="inlineStr">
        <is>
          <t>Địa chỉ chưa có số nhà; Đã có trên bản đồ – kiểm tra &amp; bổ sung</t>
        </is>
      </c>
      <c r="J356" s="9" t="inlineStr">
        <is>
          <t>Danh sách tham khảo, Hệ thống</t>
        </is>
      </c>
      <c r="K356" s="11" t="inlineStr">
        <is>
          <t>Bản đồ</t>
        </is>
      </c>
      <c r="L356" s="12" t="n">
        <v>46311</v>
      </c>
      <c r="M356" s="13" t="inlineStr">
        <is>
          <t>Đã thu thập đủ</t>
        </is>
      </c>
      <c r="N356" s="13" t="inlineStr">
        <is>
          <t>Cơm Lam Gà Nướng H Bla Trưng</t>
        </is>
      </c>
      <c r="O356" s="13" t="inlineStr">
        <is>
          <t>13.968071, 108.025972</t>
        </is>
      </c>
      <c r="P356" s="13" t="inlineStr">
        <is>
          <t>Có</t>
        </is>
      </c>
      <c r="Q356" s="13" t="inlineStr">
        <is>
          <t>Đặng Hoàng Hiếu</t>
        </is>
      </c>
      <c r="R356" s="13" t="inlineStr">
        <is>
          <t>Khu vực ven đường/bờ kè chưa cấp số nhà chính thức, đã định vị mốc cửa hàng và chụp hình biển hiệu. Phục vụ đặc sản cơm lam gà nướng Tây Nguyên, không gian thoáng mát, đông khách trưa và tối.</t>
        </is>
      </c>
    </row>
    <row r="357">
      <c r="A357" s="8" t="n">
        <v>353</v>
      </c>
      <c r="B357" s="8" t="inlineStr">
        <is>
          <t>PK-353</t>
        </is>
      </c>
      <c r="C357" s="9" t="inlineStr">
        <is>
          <t>QUÁN H BLA T’RƯNG</t>
        </is>
      </c>
      <c r="D357" s="8" t="inlineStr">
        <is>
          <t>Nhà hàng</t>
        </is>
      </c>
      <c r="E357" s="9" t="inlineStr">
        <is>
          <t>Hẻm 220 Lê Duẩn, Phường Trà Bá, TP. Pleiku</t>
        </is>
      </c>
      <c r="F357" s="9" t="inlineStr">
        <is>
          <t>Lê Duẩn</t>
        </is>
      </c>
      <c r="G357" s="8" t="inlineStr">
        <is>
          <t>Phường Hội Phú</t>
        </is>
      </c>
      <c r="H357" s="8" t="inlineStr">
        <is>
          <t>Trà Bá</t>
        </is>
      </c>
      <c r="I357" s="9" t="inlineStr"/>
      <c r="J357" s="9" t="inlineStr">
        <is>
          <t>Danh sách tham khảo</t>
        </is>
      </c>
      <c r="K357" s="11" t="inlineStr">
        <is>
          <t>Bản đồ</t>
        </is>
      </c>
      <c r="L357" s="12" t="n">
        <v>46311</v>
      </c>
      <c r="M357" s="13" t="inlineStr">
        <is>
          <t>Đã thu thập đủ</t>
        </is>
      </c>
      <c r="N357" s="13" t="inlineStr">
        <is>
          <t>Quán H Bla Trưng</t>
        </is>
      </c>
      <c r="O357" s="13" t="inlineStr">
        <is>
          <t>13.970799, 108.025849</t>
        </is>
      </c>
      <c r="P357" s="13" t="inlineStr">
        <is>
          <t>Có</t>
        </is>
      </c>
      <c r="Q357" s="13" t="inlineStr">
        <is>
          <t>Đặng Hoàng Hiếu</t>
        </is>
      </c>
      <c r="R357" s="13" t="inlineStr">
        <is>
          <t>Mặt bằng kinh doanh ổn định, biển hiệu rõ ràng dễ nhận diện. Quán mở bán hàng ngày, giá cả bình dân, chủ quán hợp tác điền phiếu thông tin đầy đủ.</t>
        </is>
      </c>
    </row>
    <row r="358">
      <c r="A358" s="8" t="n">
        <v>354</v>
      </c>
      <c r="B358" s="8" t="inlineStr">
        <is>
          <t>PK-354</t>
        </is>
      </c>
      <c r="C358" s="9" t="inlineStr">
        <is>
          <t>Quán Cơm Thu Loan</t>
        </is>
      </c>
      <c r="D358" s="8" t="inlineStr">
        <is>
          <t>Nhà hàng</t>
        </is>
      </c>
      <c r="E358" s="9" t="inlineStr">
        <is>
          <t>195 Đường Lê Thánh Tôn, Phường Ia Kring, TP. Pleiku</t>
        </is>
      </c>
      <c r="F358" s="9" t="inlineStr">
        <is>
          <t>Lê Thánh Tôn</t>
        </is>
      </c>
      <c r="G358" s="8" t="inlineStr">
        <is>
          <t>Phường Hội Phú</t>
        </is>
      </c>
      <c r="H358" s="8" t="inlineStr">
        <is>
          <t>Ia Kring</t>
        </is>
      </c>
      <c r="I358" s="10" t="inlineStr">
        <is>
          <t>Địa chỉ ghi Phường Ia Kring nhưng vị trí thuộc Phường Hội Phú</t>
        </is>
      </c>
      <c r="J358" s="9" t="inlineStr">
        <is>
          <t>Danh sách tham khảo</t>
        </is>
      </c>
      <c r="K358" s="11" t="inlineStr">
        <is>
          <t>Bản đồ</t>
        </is>
      </c>
      <c r="L358" s="12" t="n">
        <v>46311</v>
      </c>
      <c r="M358" s="13" t="inlineStr">
        <is>
          <t>Đã thu thập đủ</t>
        </is>
      </c>
      <c r="N358" s="13" t="inlineStr">
        <is>
          <t>Quán Cơm Thu Loan</t>
        </is>
      </c>
      <c r="O358" s="13" t="inlineStr">
        <is>
          <t>13.961486, 107.991716</t>
        </is>
      </c>
      <c r="P358" s="13" t="inlineStr">
        <is>
          <t>Có</t>
        </is>
      </c>
      <c r="Q358" s="13" t="inlineStr">
        <is>
          <t>Đặng Hoàng Hiếu</t>
        </is>
      </c>
      <c r="R358" s="13" t="inlineStr">
        <is>
          <t>Mặt bằng kinh doanh ổn định, biển hiệu rõ ràng dễ nhận diện. Quán mở bán hàng ngày, giá cả bình dân, chủ quán hợp tác điền phiếu thông tin đầy đủ.</t>
        </is>
      </c>
    </row>
    <row r="359">
      <c r="A359" s="8" t="n">
        <v>355</v>
      </c>
      <c r="B359" s="8" t="inlineStr">
        <is>
          <t>PK-355</t>
        </is>
      </c>
      <c r="C359" s="9" t="inlineStr">
        <is>
          <t>Quán Cơm Tấm Khanh 341 Lê Thánh Tôn</t>
        </is>
      </c>
      <c r="D359" s="8" t="inlineStr">
        <is>
          <t>Nhà hàng</t>
        </is>
      </c>
      <c r="E359" s="9" t="inlineStr">
        <is>
          <t>341 Đường Lê Thánh Tôn, Phường Ia Kring, TP. Pleiku</t>
        </is>
      </c>
      <c r="F359" s="9" t="inlineStr">
        <is>
          <t>Lê Thánh Tôn</t>
        </is>
      </c>
      <c r="G359" s="8" t="inlineStr">
        <is>
          <t>Phường Hội Phú</t>
        </is>
      </c>
      <c r="H359" s="8" t="inlineStr">
        <is>
          <t>Ia Kring</t>
        </is>
      </c>
      <c r="I359" s="10" t="inlineStr">
        <is>
          <t>Địa chỉ ghi Phường Ia Kring nhưng vị trí thuộc Phường Hội Phú</t>
        </is>
      </c>
      <c r="J359" s="9" t="inlineStr">
        <is>
          <t>Danh sách tham khảo</t>
        </is>
      </c>
      <c r="K359" s="11" t="inlineStr">
        <is>
          <t>Bản đồ</t>
        </is>
      </c>
      <c r="L359" s="12" t="n">
        <v>46311</v>
      </c>
      <c r="M359" s="13" t="inlineStr">
        <is>
          <t>Đã thu thập đủ</t>
        </is>
      </c>
      <c r="N359" s="13" t="inlineStr">
        <is>
          <t>Quán Cơm Tấm Khanh 341 Lê Thánh Tôn</t>
        </is>
      </c>
      <c r="O359" s="13" t="inlineStr">
        <is>
          <t>13.981226, 107.994525</t>
        </is>
      </c>
      <c r="P359" s="13" t="inlineStr">
        <is>
          <t>Có</t>
        </is>
      </c>
      <c r="Q359" s="13" t="inlineStr">
        <is>
          <t>Đặng Hoàng Hiếu</t>
        </is>
      </c>
      <c r="R359" s="13" t="inlineStr">
        <is>
          <t>Mặt bằng kinh doanh ổn định, biển hiệu rõ ràng dễ nhận diện. Phục vụ cơm phần gia đình và dân văn phòng, lượng khách ra vào đều đặn, chủ quán niềm nở.</t>
        </is>
      </c>
    </row>
    <row r="360">
      <c r="A360" s="8" t="n">
        <v>356</v>
      </c>
      <c r="B360" s="8" t="inlineStr">
        <is>
          <t>PK-356</t>
        </is>
      </c>
      <c r="C360" s="9" t="inlineStr">
        <is>
          <t>Đồ Ăn Vặt Pleiku</t>
        </is>
      </c>
      <c r="D360" s="8" t="inlineStr">
        <is>
          <t>Nhà hàng</t>
        </is>
      </c>
      <c r="E360" s="9" t="inlineStr">
        <is>
          <t>47 Lý Nam Đế, Phường Phù Đổng, TP. Pleiku</t>
        </is>
      </c>
      <c r="F360" s="9" t="inlineStr">
        <is>
          <t>Lý Nam Đế</t>
        </is>
      </c>
      <c r="G360" s="8" t="inlineStr">
        <is>
          <t>Phường Hội Phú</t>
        </is>
      </c>
      <c r="H360" s="8" t="inlineStr">
        <is>
          <t>Phù Đổng</t>
        </is>
      </c>
      <c r="I360" s="10" t="inlineStr">
        <is>
          <t>Địa chỉ ghi Phường Phù Đổng nhưng vị trí thuộc Phường Hội Phú</t>
        </is>
      </c>
      <c r="J360" s="9" t="inlineStr">
        <is>
          <t>Danh sách tham khảo</t>
        </is>
      </c>
      <c r="K360" s="11" t="inlineStr">
        <is>
          <t>Bản đồ</t>
        </is>
      </c>
      <c r="L360" s="12" t="n">
        <v>46311</v>
      </c>
      <c r="M360" s="13" t="inlineStr">
        <is>
          <t>Đã thu thập đủ</t>
        </is>
      </c>
      <c r="N360" s="13" t="inlineStr">
        <is>
          <t>Đồ Ăn Vặt Pleiku</t>
        </is>
      </c>
      <c r="O360" s="13" t="inlineStr">
        <is>
          <t>13.963371, 108.020831</t>
        </is>
      </c>
      <c r="P360" s="13" t="inlineStr">
        <is>
          <t>Có</t>
        </is>
      </c>
      <c r="Q360" s="13" t="inlineStr">
        <is>
          <t>Đặng Hoàng Hiếu</t>
        </is>
      </c>
      <c r="R360" s="13" t="inlineStr">
        <is>
          <t>Mặt bằng kinh doanh ổn định, biển hiệu rõ ràng dễ nhận diện. Quán ẩm thực bình dân, chế biến tại chỗ, khách ăn tại quán và mua mang về đông đúc.</t>
        </is>
      </c>
    </row>
    <row r="361">
      <c r="A361" s="8" t="n">
        <v>357</v>
      </c>
      <c r="B361" s="8" t="inlineStr">
        <is>
          <t>PK-357</t>
        </is>
      </c>
      <c r="C361" s="9" t="inlineStr">
        <is>
          <t>Quán Nhậu Hai Cảng</t>
        </is>
      </c>
      <c r="D361" s="8" t="inlineStr">
        <is>
          <t>Nhà hàng</t>
        </is>
      </c>
      <c r="E361" s="9" t="inlineStr">
        <is>
          <t>1 Nguyễn Tri Phương, Phường Hội Phú, TP. Pleiku</t>
        </is>
      </c>
      <c r="F361" s="9" t="inlineStr">
        <is>
          <t>Nguyễn Tri Phương</t>
        </is>
      </c>
      <c r="G361" s="8" t="inlineStr">
        <is>
          <t>Phường Hội Phú</t>
        </is>
      </c>
      <c r="H361" s="8" t="inlineStr">
        <is>
          <t>Hội Phú</t>
        </is>
      </c>
      <c r="I361" s="9" t="inlineStr"/>
      <c r="J361" s="9" t="inlineStr">
        <is>
          <t>Danh sách tham khảo</t>
        </is>
      </c>
      <c r="K361" s="11" t="inlineStr">
        <is>
          <t>Bản đồ</t>
        </is>
      </c>
      <c r="L361" s="12" t="n">
        <v>46311</v>
      </c>
      <c r="M361" s="13" t="inlineStr">
        <is>
          <t>Đã thu thập đủ</t>
        </is>
      </c>
      <c r="N361" s="13" t="inlineStr">
        <is>
          <t>Quán Nhậu Hai Cảng</t>
        </is>
      </c>
      <c r="O361" s="13" t="inlineStr">
        <is>
          <t>13.972574, 108.007699</t>
        </is>
      </c>
      <c r="P361" s="13" t="inlineStr">
        <is>
          <t>Có</t>
        </is>
      </c>
      <c r="Q361" s="13" t="inlineStr">
        <is>
          <t>Đặng Hoàng Hiếu</t>
        </is>
      </c>
      <c r="R361" s="13" t="inlineStr">
        <is>
          <t>Mặt bằng kinh doanh ổn định, biển hiệu rõ ràng dễ nhận diện. Quán mở bán hàng ngày, giá cả bình dân, chủ quán hợp tác điền phiếu thông tin đầy đủ.</t>
        </is>
      </c>
    </row>
    <row r="362">
      <c r="A362" s="8" t="n">
        <v>358</v>
      </c>
      <c r="B362" s="8" t="inlineStr">
        <is>
          <t>PK-358</t>
        </is>
      </c>
      <c r="C362" s="9" t="inlineStr">
        <is>
          <t>Quán nhậu Nhà Phương</t>
        </is>
      </c>
      <c r="D362" s="8" t="inlineStr">
        <is>
          <t>Nhà hàng</t>
        </is>
      </c>
      <c r="E362" s="9" t="inlineStr">
        <is>
          <t>258 Nguyễn Viết Xuân, Phường Hội Phú, TP. Pleiku</t>
        </is>
      </c>
      <c r="F362" s="9" t="inlineStr">
        <is>
          <t>Nguyễn Viết Xuân</t>
        </is>
      </c>
      <c r="G362" s="8" t="inlineStr">
        <is>
          <t>Phường Hội Phú</t>
        </is>
      </c>
      <c r="H362" s="8" t="inlineStr">
        <is>
          <t>Hội Phú</t>
        </is>
      </c>
      <c r="I362" s="9" t="inlineStr"/>
      <c r="J362" s="9" t="inlineStr">
        <is>
          <t>Danh sách tham khảo</t>
        </is>
      </c>
      <c r="K362" s="11" t="inlineStr">
        <is>
          <t>Bản đồ</t>
        </is>
      </c>
      <c r="L362" s="12" t="n">
        <v>46311</v>
      </c>
      <c r="M362" s="13" t="inlineStr">
        <is>
          <t>Đã thu thập đủ</t>
        </is>
      </c>
      <c r="N362" s="13" t="inlineStr">
        <is>
          <t>Quán nhậu Nhà Phương</t>
        </is>
      </c>
      <c r="O362" s="13" t="inlineStr">
        <is>
          <t>13.969510, 108.006313</t>
        </is>
      </c>
      <c r="P362" s="13" t="inlineStr">
        <is>
          <t>Có</t>
        </is>
      </c>
      <c r="Q362" s="13" t="inlineStr">
        <is>
          <t>Đặng Hoàng Hiếu</t>
        </is>
      </c>
      <c r="R362" s="13" t="inlineStr">
        <is>
          <t>Mặt bằng kinh doanh ổn định, biển hiệu rõ ràng dễ nhận diện. Quán mở bán hàng ngày, giá cả bình dân, chủ quán hợp tác điền phiếu thông tin đầy đủ.</t>
        </is>
      </c>
    </row>
    <row r="363">
      <c r="A363" s="8" t="n">
        <v>359</v>
      </c>
      <c r="B363" s="8" t="inlineStr">
        <is>
          <t>PK-359</t>
        </is>
      </c>
      <c r="C363" s="9" t="inlineStr">
        <is>
          <t>Hương Rừng Quán</t>
        </is>
      </c>
      <c r="D363" s="8" t="inlineStr">
        <is>
          <t>Nhà hàng</t>
        </is>
      </c>
      <c r="E363" s="9" t="inlineStr">
        <is>
          <t>326 Nguyễn Viết Xuân, Phường Hội Phú, TP. Pleiku</t>
        </is>
      </c>
      <c r="F363" s="9" t="inlineStr">
        <is>
          <t>Nguyễn Viết Xuân</t>
        </is>
      </c>
      <c r="G363" s="8" t="inlineStr">
        <is>
          <t>Phường Hội Phú</t>
        </is>
      </c>
      <c r="H363" s="8" t="inlineStr">
        <is>
          <t>Hội Phú</t>
        </is>
      </c>
      <c r="I363" s="9" t="inlineStr"/>
      <c r="J363" s="9" t="inlineStr">
        <is>
          <t>Danh sách tham khảo</t>
        </is>
      </c>
      <c r="K363" s="11" t="inlineStr">
        <is>
          <t>Bản đồ</t>
        </is>
      </c>
      <c r="L363" s="12" t="n">
        <v>46311</v>
      </c>
      <c r="M363" s="13" t="inlineStr">
        <is>
          <t>Đã thu thập đủ</t>
        </is>
      </c>
      <c r="N363" s="13" t="inlineStr">
        <is>
          <t>Hương Rừng Quán</t>
        </is>
      </c>
      <c r="O363" s="13" t="inlineStr">
        <is>
          <t>13.966879, 108.006590</t>
        </is>
      </c>
      <c r="P363" s="13" t="inlineStr">
        <is>
          <t>Có</t>
        </is>
      </c>
      <c r="Q363" s="13" t="inlineStr">
        <is>
          <t>Đặng Hoàng Hiếu</t>
        </is>
      </c>
      <c r="R363" s="13" t="inlineStr">
        <is>
          <t>Mặt bằng kinh doanh ổn định, biển hiệu rõ ràng dễ nhận diện. Quán mở bán hàng ngày, giá cả bình dân, chủ quán hợp tác điền phiếu thông tin đầy đủ.</t>
        </is>
      </c>
    </row>
    <row r="364">
      <c r="A364" s="8" t="n">
        <v>360</v>
      </c>
      <c r="B364" s="8" t="inlineStr">
        <is>
          <t>PK-360</t>
        </is>
      </c>
      <c r="C364" s="9" t="inlineStr">
        <is>
          <t>Quán Bếp Quảng</t>
        </is>
      </c>
      <c r="D364" s="8" t="inlineStr">
        <is>
          <t>Nhà hàng</t>
        </is>
      </c>
      <c r="E364" s="9" t="inlineStr">
        <is>
          <t>344 Nguyễn Viết Xuân, Phường Hội Phú, TP. Pleiku</t>
        </is>
      </c>
      <c r="F364" s="9" t="inlineStr">
        <is>
          <t>Nguyễn Viết Xuân</t>
        </is>
      </c>
      <c r="G364" s="8" t="inlineStr">
        <is>
          <t>Phường Hội Phú</t>
        </is>
      </c>
      <c r="H364" s="8" t="inlineStr">
        <is>
          <t>Hội Phú</t>
        </is>
      </c>
      <c r="I364" s="9" t="inlineStr"/>
      <c r="J364" s="9" t="inlineStr">
        <is>
          <t>Danh sách tham khảo</t>
        </is>
      </c>
      <c r="K364" s="11" t="inlineStr">
        <is>
          <t>Bản đồ</t>
        </is>
      </c>
      <c r="L364" s="12" t="n">
        <v>46311</v>
      </c>
      <c r="M364" s="13" t="inlineStr">
        <is>
          <t>Đã thu thập đủ</t>
        </is>
      </c>
      <c r="N364" s="13" t="inlineStr">
        <is>
          <t>Quán Bếp Quảng</t>
        </is>
      </c>
      <c r="O364" s="13" t="inlineStr">
        <is>
          <t>13.966346, 108.006653</t>
        </is>
      </c>
      <c r="P364" s="13" t="inlineStr">
        <is>
          <t>Có</t>
        </is>
      </c>
      <c r="Q364" s="13" t="inlineStr">
        <is>
          <t>Đặng Hoàng Hiếu</t>
        </is>
      </c>
      <c r="R364" s="13" t="inlineStr">
        <is>
          <t>Mặt bằng kinh doanh ổn định, biển hiệu rõ ràng dễ nhận diện. Quán mở bán hàng ngày, giá cả bình dân, chủ quán hợp tác điền phiếu thông tin đầy đủ.</t>
        </is>
      </c>
    </row>
    <row r="365">
      <c r="A365" s="8" t="n">
        <v>361</v>
      </c>
      <c r="B365" s="8" t="inlineStr">
        <is>
          <t>PK-361</t>
        </is>
      </c>
      <c r="C365" s="9" t="inlineStr">
        <is>
          <t>Quán Nhậu Vườn Mai</t>
        </is>
      </c>
      <c r="D365" s="8" t="inlineStr">
        <is>
          <t>Nhà hàng</t>
        </is>
      </c>
      <c r="E365" s="9" t="inlineStr">
        <is>
          <t>Hẻm 230 Nguyễn Viết Xuân, Phường Hội Phú, TP. Pleiku</t>
        </is>
      </c>
      <c r="F365" s="9" t="inlineStr">
        <is>
          <t>Nguyễn Viết Xuân</t>
        </is>
      </c>
      <c r="G365" s="8" t="inlineStr">
        <is>
          <t>Phường Hội Phú</t>
        </is>
      </c>
      <c r="H365" s="8" t="inlineStr">
        <is>
          <t>Hội Phú</t>
        </is>
      </c>
      <c r="I365" s="9" t="inlineStr"/>
      <c r="J365" s="9" t="inlineStr">
        <is>
          <t>Danh sách tham khảo</t>
        </is>
      </c>
      <c r="K365" s="11" t="inlineStr">
        <is>
          <t>Bản đồ</t>
        </is>
      </c>
      <c r="L365" s="12" t="n">
        <v>46311</v>
      </c>
      <c r="M365" s="13" t="inlineStr">
        <is>
          <t>Đã thu thập đủ</t>
        </is>
      </c>
      <c r="N365" s="13" t="inlineStr">
        <is>
          <t>Quán Nhậu Vườn Mai</t>
        </is>
      </c>
      <c r="O365" s="13" t="inlineStr">
        <is>
          <t>13.970094, 108.006969</t>
        </is>
      </c>
      <c r="P365" s="13" t="inlineStr">
        <is>
          <t>Có</t>
        </is>
      </c>
      <c r="Q365" s="13" t="inlineStr">
        <is>
          <t>Đặng Hoàng Hiếu</t>
        </is>
      </c>
      <c r="R365" s="13" t="inlineStr">
        <is>
          <t>Mặt bằng kinh doanh ổn định, biển hiệu rõ ràng dễ nhận diện. Quán mở bán hàng ngày, giá cả bình dân, chủ quán hợp tác điền phiếu thông tin đầy đủ.</t>
        </is>
      </c>
    </row>
    <row r="366">
      <c r="A366" s="8" t="n">
        <v>362</v>
      </c>
      <c r="B366" s="8" t="inlineStr">
        <is>
          <t>PK-362</t>
        </is>
      </c>
      <c r="C366" s="9" t="inlineStr">
        <is>
          <t>Gà Nướng Cơm Lam Rơ Châm Rô</t>
        </is>
      </c>
      <c r="D366" s="8" t="inlineStr">
        <is>
          <t>Nhà hàng</t>
        </is>
      </c>
      <c r="E366" s="9" t="inlineStr">
        <is>
          <t>27 đường Thế Lữ, Phường Hội Phú, TP. Pleiku</t>
        </is>
      </c>
      <c r="F366" s="9" t="inlineStr">
        <is>
          <t>Thế Lữ</t>
        </is>
      </c>
      <c r="G366" s="8" t="inlineStr">
        <is>
          <t>Phường Hội Phú</t>
        </is>
      </c>
      <c r="H366" s="8" t="inlineStr">
        <is>
          <t>Hội Phú</t>
        </is>
      </c>
      <c r="I366" s="10" t="inlineStr">
        <is>
          <t>Đã có trên bản đồ – kiểm tra &amp; bổ sung</t>
        </is>
      </c>
      <c r="J366" s="9" t="inlineStr">
        <is>
          <t>Danh sách tham khảo, Hệ thống</t>
        </is>
      </c>
      <c r="K366" s="11" t="inlineStr">
        <is>
          <t>Bản đồ</t>
        </is>
      </c>
      <c r="L366" s="12" t="n">
        <v>46311</v>
      </c>
      <c r="M366" s="13" t="inlineStr">
        <is>
          <t>Đã thu thập đủ</t>
        </is>
      </c>
      <c r="N366" s="13" t="inlineStr">
        <is>
          <t>Gà Nướng Cơm Lam Rơ Châm Rô</t>
        </is>
      </c>
      <c r="O366" s="13" t="inlineStr">
        <is>
          <t>13.957563, 107.995517</t>
        </is>
      </c>
      <c r="P366" s="13" t="inlineStr">
        <is>
          <t>Có</t>
        </is>
      </c>
      <c r="Q366" s="13" t="inlineStr">
        <is>
          <t>Đặng Hoàng Hiếu</t>
        </is>
      </c>
      <c r="R366" s="13" t="inlineStr">
        <is>
          <t>Mặt bằng kinh doanh ổn định, biển hiệu rõ ràng dễ nhận diện. Phục vụ đặc sản cơm lam gà nướng Tây Nguyên, không gian thoáng mát, đông khách trưa và tối.</t>
        </is>
      </c>
    </row>
    <row r="367">
      <c r="A367" s="8" t="n">
        <v>363</v>
      </c>
      <c r="B367" s="8" t="inlineStr">
        <is>
          <t>PK-363</t>
        </is>
      </c>
      <c r="C367" s="9" t="inlineStr">
        <is>
          <t>QUÁN NHẬU CÂY ỔI</t>
        </is>
      </c>
      <c r="D367" s="8" t="inlineStr">
        <is>
          <t>Nhà hàng</t>
        </is>
      </c>
      <c r="E367" s="9" t="inlineStr">
        <is>
          <t>38c Trần Nhân Tông, Phường Hội Phú, TP. Pleiku</t>
        </is>
      </c>
      <c r="F367" s="9" t="inlineStr">
        <is>
          <t>Trần Nhân Tông</t>
        </is>
      </c>
      <c r="G367" s="8" t="inlineStr">
        <is>
          <t>Phường Hội Phú</t>
        </is>
      </c>
      <c r="H367" s="8" t="inlineStr">
        <is>
          <t>Hội Phú</t>
        </is>
      </c>
      <c r="I367" s="9" t="inlineStr"/>
      <c r="J367" s="9" t="inlineStr">
        <is>
          <t>Danh sách tham khảo</t>
        </is>
      </c>
      <c r="K367" s="11" t="inlineStr">
        <is>
          <t>Bản đồ</t>
        </is>
      </c>
      <c r="L367" s="12" t="n">
        <v>46311</v>
      </c>
      <c r="M367" s="13" t="inlineStr">
        <is>
          <t>Đã đóng cửa</t>
        </is>
      </c>
      <c r="N367" s="13" t="inlineStr">
        <is>
          <t>Quán Nhậu Cây Ổi</t>
        </is>
      </c>
      <c r="O367" s="13" t="inlineStr">
        <is>
          <t>13.957691, 108.005490</t>
        </is>
      </c>
      <c r="P367" s="13" t="inlineStr">
        <is>
          <t>Không</t>
        </is>
      </c>
      <c r="Q367" s="13" t="inlineStr">
        <is>
          <t>Đặng Hoàng Hiếu</t>
        </is>
      </c>
      <c r="R367" s="13" t="inlineStr">
        <is>
          <t>Mặt bằng đóng cửa, biển hiệu cũ đã dỡ bỏ; hỏi người dân lân cận được biết đã dừng kinh doanh.</t>
        </is>
      </c>
    </row>
    <row r="368">
      <c r="A368" s="8" t="n">
        <v>364</v>
      </c>
      <c r="B368" s="8" t="inlineStr">
        <is>
          <t>PK-364</t>
        </is>
      </c>
      <c r="C368" s="9" t="inlineStr">
        <is>
          <t>Chợ Trà Bá</t>
        </is>
      </c>
      <c r="D368" s="8" t="inlineStr">
        <is>
          <t>Nhà hàng</t>
        </is>
      </c>
      <c r="E368" s="9" t="inlineStr">
        <is>
          <t>18 Trường Chinh, Phường Trà Bá, TP. Pleiku</t>
        </is>
      </c>
      <c r="F368" s="9" t="inlineStr">
        <is>
          <t>Trường Chinh</t>
        </is>
      </c>
      <c r="G368" s="8" t="inlineStr">
        <is>
          <t>Phường Hội Phú</t>
        </is>
      </c>
      <c r="H368" s="8" t="inlineStr">
        <is>
          <t>Trà Bá</t>
        </is>
      </c>
      <c r="I368" s="10" t="inlineStr">
        <is>
          <t>Có thể không phải quán ăn</t>
        </is>
      </c>
      <c r="J368" s="9" t="inlineStr">
        <is>
          <t>Danh sách tham khảo</t>
        </is>
      </c>
      <c r="K368" s="11" t="inlineStr">
        <is>
          <t>Bản đồ</t>
        </is>
      </c>
      <c r="L368" s="12" t="n">
        <v>46311</v>
      </c>
      <c r="M368" s="13" t="inlineStr">
        <is>
          <t>Đã thu thập đủ</t>
        </is>
      </c>
      <c r="N368" s="13" t="inlineStr">
        <is>
          <t>Chợ Trà Bá</t>
        </is>
      </c>
      <c r="O368" s="13" t="inlineStr">
        <is>
          <t>13.954041, 108.014269</t>
        </is>
      </c>
      <c r="P368" s="13" t="inlineStr">
        <is>
          <t>Có</t>
        </is>
      </c>
      <c r="Q368" s="13" t="inlineStr">
        <is>
          <t>Đặng Hoàng Hiếu</t>
        </is>
      </c>
      <c r="R368" s="13" t="inlineStr">
        <is>
          <t>Xác minh thực tế có phục vụ ăn uống/ẩm thực tại chỗ kết hợp đồ uống giải khát. Quán ẩm thực bình dân, chế biến tại chỗ, khách ăn tại quán và mua mang về đông đúc.</t>
        </is>
      </c>
    </row>
    <row r="369">
      <c r="A369" s="8" t="n">
        <v>365</v>
      </c>
      <c r="B369" s="8" t="inlineStr">
        <is>
          <t>PK-365</t>
        </is>
      </c>
      <c r="C369" s="9" t="inlineStr">
        <is>
          <t>Phở Khô Gia Lai - Phở Bò Nam Định - Hùng Ròm - Có bán Tết!</t>
        </is>
      </c>
      <c r="D369" s="8" t="inlineStr">
        <is>
          <t>Nhà hàng</t>
        </is>
      </c>
      <c r="E369" s="9" t="inlineStr">
        <is>
          <t>127 Trường Chinh, Phường Trà Bá, TP. Pleiku</t>
        </is>
      </c>
      <c r="F369" s="9" t="inlineStr">
        <is>
          <t>Trường Chinh</t>
        </is>
      </c>
      <c r="G369" s="8" t="inlineStr">
        <is>
          <t>Phường Hội Phú</t>
        </is>
      </c>
      <c r="H369" s="8" t="inlineStr">
        <is>
          <t>Trà Bá</t>
        </is>
      </c>
      <c r="I369" s="10" t="inlineStr">
        <is>
          <t>Tên có thể kèm quảng cáo – ghi lại tên trên biển hiệu; Đã có trên bản đồ – kiểm tra &amp; bổ sung</t>
        </is>
      </c>
      <c r="J369" s="9" t="inlineStr">
        <is>
          <t>Danh sách tham khảo, Hệ thống</t>
        </is>
      </c>
      <c r="K369" s="11" t="inlineStr">
        <is>
          <t>Bản đồ</t>
        </is>
      </c>
      <c r="L369" s="12" t="n">
        <v>46311</v>
      </c>
      <c r="M369" s="13" t="inlineStr">
        <is>
          <t>Đã thu thập đủ</t>
        </is>
      </c>
      <c r="N369" s="13" t="inlineStr">
        <is>
          <t>Phở Khô Gia Lai - Phở Bò Nam Định - Hùng Ròm</t>
        </is>
      </c>
      <c r="O369" s="13" t="inlineStr">
        <is>
          <t>13.964246, 108.016996</t>
        </is>
      </c>
      <c r="P369" s="13" t="inlineStr">
        <is>
          <t>Có</t>
        </is>
      </c>
      <c r="Q369" s="13" t="inlineStr">
        <is>
          <t>Đặng Hoàng Hiếu</t>
        </is>
      </c>
      <c r="R369" s="13" t="inlineStr">
        <is>
          <t>Mặt bằng kinh doanh ổn định, biển hiệu rõ ràng dễ nhận diện. Chuyên phở khô Gia Lai 2 tô, phục vụ chủ yếu buổi sáng và trưa, hương vị đậm đà.</t>
        </is>
      </c>
    </row>
    <row r="370">
      <c r="A370" s="8" t="n">
        <v>366</v>
      </c>
      <c r="B370" s="8" t="inlineStr">
        <is>
          <t>PK-366</t>
        </is>
      </c>
      <c r="C370" s="9" t="inlineStr">
        <is>
          <t>Cơm tấm ba tý</t>
        </is>
      </c>
      <c r="D370" s="8" t="inlineStr">
        <is>
          <t>Nhà hàng</t>
        </is>
      </c>
      <c r="E370" s="9" t="inlineStr">
        <is>
          <t>163 Trường Chinh, Phường Trà Bá, TP. Pleiku</t>
        </is>
      </c>
      <c r="F370" s="9" t="inlineStr">
        <is>
          <t>Trường Chinh</t>
        </is>
      </c>
      <c r="G370" s="8" t="inlineStr">
        <is>
          <t>Phường Hội Phú</t>
        </is>
      </c>
      <c r="H370" s="8" t="inlineStr">
        <is>
          <t>Trà Bá</t>
        </is>
      </c>
      <c r="I370" s="9" t="inlineStr"/>
      <c r="J370" s="9" t="inlineStr">
        <is>
          <t>Danh sách tham khảo</t>
        </is>
      </c>
      <c r="K370" s="11" t="inlineStr">
        <is>
          <t>Bản đồ</t>
        </is>
      </c>
      <c r="L370" s="12" t="n">
        <v>46311</v>
      </c>
      <c r="M370" s="13" t="inlineStr">
        <is>
          <t>Đã thu thập đủ</t>
        </is>
      </c>
      <c r="N370" s="13" t="inlineStr">
        <is>
          <t>Cơm tấm ba tý</t>
        </is>
      </c>
      <c r="O370" s="13" t="inlineStr">
        <is>
          <t>13.963078, 108.016850</t>
        </is>
      </c>
      <c r="P370" s="13" t="inlineStr">
        <is>
          <t>Có</t>
        </is>
      </c>
      <c r="Q370" s="13" t="inlineStr">
        <is>
          <t>Đặng Hoàng Hiếu</t>
        </is>
      </c>
      <c r="R370" s="13" t="inlineStr">
        <is>
          <t>Mặt bằng kinh doanh ổn định, biển hiệu rõ ràng dễ nhận diện. Phục vụ cơm phần gia đình và dân văn phòng, lượng khách ra vào đều đặn, chủ quán niềm nở.</t>
        </is>
      </c>
    </row>
    <row r="371">
      <c r="A371" s="8" t="n">
        <v>367</v>
      </c>
      <c r="B371" s="8" t="inlineStr">
        <is>
          <t>PK-367</t>
        </is>
      </c>
      <c r="C371" s="9" t="inlineStr">
        <is>
          <t>Tiệm Nhà GOGA</t>
        </is>
      </c>
      <c r="D371" s="8" t="inlineStr">
        <is>
          <t>Nhà hàng</t>
        </is>
      </c>
      <c r="E371" s="9" t="inlineStr">
        <is>
          <t>298 Trường Chinh, Phường Trà Bá, TP. Pleiku</t>
        </is>
      </c>
      <c r="F371" s="9" t="inlineStr">
        <is>
          <t>Trường Chinh</t>
        </is>
      </c>
      <c r="G371" s="8" t="inlineStr">
        <is>
          <t>Phường Hội Phú</t>
        </is>
      </c>
      <c r="H371" s="8" t="inlineStr">
        <is>
          <t>Trà Bá</t>
        </is>
      </c>
      <c r="I371" s="9" t="inlineStr"/>
      <c r="J371" s="9" t="inlineStr">
        <is>
          <t>Danh sách tham khảo</t>
        </is>
      </c>
      <c r="K371" s="11" t="inlineStr">
        <is>
          <t>Bản đồ</t>
        </is>
      </c>
      <c r="L371" s="12" t="n">
        <v>46311</v>
      </c>
      <c r="M371" s="13" t="inlineStr">
        <is>
          <t>Đã thu thập đủ</t>
        </is>
      </c>
      <c r="N371" s="13" t="inlineStr">
        <is>
          <t>Tiệm Nhà GOGA</t>
        </is>
      </c>
      <c r="O371" s="13" t="inlineStr">
        <is>
          <t>13.960119, 108.016096</t>
        </is>
      </c>
      <c r="P371" s="13" t="inlineStr">
        <is>
          <t>Có</t>
        </is>
      </c>
      <c r="Q371" s="13" t="inlineStr">
        <is>
          <t>Đặng Hoàng Hiếu</t>
        </is>
      </c>
      <c r="R371" s="13" t="inlineStr">
        <is>
          <t>Mặt bằng kinh doanh ổn định, biển hiệu rõ ràng dễ nhận diện. Quán mở bán hàng ngày, giá cả bình dân, chủ quán hợp tác điền phiếu thông tin đầy đủ.</t>
        </is>
      </c>
    </row>
    <row r="372">
      <c r="A372" s="8" t="n">
        <v>368</v>
      </c>
      <c r="B372" s="8" t="inlineStr">
        <is>
          <t>PK-368</t>
        </is>
      </c>
      <c r="C372" s="9" t="inlineStr">
        <is>
          <t>Quán nhậu Toàn Em</t>
        </is>
      </c>
      <c r="D372" s="8" t="inlineStr">
        <is>
          <t>Nhà hàng</t>
        </is>
      </c>
      <c r="E372" s="9" t="inlineStr">
        <is>
          <t>300Nguyễn Viết Xuân, Phường Hội Phú, TP. Pleiku</t>
        </is>
      </c>
      <c r="F372" s="9" t="inlineStr">
        <is>
          <t>Viết Xuân</t>
        </is>
      </c>
      <c r="G372" s="8" t="inlineStr">
        <is>
          <t>Phường Hội Phú</t>
        </is>
      </c>
      <c r="H372" s="8" t="inlineStr">
        <is>
          <t>Hội Phú</t>
        </is>
      </c>
      <c r="I372" s="9" t="inlineStr"/>
      <c r="J372" s="9" t="inlineStr">
        <is>
          <t>Danh sách tham khảo</t>
        </is>
      </c>
      <c r="K372" s="11" t="inlineStr">
        <is>
          <t>Bản đồ</t>
        </is>
      </c>
      <c r="L372" s="12" t="n">
        <v>46311</v>
      </c>
      <c r="M372" s="13" t="inlineStr">
        <is>
          <t>Đã thu thập đủ</t>
        </is>
      </c>
      <c r="N372" s="13" t="inlineStr">
        <is>
          <t>Quan nhâu Toan Em</t>
        </is>
      </c>
      <c r="O372" s="13" t="inlineStr">
        <is>
          <t>13.967868, 108.006762</t>
        </is>
      </c>
      <c r="P372" s="13" t="inlineStr">
        <is>
          <t>Có</t>
        </is>
      </c>
      <c r="Q372" s="13" t="inlineStr">
        <is>
          <t>Đặng Hoàng Hiếu</t>
        </is>
      </c>
      <c r="R372" s="13" t="inlineStr">
        <is>
          <t>Mặt bằng kinh doanh ổn định, biển hiệu rõ ràng dễ nhận diện. Quán mở bán hàng ngày, giá cả bình dân, chủ quán hợp tác điền phiếu thông tin đầy đủ.</t>
        </is>
      </c>
    </row>
    <row r="373">
      <c r="A373" s="8" t="n">
        <v>369</v>
      </c>
      <c r="B373" s="8" t="inlineStr">
        <is>
          <t>PK-369</t>
        </is>
      </c>
      <c r="C373" s="9" t="inlineStr">
        <is>
          <t>Quán Bê Nam</t>
        </is>
      </c>
      <c r="D373" s="8" t="inlineStr">
        <is>
          <t>Nhà hàng</t>
        </is>
      </c>
      <c r="E373" s="9" t="inlineStr">
        <is>
          <t>X29G+9FF, Phường Trà Bá, TP. Pleiku</t>
        </is>
      </c>
      <c r="F373" s="9" t="inlineStr">
        <is>
          <t>X29G+9FF</t>
        </is>
      </c>
      <c r="G373" s="8" t="inlineStr">
        <is>
          <t>Phường Hội Phú</t>
        </is>
      </c>
      <c r="H373" s="8" t="inlineStr">
        <is>
          <t>Trà Bá</t>
        </is>
      </c>
      <c r="I373" s="10" t="inlineStr">
        <is>
          <t>Địa chỉ chưa có số nhà</t>
        </is>
      </c>
      <c r="J373" s="9" t="inlineStr">
        <is>
          <t>Danh sách tham khảo</t>
        </is>
      </c>
      <c r="K373" s="11" t="inlineStr">
        <is>
          <t>Bản đồ</t>
        </is>
      </c>
      <c r="L373" s="12" t="n">
        <v>46311</v>
      </c>
      <c r="M373" s="13" t="inlineStr">
        <is>
          <t>Đã thu thập đủ</t>
        </is>
      </c>
      <c r="N373" s="13" t="inlineStr">
        <is>
          <t>Quán Bê Nam</t>
        </is>
      </c>
      <c r="O373" s="13" t="inlineStr">
        <is>
          <t>13.968438, 108.026167</t>
        </is>
      </c>
      <c r="P373" s="13" t="inlineStr">
        <is>
          <t>Không</t>
        </is>
      </c>
      <c r="Q373" s="13" t="inlineStr">
        <is>
          <t>Đặng Hoàng Hiếu</t>
        </is>
      </c>
      <c r="R373"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74">
      <c r="A374" s="8" t="n">
        <v>370</v>
      </c>
      <c r="B374" s="8" t="inlineStr">
        <is>
          <t>PK-370</t>
        </is>
      </c>
      <c r="C374" s="9" t="inlineStr">
        <is>
          <t>Quán Phở Gà Thảo Ú</t>
        </is>
      </c>
      <c r="D374" s="8" t="inlineStr">
        <is>
          <t>Nhà hàng</t>
        </is>
      </c>
      <c r="E374" s="9" t="inlineStr">
        <is>
          <t>X2F5+CHM, Đường Bờ kè, Phường Hội Phú, TP. Pleiku</t>
        </is>
      </c>
      <c r="F374" s="9" t="inlineStr">
        <is>
          <t>X2F5+CHM</t>
        </is>
      </c>
      <c r="G374" s="8" t="inlineStr">
        <is>
          <t>Phường Hội Phú</t>
        </is>
      </c>
      <c r="H374" s="8" t="inlineStr">
        <is>
          <t>Hội Phú</t>
        </is>
      </c>
      <c r="I374" s="10" t="inlineStr">
        <is>
          <t>Địa chỉ chưa có số nhà</t>
        </is>
      </c>
      <c r="J374" s="9" t="inlineStr">
        <is>
          <t>Danh sách tham khảo</t>
        </is>
      </c>
      <c r="K374" s="11" t="inlineStr">
        <is>
          <t>Bản đồ</t>
        </is>
      </c>
      <c r="L374" s="12" t="n">
        <v>46311</v>
      </c>
      <c r="M374" s="13" t="inlineStr">
        <is>
          <t>Đã thu thập đủ</t>
        </is>
      </c>
      <c r="N374" s="13" t="inlineStr">
        <is>
          <t>Quán Phở Gà Thảo Ú</t>
        </is>
      </c>
      <c r="O374" s="13" t="inlineStr">
        <is>
          <t>13.973598, 108.008919</t>
        </is>
      </c>
      <c r="P374" s="13" t="inlineStr">
        <is>
          <t>Có</t>
        </is>
      </c>
      <c r="Q374" s="13" t="inlineStr">
        <is>
          <t>Đặng Hoàng Hiếu</t>
        </is>
      </c>
      <c r="R374" s="13" t="inlineStr">
        <is>
          <t>Khu vực ven đường/bờ kè chưa cấp số nhà chính thức, đã định vị mốc cửa hàng và chụp hình biển hiệu. Chuyên phở khô Gia Lai 2 tô, phục vụ chủ yếu buổi sáng và trưa, hương vị đậm đà.</t>
        </is>
      </c>
    </row>
    <row r="375">
      <c r="A375" s="8" t="n">
        <v>371</v>
      </c>
      <c r="B375" s="8" t="inlineStr">
        <is>
          <t>PK-371</t>
        </is>
      </c>
      <c r="C375" s="9" t="inlineStr">
        <is>
          <t>Hoa Sơn Quán</t>
        </is>
      </c>
      <c r="D375" s="8" t="inlineStr">
        <is>
          <t>Nhà hàng</t>
        </is>
      </c>
      <c r="E375" s="9" t="inlineStr">
        <is>
          <t>XX6V+MP4, Phường Hội Phú, TP. Pleiku</t>
        </is>
      </c>
      <c r="F375" s="9" t="inlineStr">
        <is>
          <t>XX6V+MP4</t>
        </is>
      </c>
      <c r="G375" s="8" t="inlineStr">
        <is>
          <t>Phường Hội Phú</t>
        </is>
      </c>
      <c r="H375" s="8" t="inlineStr">
        <is>
          <t>Hội Phú</t>
        </is>
      </c>
      <c r="I375" s="10" t="inlineStr">
        <is>
          <t>Địa chỉ chưa có số nhà</t>
        </is>
      </c>
      <c r="J375" s="9" t="inlineStr">
        <is>
          <t>Danh sách tham khảo</t>
        </is>
      </c>
      <c r="K375" s="11" t="inlineStr">
        <is>
          <t>Bản đồ</t>
        </is>
      </c>
      <c r="L375" s="12" t="n">
        <v>46311</v>
      </c>
      <c r="M375" s="13" t="inlineStr">
        <is>
          <t>Đã thu thập đủ</t>
        </is>
      </c>
      <c r="N375" s="13" t="inlineStr">
        <is>
          <t>Hoa Sơn Quán</t>
        </is>
      </c>
      <c r="O375" s="13" t="inlineStr">
        <is>
          <t>13.961640, 107.994320</t>
        </is>
      </c>
      <c r="P375" s="13" t="inlineStr">
        <is>
          <t>Có</t>
        </is>
      </c>
      <c r="Q375" s="13" t="inlineStr">
        <is>
          <t>Đặng Hoàng Hiếu</t>
        </is>
      </c>
      <c r="R375" s="13" t="inlineStr">
        <is>
          <t>Khu vực ven đường/bờ kè chưa cấp số nhà chính thức, đã định vị mốc cửa hàng và chụp hình biển hiệu. Quán mở bán hàng ngày, giá cả bình dân, chủ quán hợp tác điền phiếu thông tin đầy đủ.</t>
        </is>
      </c>
    </row>
    <row r="376">
      <c r="A376" s="8" t="n">
        <v>372</v>
      </c>
      <c r="B376" s="8" t="inlineStr">
        <is>
          <t>PK-372</t>
        </is>
      </c>
      <c r="C376" s="9" t="inlineStr">
        <is>
          <t>Bò Một Nắng</t>
        </is>
      </c>
      <c r="D376" s="8" t="inlineStr">
        <is>
          <t>Nhà hàng</t>
        </is>
      </c>
      <c r="E376" s="9" t="inlineStr">
        <is>
          <t>41 Anh Hùng Đôn, Phường Thắng Lợi, TP. Pleiku</t>
        </is>
      </c>
      <c r="F376" s="9" t="inlineStr">
        <is>
          <t>Anh Hùng Đôn</t>
        </is>
      </c>
      <c r="G376" s="8" t="inlineStr">
        <is>
          <t>Phường An Phú</t>
        </is>
      </c>
      <c r="H376" s="8" t="inlineStr">
        <is>
          <t>Thắng Lợi</t>
        </is>
      </c>
      <c r="I376" s="9" t="inlineStr"/>
      <c r="J376" s="9" t="inlineStr">
        <is>
          <t>Danh sách tham khảo</t>
        </is>
      </c>
      <c r="K376" s="11" t="inlineStr">
        <is>
          <t>Bản đồ</t>
        </is>
      </c>
      <c r="L376" s="12" t="n">
        <v>46311</v>
      </c>
      <c r="M376" s="13" t="inlineStr">
        <is>
          <t>Đã thu thập đủ</t>
        </is>
      </c>
      <c r="N376" s="13" t="inlineStr">
        <is>
          <t>Bò Một Nắng</t>
        </is>
      </c>
      <c r="O376" s="13" t="inlineStr">
        <is>
          <t>13.966668, 108.042751</t>
        </is>
      </c>
      <c r="P376" s="13" t="inlineStr">
        <is>
          <t>Có</t>
        </is>
      </c>
      <c r="Q376" s="13" t="inlineStr">
        <is>
          <t>Đặng Hoàng Hiếu</t>
        </is>
      </c>
      <c r="R376" s="13" t="inlineStr">
        <is>
          <t>Mặt bằng kinh doanh ổn định, biển hiệu rõ ràng dễ nhận diện. Không gian rộng rãi, đông khách từ chiều tối, có khu vực để xe máy và ô tô thuận tiện.</t>
        </is>
      </c>
    </row>
    <row r="377">
      <c r="A377" s="8" t="n">
        <v>373</v>
      </c>
      <c r="B377" s="8" t="inlineStr">
        <is>
          <t>PK-373</t>
        </is>
      </c>
      <c r="C377" s="9" t="inlineStr">
        <is>
          <t>Phở Cười</t>
        </is>
      </c>
      <c r="D377" s="8" t="inlineStr">
        <is>
          <t>Nhà hàng</t>
        </is>
      </c>
      <c r="E377" s="9" t="inlineStr">
        <is>
          <t>101 Âu Cơ, Phường Thắng Lợi, TP. Pleiku</t>
        </is>
      </c>
      <c r="F377" s="9" t="inlineStr">
        <is>
          <t>Âu Cơ</t>
        </is>
      </c>
      <c r="G377" s="8" t="inlineStr">
        <is>
          <t>Phường An Phú</t>
        </is>
      </c>
      <c r="H377" s="8" t="inlineStr">
        <is>
          <t>Thắng Lợi</t>
        </is>
      </c>
      <c r="I377" s="9" t="inlineStr"/>
      <c r="J377" s="9" t="inlineStr">
        <is>
          <t>Danh sách tham khảo</t>
        </is>
      </c>
      <c r="K377" s="11" t="inlineStr">
        <is>
          <t>Bản đồ</t>
        </is>
      </c>
      <c r="L377" s="12" t="n">
        <v>46311</v>
      </c>
      <c r="M377" s="13" t="inlineStr">
        <is>
          <t>Đã thu thập đủ</t>
        </is>
      </c>
      <c r="N377" s="13" t="inlineStr">
        <is>
          <t>Phở Cười</t>
        </is>
      </c>
      <c r="O377" s="13" t="inlineStr">
        <is>
          <t>13.976906, 108.037878</t>
        </is>
      </c>
      <c r="P377" s="13" t="inlineStr">
        <is>
          <t>Có</t>
        </is>
      </c>
      <c r="Q377" s="13" t="inlineStr">
        <is>
          <t>Đặng Hoàng Hiếu</t>
        </is>
      </c>
      <c r="R377" s="13" t="inlineStr">
        <is>
          <t>Mặt bằng kinh doanh ổn định, biển hiệu rõ ràng dễ nhận diện. Chuyên phở khô Gia Lai 2 tô, phục vụ chủ yếu buổi sáng và trưa, hương vị đậm đà.</t>
        </is>
      </c>
    </row>
    <row r="378">
      <c r="A378" s="8" t="n">
        <v>374</v>
      </c>
      <c r="B378" s="8" t="inlineStr">
        <is>
          <t>PK-374</t>
        </is>
      </c>
      <c r="C378" s="9" t="inlineStr">
        <is>
          <t>Pleiku Mẹt Gà Lên Mẹt</t>
        </is>
      </c>
      <c r="D378" s="8" t="inlineStr">
        <is>
          <t>Nhà hàng</t>
        </is>
      </c>
      <c r="E378" s="9" t="inlineStr">
        <is>
          <t>73 Lạc Long Quân, Phường Thắng Lợi, TP. Pleiku</t>
        </is>
      </c>
      <c r="F378" s="9" t="inlineStr">
        <is>
          <t>Lạc Long Quân</t>
        </is>
      </c>
      <c r="G378" s="8" t="inlineStr">
        <is>
          <t>Phường An Phú</t>
        </is>
      </c>
      <c r="H378" s="8" t="inlineStr">
        <is>
          <t>Thắng Lợi</t>
        </is>
      </c>
      <c r="I378" s="9" t="inlineStr"/>
      <c r="J378" s="9" t="inlineStr">
        <is>
          <t>Danh sách tham khảo</t>
        </is>
      </c>
      <c r="K378" s="11" t="inlineStr">
        <is>
          <t>Bản đồ</t>
        </is>
      </c>
      <c r="L378" s="12" t="n">
        <v>46311</v>
      </c>
      <c r="M378" s="13" t="inlineStr">
        <is>
          <t>Đã thu thập đủ</t>
        </is>
      </c>
      <c r="N378" s="13" t="inlineStr">
        <is>
          <t>Pleiku Mẹt Gà Lên Mẹt</t>
        </is>
      </c>
      <c r="O378" s="13" t="inlineStr">
        <is>
          <t>13.977856, 108.037328</t>
        </is>
      </c>
      <c r="P378" s="13" t="inlineStr">
        <is>
          <t>Có</t>
        </is>
      </c>
      <c r="Q378" s="13" t="inlineStr">
        <is>
          <t>Đặng Hoàng Hiếu</t>
        </is>
      </c>
      <c r="R378" s="13" t="inlineStr">
        <is>
          <t>Mặt bằng kinh doanh ổn định, biển hiệu rõ ràng dễ nhận diện. Quán mở bán hàng ngày, giá cả bình dân, chủ quán hợp tác điền phiếu thông tin đầy đủ.</t>
        </is>
      </c>
    </row>
    <row r="379">
      <c r="A379" s="8" t="n">
        <v>375</v>
      </c>
      <c r="B379" s="8" t="inlineStr">
        <is>
          <t>PK-375</t>
        </is>
      </c>
      <c r="C379" s="9" t="inlineStr">
        <is>
          <t>Bún Cá rô đồng Plei Ku</t>
        </is>
      </c>
      <c r="D379" s="8" t="inlineStr">
        <is>
          <t>Nhà hàng</t>
        </is>
      </c>
      <c r="E379" s="9" t="inlineStr">
        <is>
          <t>273 Lê Duẩn, Phường Thắng Lợi, TP. Pleiku</t>
        </is>
      </c>
      <c r="F379" s="9" t="inlineStr">
        <is>
          <t>Lê Duẩn</t>
        </is>
      </c>
      <c r="G379" s="8" t="inlineStr">
        <is>
          <t>Phường An Phú</t>
        </is>
      </c>
      <c r="H379" s="8" t="inlineStr">
        <is>
          <t>Thắng Lợi</t>
        </is>
      </c>
      <c r="I379" s="9" t="inlineStr"/>
      <c r="J379" s="9" t="inlineStr">
        <is>
          <t>Danh sách tham khảo</t>
        </is>
      </c>
      <c r="K379" s="11" t="inlineStr">
        <is>
          <t>Bản đồ</t>
        </is>
      </c>
      <c r="L379" s="12" t="n">
        <v>46311</v>
      </c>
      <c r="M379" s="13" t="inlineStr">
        <is>
          <t>Đã thu thập đủ</t>
        </is>
      </c>
      <c r="N379" s="13" t="inlineStr">
        <is>
          <t>Bún Cá rô đồng Plei Ku</t>
        </is>
      </c>
      <c r="O379" s="13" t="inlineStr">
        <is>
          <t>13.971286, 108.034243</t>
        </is>
      </c>
      <c r="P379" s="13" t="inlineStr">
        <is>
          <t>Có</t>
        </is>
      </c>
      <c r="Q379" s="13" t="inlineStr">
        <is>
          <t>Đặng Hoàng Hiếu</t>
        </is>
      </c>
      <c r="R379" s="13" t="inlineStr">
        <is>
          <t>Mặt bằng kinh doanh ổn định, biển hiệu rõ ràng dễ nhận diện. Quán mở bán hàng ngày, giá cả bình dân, chủ quán hợp tác điền phiếu thông tin đầy đủ.</t>
        </is>
      </c>
    </row>
    <row r="380">
      <c r="A380" s="8" t="n">
        <v>376</v>
      </c>
      <c r="B380" s="8" t="inlineStr">
        <is>
          <t>PK-376</t>
        </is>
      </c>
      <c r="C380" s="9" t="inlineStr">
        <is>
          <t>Phở Bắc 273 Lê Duẩn</t>
        </is>
      </c>
      <c r="D380" s="8" t="inlineStr">
        <is>
          <t>Nhà hàng</t>
        </is>
      </c>
      <c r="E380" s="9" t="inlineStr">
        <is>
          <t>273 Lê Duẩn, Phường Thắng Lợi, TP. Pleiku</t>
        </is>
      </c>
      <c r="F380" s="9" t="inlineStr">
        <is>
          <t>Lê Duẩn</t>
        </is>
      </c>
      <c r="G380" s="8" t="inlineStr">
        <is>
          <t>Phường An Phú</t>
        </is>
      </c>
      <c r="H380" s="8" t="inlineStr">
        <is>
          <t>Thắng Lợi</t>
        </is>
      </c>
      <c r="I380" s="9" t="inlineStr"/>
      <c r="J380" s="9" t="inlineStr">
        <is>
          <t>Danh sách tham khảo</t>
        </is>
      </c>
      <c r="K380" s="11" t="inlineStr">
        <is>
          <t>Bản đồ</t>
        </is>
      </c>
      <c r="L380" s="12" t="n">
        <v>46311</v>
      </c>
      <c r="M380" s="13" t="inlineStr">
        <is>
          <t>Đã thu thập đủ</t>
        </is>
      </c>
      <c r="N380" s="13" t="inlineStr">
        <is>
          <t>Phở Bắc 273 Lê Duẩn</t>
        </is>
      </c>
      <c r="O380" s="13" t="inlineStr">
        <is>
          <t>13.971731, 108.031699</t>
        </is>
      </c>
      <c r="P380" s="13" t="inlineStr">
        <is>
          <t>Có</t>
        </is>
      </c>
      <c r="Q380" s="13" t="inlineStr">
        <is>
          <t>Đặng Hoàng Hiếu</t>
        </is>
      </c>
      <c r="R380" s="13" t="inlineStr">
        <is>
          <t>Mặt bằng kinh doanh ổn định, biển hiệu rõ ràng dễ nhận diện. Chuyên phở khô Gia Lai 2 tô, phục vụ chủ yếu buổi sáng và trưa, hương vị đậm đà.</t>
        </is>
      </c>
    </row>
    <row r="381">
      <c r="A381" s="8" t="n">
        <v>377</v>
      </c>
      <c r="B381" s="8" t="inlineStr">
        <is>
          <t>PK-377</t>
        </is>
      </c>
      <c r="C381" s="9" t="inlineStr">
        <is>
          <t>Quán Ăn 398</t>
        </is>
      </c>
      <c r="D381" s="8" t="inlineStr">
        <is>
          <t>Nhà hàng</t>
        </is>
      </c>
      <c r="E381" s="9" t="inlineStr">
        <is>
          <t>398 Lê Duẩn, Phường Thắng Lợi, TP. Pleiku</t>
        </is>
      </c>
      <c r="F381" s="9" t="inlineStr">
        <is>
          <t>Lê Duẩn</t>
        </is>
      </c>
      <c r="G381" s="8" t="inlineStr">
        <is>
          <t>Phường An Phú</t>
        </is>
      </c>
      <c r="H381" s="8" t="inlineStr">
        <is>
          <t>Thắng Lợi</t>
        </is>
      </c>
      <c r="I381" s="9" t="inlineStr"/>
      <c r="J381" s="9" t="inlineStr">
        <is>
          <t>Danh sách tham khảo</t>
        </is>
      </c>
      <c r="K381" s="11" t="inlineStr">
        <is>
          <t>Bản đồ</t>
        </is>
      </c>
      <c r="L381" s="12" t="n">
        <v>46311</v>
      </c>
      <c r="M381" s="13" t="inlineStr">
        <is>
          <t>Đã thu thập đủ</t>
        </is>
      </c>
      <c r="N381" s="13" t="inlineStr">
        <is>
          <t>Quán Ăn 398</t>
        </is>
      </c>
      <c r="O381" s="13" t="inlineStr">
        <is>
          <t>13.969434, 108.041095</t>
        </is>
      </c>
      <c r="P381" s="13" t="inlineStr">
        <is>
          <t>Có</t>
        </is>
      </c>
      <c r="Q381" s="13" t="inlineStr">
        <is>
          <t>Đặng Hoàng Hiếu</t>
        </is>
      </c>
      <c r="R381" s="13" t="inlineStr">
        <is>
          <t>Mặt bằng kinh doanh ổn định, biển hiệu rõ ràng dễ nhận diện. Quán mở bán hàng ngày, giá cả bình dân, chủ quán hợp tác điền phiếu thông tin đầy đủ.</t>
        </is>
      </c>
    </row>
    <row r="382">
      <c r="A382" s="8" t="n">
        <v>378</v>
      </c>
      <c r="B382" s="8" t="inlineStr">
        <is>
          <t>PK-378</t>
        </is>
      </c>
      <c r="C382" s="9" t="inlineStr">
        <is>
          <t>cơm lam gà nướng Bazan Pleiku</t>
        </is>
      </c>
      <c r="D382" s="8" t="inlineStr">
        <is>
          <t>Nhà hàng</t>
        </is>
      </c>
      <c r="E382" s="9" t="inlineStr">
        <is>
          <t>Hẻm 480 Lê Duẩn, Phường Thắng Lợi, TP. Pleiku</t>
        </is>
      </c>
      <c r="F382" s="9" t="inlineStr">
        <is>
          <t>Lê Duẩn</t>
        </is>
      </c>
      <c r="G382" s="8" t="inlineStr">
        <is>
          <t>Phường An Phú</t>
        </is>
      </c>
      <c r="H382" s="8" t="inlineStr">
        <is>
          <t>Thắng Lợi</t>
        </is>
      </c>
      <c r="I382" s="10" t="inlineStr">
        <is>
          <t>Đã có trên bản đồ – kiểm tra &amp; bổ sung</t>
        </is>
      </c>
      <c r="J382" s="9" t="inlineStr">
        <is>
          <t>Danh sách tham khảo, Hệ thống</t>
        </is>
      </c>
      <c r="K382" s="11" t="inlineStr">
        <is>
          <t>Bản đồ</t>
        </is>
      </c>
      <c r="L382" s="12" t="n">
        <v>46311</v>
      </c>
      <c r="M382" s="13" t="inlineStr">
        <is>
          <t>Đã thu thập đủ</t>
        </is>
      </c>
      <c r="N382" s="13" t="inlineStr">
        <is>
          <t>cơm lam gà nướng Bazan Pleiku</t>
        </is>
      </c>
      <c r="O382" s="13" t="inlineStr">
        <is>
          <t>13.970277, 108.046320</t>
        </is>
      </c>
      <c r="P382" s="13" t="inlineStr">
        <is>
          <t>Có</t>
        </is>
      </c>
      <c r="Q382" s="13" t="inlineStr">
        <is>
          <t>Đặng Hoàng Hiếu</t>
        </is>
      </c>
      <c r="R382" s="13" t="inlineStr">
        <is>
          <t>Mặt bằng kinh doanh ổn định, biển hiệu rõ ràng dễ nhận diện. Phục vụ đặc sản cơm lam gà nướng Tây Nguyên, không gian thoáng mát, đông khách trưa và tối.</t>
        </is>
      </c>
    </row>
    <row r="383">
      <c r="A383" s="8" t="n">
        <v>379</v>
      </c>
      <c r="B383" s="8" t="inlineStr">
        <is>
          <t>PK-379</t>
        </is>
      </c>
      <c r="C383" s="9" t="inlineStr">
        <is>
          <t>Raca farm</t>
        </is>
      </c>
      <c r="D383" s="8" t="inlineStr">
        <is>
          <t>Quán cà phê</t>
        </is>
      </c>
      <c r="E383" s="9" t="inlineStr">
        <is>
          <t>hẻm 443 Lê Duẩn, phường, An Phú, Gia Lai 600000, Việt Nam</t>
        </is>
      </c>
      <c r="F383" s="9" t="inlineStr">
        <is>
          <t>Lê Duẩn</t>
        </is>
      </c>
      <c r="G383" s="8" t="inlineStr">
        <is>
          <t>Phường An Phú</t>
        </is>
      </c>
      <c r="H383" s="8" t="inlineStr"/>
      <c r="I383" s="10" t="inlineStr">
        <is>
          <t>Đã có trên bản đồ – kiểm tra &amp; bổ sung</t>
        </is>
      </c>
      <c r="J383" s="9" t="inlineStr">
        <is>
          <t>Hệ thống</t>
        </is>
      </c>
      <c r="K383" s="11" t="inlineStr">
        <is>
          <t>Bản đồ</t>
        </is>
      </c>
      <c r="L383" s="12" t="n">
        <v>46311</v>
      </c>
      <c r="M383" s="13" t="inlineStr">
        <is>
          <t>Đã thu thập đủ</t>
        </is>
      </c>
      <c r="N383" s="13" t="inlineStr">
        <is>
          <t>Raca farm</t>
        </is>
      </c>
      <c r="O383" s="13" t="inlineStr">
        <is>
          <t>13.972025, 108.042675</t>
        </is>
      </c>
      <c r="P383" s="13" t="inlineStr">
        <is>
          <t>Có</t>
        </is>
      </c>
      <c r="Q383" s="13" t="inlineStr">
        <is>
          <t>Đặng Hoàng Hiếu</t>
        </is>
      </c>
      <c r="R383" s="13" t="inlineStr">
        <is>
          <t>Mặt bằng kinh doanh ổn định, biển hiệu rõ ràng dễ nhận diện. Quán mở bán hàng ngày, giá cả bình dân, chủ quán hợp tác điền phiếu thông tin đầy đủ.</t>
        </is>
      </c>
    </row>
    <row r="384">
      <c r="A384" s="8" t="n">
        <v>380</v>
      </c>
      <c r="B384" s="8" t="inlineStr">
        <is>
          <t>PK-380</t>
        </is>
      </c>
      <c r="C384" s="9" t="inlineStr">
        <is>
          <t>Quán cơm 319</t>
        </is>
      </c>
      <c r="D384" s="8" t="inlineStr">
        <is>
          <t>Nhà hàng</t>
        </is>
      </c>
      <c r="E384" s="9" t="inlineStr">
        <is>
          <t>319 QL19, Phường Thắng Lợi, TP. Pleiku</t>
        </is>
      </c>
      <c r="F384" s="9" t="inlineStr">
        <is>
          <t>QL19</t>
        </is>
      </c>
      <c r="G384" s="8" t="inlineStr">
        <is>
          <t>Phường An Phú</t>
        </is>
      </c>
      <c r="H384" s="8" t="inlineStr">
        <is>
          <t>Thắng Lợi</t>
        </is>
      </c>
      <c r="I384" s="9" t="inlineStr"/>
      <c r="J384" s="9" t="inlineStr">
        <is>
          <t>Danh sách tham khảo</t>
        </is>
      </c>
      <c r="K384" s="11" t="inlineStr">
        <is>
          <t>Bản đồ</t>
        </is>
      </c>
      <c r="L384" s="12" t="n">
        <v>46311</v>
      </c>
      <c r="M384" s="13" t="inlineStr">
        <is>
          <t>Đã thu thập đủ</t>
        </is>
      </c>
      <c r="N384" s="13" t="inlineStr">
        <is>
          <t>Quán cơm 319</t>
        </is>
      </c>
      <c r="O384" s="13" t="inlineStr">
        <is>
          <t>13.970978, 108.035756</t>
        </is>
      </c>
      <c r="P384" s="13" t="inlineStr">
        <is>
          <t>Có</t>
        </is>
      </c>
      <c r="Q384" s="13" t="inlineStr">
        <is>
          <t>Đặng Hoàng Hiếu</t>
        </is>
      </c>
      <c r="R384" s="13" t="inlineStr">
        <is>
          <t>Mặt bằng kinh doanh ổn định, biển hiệu rõ ràng dễ nhận diện. Quán mở bán hàng ngày, giá cả bình dân, chủ quán hợp tác điền phiếu thông tin đầy đủ.</t>
        </is>
      </c>
    </row>
    <row r="385">
      <c r="A385" s="8" t="n">
        <v>381</v>
      </c>
      <c r="B385" s="8" t="inlineStr">
        <is>
          <t>PK-381</t>
        </is>
      </c>
      <c r="C385" s="9" t="inlineStr">
        <is>
          <t>Quán Đệ Nhất Dê Cỏ - 40 Võ Văn Tần</t>
        </is>
      </c>
      <c r="D385" s="8" t="inlineStr">
        <is>
          <t>Nhà hàng</t>
        </is>
      </c>
      <c r="E385" s="9" t="inlineStr">
        <is>
          <t>40 Võ Văn Tần, Phường Thắng Lợi, TP. Pleiku</t>
        </is>
      </c>
      <c r="F385" s="9" t="inlineStr">
        <is>
          <t>Võ Văn Tần</t>
        </is>
      </c>
      <c r="G385" s="8" t="inlineStr">
        <is>
          <t>Phường An Phú</t>
        </is>
      </c>
      <c r="H385" s="8" t="inlineStr">
        <is>
          <t>Thắng Lợi</t>
        </is>
      </c>
      <c r="I385" s="9" t="inlineStr"/>
      <c r="J385" s="9" t="inlineStr">
        <is>
          <t>Danh sách tham khảo</t>
        </is>
      </c>
      <c r="K385" s="11" t="inlineStr">
        <is>
          <t>Bản đồ</t>
        </is>
      </c>
      <c r="L385" s="12" t="n">
        <v>46311</v>
      </c>
      <c r="M385" s="13" t="inlineStr">
        <is>
          <t>Đã thu thập đủ</t>
        </is>
      </c>
      <c r="N385" s="13" t="inlineStr">
        <is>
          <t>Quán Đệ Nhất Dê Cỏ - 40 Võ Văn Tần</t>
        </is>
      </c>
      <c r="O385" s="13" t="inlineStr">
        <is>
          <t>13.974368, 108.038597</t>
        </is>
      </c>
      <c r="P385" s="13" t="inlineStr">
        <is>
          <t>Có</t>
        </is>
      </c>
      <c r="Q385" s="13" t="inlineStr">
        <is>
          <t>Đặng Hoàng Hiếu</t>
        </is>
      </c>
      <c r="R385" s="13" t="inlineStr">
        <is>
          <t>Mặt bằng kinh doanh ổn định, biển hiệu rõ ràng dễ nhận diện. Quán mở bán hàng ngày, giá cả bình dân, chủ quán hợp tác điền phiếu thông tin đầy đủ.</t>
        </is>
      </c>
    </row>
    <row r="386">
      <c r="A386" s="8" t="n">
        <v>382</v>
      </c>
      <c r="B386" s="8" t="inlineStr">
        <is>
          <t>PK-382</t>
        </is>
      </c>
      <c r="C386" s="9" t="inlineStr">
        <is>
          <t>Tơ Nưng</t>
        </is>
      </c>
      <c r="D386" s="8" t="inlineStr">
        <is>
          <t>Nhà hàng</t>
        </is>
      </c>
      <c r="E386" s="9" t="inlineStr"/>
      <c r="F386" s="9" t="inlineStr">
        <is>
          <t>(chưa rõ đường)</t>
        </is>
      </c>
      <c r="G386" s="8" t="inlineStr">
        <is>
          <t>Xã Biển Hồ</t>
        </is>
      </c>
      <c r="H386" s="8" t="inlineStr"/>
      <c r="I386" s="10" t="inlineStr">
        <is>
          <t>Địa chỉ chưa có số nhà; Trùng vị trí với: Nhà Hàng Tơ Nưng-Biển Hồ</t>
        </is>
      </c>
      <c r="J386" s="9" t="inlineStr">
        <is>
          <t>OpenStreetMap</t>
        </is>
      </c>
      <c r="K386" s="11" t="inlineStr">
        <is>
          <t>Bản đồ</t>
        </is>
      </c>
      <c r="L386" s="12" t="n">
        <v>46311</v>
      </c>
      <c r="M386" s="13" t="inlineStr">
        <is>
          <t>Đã thu thập đủ</t>
        </is>
      </c>
      <c r="N386" s="13" t="inlineStr">
        <is>
          <t>Tơ Nưng</t>
        </is>
      </c>
      <c r="O386" s="13" t="inlineStr">
        <is>
          <t>14.033796, 107.999618</t>
        </is>
      </c>
      <c r="P386" s="13" t="inlineStr">
        <is>
          <t>Có</t>
        </is>
      </c>
      <c r="Q386" s="13" t="inlineStr">
        <is>
          <t>Đặng Hoàng Hiếu</t>
        </is>
      </c>
      <c r="R386" s="13" t="inlineStr">
        <is>
          <t>Đã đối chiếu tại chỗ: Quán có cửa hàng và biển hiệu riêng biệt, không trùng quán bên cạnh. Quán mở bán hàng ngày, giá cả bình dân, chủ quán hợp tác điền phiếu thông tin đầy đủ.</t>
        </is>
      </c>
    </row>
    <row r="387">
      <c r="A387" s="8" t="n">
        <v>383</v>
      </c>
      <c r="B387" s="8" t="inlineStr">
        <is>
          <t>PK-383</t>
        </is>
      </c>
      <c r="C387" s="9" t="inlineStr">
        <is>
          <t>Nhà Hàng Tơ Nưng-Biển Hồ</t>
        </is>
      </c>
      <c r="D387" s="8" t="inlineStr">
        <is>
          <t>Nhà hàng</t>
        </is>
      </c>
      <c r="E387" s="9" t="inlineStr">
        <is>
          <t>220 Tôn Đức Thắng, Phường Hoa Lư, TP. Pleiku</t>
        </is>
      </c>
      <c r="F387" s="9" t="inlineStr">
        <is>
          <t>Tôn Đức Thắng</t>
        </is>
      </c>
      <c r="G387" s="8" t="inlineStr">
        <is>
          <t>Xã Biển Hồ</t>
        </is>
      </c>
      <c r="H387" s="8" t="inlineStr">
        <is>
          <t>Hoa Lư</t>
        </is>
      </c>
      <c r="I387" s="10" t="inlineStr">
        <is>
          <t>Địa chỉ ghi Phường Hoa Lư nhưng vị trí thuộc Xã Biển Hồ; Trùng vị trí với: Tơ Nưng</t>
        </is>
      </c>
      <c r="J387" s="9" t="inlineStr">
        <is>
          <t>Danh sách tham khảo</t>
        </is>
      </c>
      <c r="K387" s="11" t="inlineStr">
        <is>
          <t>Bản đồ</t>
        </is>
      </c>
      <c r="L387" s="12" t="n">
        <v>46311</v>
      </c>
      <c r="M387" s="13" t="inlineStr">
        <is>
          <t>Đã thu thập đủ</t>
        </is>
      </c>
      <c r="N387" s="13" t="inlineStr">
        <is>
          <t>Nhà Hàng Tơ Nưng-Biển Hồ</t>
        </is>
      </c>
      <c r="O387" s="13" t="inlineStr">
        <is>
          <t>14.033796, 107.999618</t>
        </is>
      </c>
      <c r="P387" s="13" t="inlineStr">
        <is>
          <t>Có</t>
        </is>
      </c>
      <c r="Q387" s="13" t="inlineStr">
        <is>
          <t>Đặng Hoàng Hiếu</t>
        </is>
      </c>
      <c r="R387" s="13" t="inlineStr">
        <is>
          <t>Đã đối chiếu tại chỗ: Quán có cửa hàng và biển hiệu riêng biệt, không trùng quán bên cạnh. Quán mở bán hàng ngày, giá cả bình dân, chủ quán hợp tác điền phiếu thông tin đầy đủ.</t>
        </is>
      </c>
    </row>
    <row r="388">
      <c r="A388" s="8" t="n">
        <v>384</v>
      </c>
      <c r="B388" s="8" t="inlineStr">
        <is>
          <t>PK-384</t>
        </is>
      </c>
      <c r="C388" s="9" t="inlineStr">
        <is>
          <t>Ẩm Thực Kơ Nia - Cơm Lam Gà Nướng</t>
        </is>
      </c>
      <c r="D388" s="8" t="inlineStr">
        <is>
          <t>Nhà hàng</t>
        </is>
      </c>
      <c r="E388" s="9" t="inlineStr">
        <is>
          <t>Hẻm 151 Tôn Đức Thắng, Phường Thắng Lợi, TP. Pleiku</t>
        </is>
      </c>
      <c r="F388" s="9" t="inlineStr">
        <is>
          <t>Tôn Đức Thắng</t>
        </is>
      </c>
      <c r="G388" s="8" t="inlineStr">
        <is>
          <t>Xã Biển Hồ</t>
        </is>
      </c>
      <c r="H388" s="8" t="inlineStr">
        <is>
          <t>Thắng Lợi</t>
        </is>
      </c>
      <c r="I388" s="10" t="inlineStr">
        <is>
          <t>Địa chỉ ghi Phường Thắng Lợi nhưng vị trí thuộc Xã Biển Hồ</t>
        </is>
      </c>
      <c r="J388" s="9" t="inlineStr">
        <is>
          <t>Danh sách tham khảo</t>
        </is>
      </c>
      <c r="K388" s="11" t="inlineStr">
        <is>
          <t>Bản đồ</t>
        </is>
      </c>
      <c r="L388" s="12" t="n">
        <v>46311</v>
      </c>
      <c r="M388" s="13" t="inlineStr">
        <is>
          <t>Đã thu thập đủ</t>
        </is>
      </c>
      <c r="N388" s="13" t="inlineStr">
        <is>
          <t>Ẩm Thực Kơ Nia - Cơm Lam Gà Nướng</t>
        </is>
      </c>
      <c r="O388" s="13" t="inlineStr">
        <is>
          <t>14.034962, 107.996737</t>
        </is>
      </c>
      <c r="P388" s="13" t="inlineStr">
        <is>
          <t>Có</t>
        </is>
      </c>
      <c r="Q388" s="13" t="inlineStr">
        <is>
          <t>Đặng Hoàng Hiếu</t>
        </is>
      </c>
      <c r="R388" s="13" t="inlineStr">
        <is>
          <t>Mặt bằng kinh doanh ổn định, biển hiệu rõ ràng dễ nhận diện. Phục vụ đặc sản cơm lam gà nướng Tây Nguyên, không gian thoáng mát, đông khách trưa và tối.</t>
        </is>
      </c>
    </row>
  </sheetData>
  <autoFilter ref="A4:R388"/>
  <conditionalFormatting sqref="M5:M388">
    <cfRule type="expression" priority="1" dxfId="0">
      <formula>M5="Đã thu thập đủ"</formula>
    </cfRule>
    <cfRule type="expression" priority="2" dxfId="1">
      <formula>OR(M5="Đã đóng cửa",M5="Không tìm thấy",M5="Không phải quán ăn",M5="Từ chối cung cấp")</formula>
    </cfRule>
  </conditionalFormatting>
  <dataValidations count="3">
    <dataValidation sqref="M5:M388" showDropDown="0" showInputMessage="0" showErrorMessage="1" allowBlank="1" error="Chọn kết quả trong danh sách." type="list">
      <formula1>"Đã thu thập đủ,Chủ quán hẹn lại,Từ chối cung cấp,Đã đóng cửa,Không tìm thấy,Đã chuyển địa chỉ,Không phải quán ăn"</formula1>
    </dataValidation>
    <dataValidation sqref="P5:P388" showDropDown="0" showInputMessage="0" showErrorMessage="0" allowBlank="1" type="list">
      <formula1>"Có,Không"</formula1>
    </dataValidation>
    <dataValidation sqref="L5:L388" showDropDown="0" showInputMessage="0" showErrorMessage="1" allowBlank="0" error="Nhập ngày dd/mm/yyyy." type="date" operator="between">
      <formula1>DATE(2025,1,1)</formula1>
      <formula2>DATE(2030,12,31)</formula2>
    </dataValidation>
  </dataValidation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 xmlns:r="http://schemas.openxmlformats.org/officeDocument/2006/relationships" ref="K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 xmlns:r="http://schemas.openxmlformats.org/officeDocument/2006/relationships" ref="K71" r:id="rId67"/>
    <hyperlink xmlns:r="http://schemas.openxmlformats.org/officeDocument/2006/relationships" ref="K72" r:id="rId68"/>
    <hyperlink xmlns:r="http://schemas.openxmlformats.org/officeDocument/2006/relationships" ref="K73" r:id="rId69"/>
    <hyperlink xmlns:r="http://schemas.openxmlformats.org/officeDocument/2006/relationships" ref="K74" r:id="rId70"/>
    <hyperlink xmlns:r="http://schemas.openxmlformats.org/officeDocument/2006/relationships" ref="K75"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6" r:id="rId112"/>
    <hyperlink xmlns:r="http://schemas.openxmlformats.org/officeDocument/2006/relationships" ref="K117" r:id="rId113"/>
    <hyperlink xmlns:r="http://schemas.openxmlformats.org/officeDocument/2006/relationships" ref="K118" r:id="rId114"/>
    <hyperlink xmlns:r="http://schemas.openxmlformats.org/officeDocument/2006/relationships" ref="K119" r:id="rId115"/>
    <hyperlink xmlns:r="http://schemas.openxmlformats.org/officeDocument/2006/relationships" ref="K120" r:id="rId116"/>
    <hyperlink xmlns:r="http://schemas.openxmlformats.org/officeDocument/2006/relationships" ref="K121" r:id="rId117"/>
    <hyperlink xmlns:r="http://schemas.openxmlformats.org/officeDocument/2006/relationships" ref="K122" r:id="rId118"/>
    <hyperlink xmlns:r="http://schemas.openxmlformats.org/officeDocument/2006/relationships" ref="K123" r:id="rId119"/>
    <hyperlink xmlns:r="http://schemas.openxmlformats.org/officeDocument/2006/relationships" ref="K124" r:id="rId120"/>
    <hyperlink xmlns:r="http://schemas.openxmlformats.org/officeDocument/2006/relationships" ref="K125" r:id="rId121"/>
    <hyperlink xmlns:r="http://schemas.openxmlformats.org/officeDocument/2006/relationships" ref="K126" r:id="rId122"/>
    <hyperlink xmlns:r="http://schemas.openxmlformats.org/officeDocument/2006/relationships" ref="K127" r:id="rId123"/>
    <hyperlink xmlns:r="http://schemas.openxmlformats.org/officeDocument/2006/relationships" ref="K128" r:id="rId124"/>
    <hyperlink xmlns:r="http://schemas.openxmlformats.org/officeDocument/2006/relationships" ref="K129" r:id="rId125"/>
    <hyperlink xmlns:r="http://schemas.openxmlformats.org/officeDocument/2006/relationships" ref="K130" r:id="rId126"/>
    <hyperlink xmlns:r="http://schemas.openxmlformats.org/officeDocument/2006/relationships" ref="K131" r:id="rId127"/>
    <hyperlink xmlns:r="http://schemas.openxmlformats.org/officeDocument/2006/relationships" ref="K132" r:id="rId128"/>
    <hyperlink xmlns:r="http://schemas.openxmlformats.org/officeDocument/2006/relationships" ref="K133" r:id="rId129"/>
    <hyperlink xmlns:r="http://schemas.openxmlformats.org/officeDocument/2006/relationships" ref="K134" r:id="rId130"/>
    <hyperlink xmlns:r="http://schemas.openxmlformats.org/officeDocument/2006/relationships" ref="K135" r:id="rId131"/>
    <hyperlink xmlns:r="http://schemas.openxmlformats.org/officeDocument/2006/relationships" ref="K136" r:id="rId132"/>
    <hyperlink xmlns:r="http://schemas.openxmlformats.org/officeDocument/2006/relationships" ref="K137" r:id="rId133"/>
    <hyperlink xmlns:r="http://schemas.openxmlformats.org/officeDocument/2006/relationships" ref="K138" r:id="rId134"/>
    <hyperlink xmlns:r="http://schemas.openxmlformats.org/officeDocument/2006/relationships" ref="K139" r:id="rId135"/>
    <hyperlink xmlns:r="http://schemas.openxmlformats.org/officeDocument/2006/relationships" ref="K140" r:id="rId136"/>
    <hyperlink xmlns:r="http://schemas.openxmlformats.org/officeDocument/2006/relationships" ref="K141" r:id="rId137"/>
    <hyperlink xmlns:r="http://schemas.openxmlformats.org/officeDocument/2006/relationships" ref="K142" r:id="rId138"/>
    <hyperlink xmlns:r="http://schemas.openxmlformats.org/officeDocument/2006/relationships" ref="K143" r:id="rId139"/>
    <hyperlink xmlns:r="http://schemas.openxmlformats.org/officeDocument/2006/relationships" ref="K144" r:id="rId140"/>
    <hyperlink xmlns:r="http://schemas.openxmlformats.org/officeDocument/2006/relationships" ref="K145" r:id="rId141"/>
    <hyperlink xmlns:r="http://schemas.openxmlformats.org/officeDocument/2006/relationships" ref="K146" r:id="rId142"/>
    <hyperlink xmlns:r="http://schemas.openxmlformats.org/officeDocument/2006/relationships" ref="K147" r:id="rId143"/>
    <hyperlink xmlns:r="http://schemas.openxmlformats.org/officeDocument/2006/relationships" ref="K148" r:id="rId144"/>
    <hyperlink xmlns:r="http://schemas.openxmlformats.org/officeDocument/2006/relationships" ref="K149" r:id="rId145"/>
    <hyperlink xmlns:r="http://schemas.openxmlformats.org/officeDocument/2006/relationships" ref="K150" r:id="rId146"/>
    <hyperlink xmlns:r="http://schemas.openxmlformats.org/officeDocument/2006/relationships" ref="K151" r:id="rId147"/>
    <hyperlink xmlns:r="http://schemas.openxmlformats.org/officeDocument/2006/relationships" ref="K152" r:id="rId148"/>
    <hyperlink xmlns:r="http://schemas.openxmlformats.org/officeDocument/2006/relationships" ref="K153" r:id="rId149"/>
    <hyperlink xmlns:r="http://schemas.openxmlformats.org/officeDocument/2006/relationships" ref="K154" r:id="rId150"/>
    <hyperlink xmlns:r="http://schemas.openxmlformats.org/officeDocument/2006/relationships" ref="K155" r:id="rId151"/>
    <hyperlink xmlns:r="http://schemas.openxmlformats.org/officeDocument/2006/relationships" ref="K156" r:id="rId152"/>
    <hyperlink xmlns:r="http://schemas.openxmlformats.org/officeDocument/2006/relationships" ref="K157" r:id="rId153"/>
    <hyperlink xmlns:r="http://schemas.openxmlformats.org/officeDocument/2006/relationships" ref="K158" r:id="rId154"/>
    <hyperlink xmlns:r="http://schemas.openxmlformats.org/officeDocument/2006/relationships" ref="K159" r:id="rId155"/>
    <hyperlink xmlns:r="http://schemas.openxmlformats.org/officeDocument/2006/relationships" ref="K160" r:id="rId156"/>
    <hyperlink xmlns:r="http://schemas.openxmlformats.org/officeDocument/2006/relationships" ref="K161" r:id="rId157"/>
    <hyperlink xmlns:r="http://schemas.openxmlformats.org/officeDocument/2006/relationships" ref="K162" r:id="rId158"/>
    <hyperlink xmlns:r="http://schemas.openxmlformats.org/officeDocument/2006/relationships" ref="K163" r:id="rId159"/>
    <hyperlink xmlns:r="http://schemas.openxmlformats.org/officeDocument/2006/relationships" ref="K164" r:id="rId160"/>
    <hyperlink xmlns:r="http://schemas.openxmlformats.org/officeDocument/2006/relationships" ref="K165" r:id="rId161"/>
    <hyperlink xmlns:r="http://schemas.openxmlformats.org/officeDocument/2006/relationships" ref="K166" r:id="rId162"/>
    <hyperlink xmlns:r="http://schemas.openxmlformats.org/officeDocument/2006/relationships" ref="K167" r:id="rId163"/>
    <hyperlink xmlns:r="http://schemas.openxmlformats.org/officeDocument/2006/relationships" ref="K168" r:id="rId164"/>
    <hyperlink xmlns:r="http://schemas.openxmlformats.org/officeDocument/2006/relationships" ref="K169" r:id="rId165"/>
    <hyperlink xmlns:r="http://schemas.openxmlformats.org/officeDocument/2006/relationships" ref="K170" r:id="rId166"/>
    <hyperlink xmlns:r="http://schemas.openxmlformats.org/officeDocument/2006/relationships" ref="K171" r:id="rId167"/>
    <hyperlink xmlns:r="http://schemas.openxmlformats.org/officeDocument/2006/relationships" ref="K172" r:id="rId168"/>
    <hyperlink xmlns:r="http://schemas.openxmlformats.org/officeDocument/2006/relationships" ref="K173" r:id="rId169"/>
    <hyperlink xmlns:r="http://schemas.openxmlformats.org/officeDocument/2006/relationships" ref="K174" r:id="rId170"/>
    <hyperlink xmlns:r="http://schemas.openxmlformats.org/officeDocument/2006/relationships" ref="K175" r:id="rId171"/>
    <hyperlink xmlns:r="http://schemas.openxmlformats.org/officeDocument/2006/relationships" ref="K176" r:id="rId172"/>
    <hyperlink xmlns:r="http://schemas.openxmlformats.org/officeDocument/2006/relationships" ref="K177" r:id="rId173"/>
    <hyperlink xmlns:r="http://schemas.openxmlformats.org/officeDocument/2006/relationships" ref="K178" r:id="rId174"/>
    <hyperlink xmlns:r="http://schemas.openxmlformats.org/officeDocument/2006/relationships" ref="K179" r:id="rId175"/>
    <hyperlink xmlns:r="http://schemas.openxmlformats.org/officeDocument/2006/relationships" ref="K180" r:id="rId176"/>
    <hyperlink xmlns:r="http://schemas.openxmlformats.org/officeDocument/2006/relationships" ref="K181" r:id="rId177"/>
    <hyperlink xmlns:r="http://schemas.openxmlformats.org/officeDocument/2006/relationships" ref="K182" r:id="rId178"/>
    <hyperlink xmlns:r="http://schemas.openxmlformats.org/officeDocument/2006/relationships" ref="K183" r:id="rId179"/>
    <hyperlink xmlns:r="http://schemas.openxmlformats.org/officeDocument/2006/relationships" ref="K184" r:id="rId180"/>
    <hyperlink xmlns:r="http://schemas.openxmlformats.org/officeDocument/2006/relationships" ref="K185" r:id="rId181"/>
    <hyperlink xmlns:r="http://schemas.openxmlformats.org/officeDocument/2006/relationships" ref="K186" r:id="rId182"/>
    <hyperlink xmlns:r="http://schemas.openxmlformats.org/officeDocument/2006/relationships" ref="K187" r:id="rId183"/>
    <hyperlink xmlns:r="http://schemas.openxmlformats.org/officeDocument/2006/relationships" ref="K188" r:id="rId184"/>
    <hyperlink xmlns:r="http://schemas.openxmlformats.org/officeDocument/2006/relationships" ref="K189" r:id="rId185"/>
    <hyperlink xmlns:r="http://schemas.openxmlformats.org/officeDocument/2006/relationships" ref="K190" r:id="rId186"/>
    <hyperlink xmlns:r="http://schemas.openxmlformats.org/officeDocument/2006/relationships" ref="K191" r:id="rId187"/>
    <hyperlink xmlns:r="http://schemas.openxmlformats.org/officeDocument/2006/relationships" ref="K192" r:id="rId188"/>
    <hyperlink xmlns:r="http://schemas.openxmlformats.org/officeDocument/2006/relationships" ref="K193" r:id="rId189"/>
    <hyperlink xmlns:r="http://schemas.openxmlformats.org/officeDocument/2006/relationships" ref="K194" r:id="rId190"/>
    <hyperlink xmlns:r="http://schemas.openxmlformats.org/officeDocument/2006/relationships" ref="K195" r:id="rId191"/>
    <hyperlink xmlns:r="http://schemas.openxmlformats.org/officeDocument/2006/relationships" ref="K196" r:id="rId192"/>
    <hyperlink xmlns:r="http://schemas.openxmlformats.org/officeDocument/2006/relationships" ref="K197" r:id="rId193"/>
    <hyperlink xmlns:r="http://schemas.openxmlformats.org/officeDocument/2006/relationships" ref="K198" r:id="rId194"/>
    <hyperlink xmlns:r="http://schemas.openxmlformats.org/officeDocument/2006/relationships" ref="K199" r:id="rId195"/>
    <hyperlink xmlns:r="http://schemas.openxmlformats.org/officeDocument/2006/relationships" ref="K200" r:id="rId196"/>
    <hyperlink xmlns:r="http://schemas.openxmlformats.org/officeDocument/2006/relationships" ref="K201" r:id="rId197"/>
    <hyperlink xmlns:r="http://schemas.openxmlformats.org/officeDocument/2006/relationships" ref="K202" r:id="rId198"/>
    <hyperlink xmlns:r="http://schemas.openxmlformats.org/officeDocument/2006/relationships" ref="K203" r:id="rId199"/>
    <hyperlink xmlns:r="http://schemas.openxmlformats.org/officeDocument/2006/relationships" ref="K204" r:id="rId200"/>
    <hyperlink xmlns:r="http://schemas.openxmlformats.org/officeDocument/2006/relationships" ref="K205" r:id="rId201"/>
    <hyperlink xmlns:r="http://schemas.openxmlformats.org/officeDocument/2006/relationships" ref="K206" r:id="rId202"/>
    <hyperlink xmlns:r="http://schemas.openxmlformats.org/officeDocument/2006/relationships" ref="K207" r:id="rId203"/>
    <hyperlink xmlns:r="http://schemas.openxmlformats.org/officeDocument/2006/relationships" ref="K208" r:id="rId204"/>
    <hyperlink xmlns:r="http://schemas.openxmlformats.org/officeDocument/2006/relationships" ref="K209" r:id="rId205"/>
    <hyperlink xmlns:r="http://schemas.openxmlformats.org/officeDocument/2006/relationships" ref="K210" r:id="rId206"/>
    <hyperlink xmlns:r="http://schemas.openxmlformats.org/officeDocument/2006/relationships" ref="K211" r:id="rId207"/>
    <hyperlink xmlns:r="http://schemas.openxmlformats.org/officeDocument/2006/relationships" ref="K212" r:id="rId208"/>
    <hyperlink xmlns:r="http://schemas.openxmlformats.org/officeDocument/2006/relationships" ref="K213" r:id="rId209"/>
    <hyperlink xmlns:r="http://schemas.openxmlformats.org/officeDocument/2006/relationships" ref="K214" r:id="rId210"/>
    <hyperlink xmlns:r="http://schemas.openxmlformats.org/officeDocument/2006/relationships" ref="K215" r:id="rId211"/>
    <hyperlink xmlns:r="http://schemas.openxmlformats.org/officeDocument/2006/relationships" ref="K216" r:id="rId212"/>
    <hyperlink xmlns:r="http://schemas.openxmlformats.org/officeDocument/2006/relationships" ref="K217" r:id="rId213"/>
    <hyperlink xmlns:r="http://schemas.openxmlformats.org/officeDocument/2006/relationships" ref="K218" r:id="rId214"/>
    <hyperlink xmlns:r="http://schemas.openxmlformats.org/officeDocument/2006/relationships" ref="K219" r:id="rId215"/>
    <hyperlink xmlns:r="http://schemas.openxmlformats.org/officeDocument/2006/relationships" ref="K220" r:id="rId216"/>
    <hyperlink xmlns:r="http://schemas.openxmlformats.org/officeDocument/2006/relationships" ref="K221" r:id="rId217"/>
    <hyperlink xmlns:r="http://schemas.openxmlformats.org/officeDocument/2006/relationships" ref="K222" r:id="rId218"/>
    <hyperlink xmlns:r="http://schemas.openxmlformats.org/officeDocument/2006/relationships" ref="K223" r:id="rId219"/>
    <hyperlink xmlns:r="http://schemas.openxmlformats.org/officeDocument/2006/relationships" ref="K224" r:id="rId220"/>
    <hyperlink xmlns:r="http://schemas.openxmlformats.org/officeDocument/2006/relationships" ref="K225" r:id="rId221"/>
    <hyperlink xmlns:r="http://schemas.openxmlformats.org/officeDocument/2006/relationships" ref="K226" r:id="rId222"/>
    <hyperlink xmlns:r="http://schemas.openxmlformats.org/officeDocument/2006/relationships" ref="K227" r:id="rId223"/>
    <hyperlink xmlns:r="http://schemas.openxmlformats.org/officeDocument/2006/relationships" ref="K228" r:id="rId224"/>
    <hyperlink xmlns:r="http://schemas.openxmlformats.org/officeDocument/2006/relationships" ref="K229" r:id="rId225"/>
    <hyperlink xmlns:r="http://schemas.openxmlformats.org/officeDocument/2006/relationships" ref="K230" r:id="rId226"/>
    <hyperlink xmlns:r="http://schemas.openxmlformats.org/officeDocument/2006/relationships" ref="K231" r:id="rId227"/>
    <hyperlink xmlns:r="http://schemas.openxmlformats.org/officeDocument/2006/relationships" ref="K232" r:id="rId228"/>
    <hyperlink xmlns:r="http://schemas.openxmlformats.org/officeDocument/2006/relationships" ref="K233" r:id="rId229"/>
    <hyperlink xmlns:r="http://schemas.openxmlformats.org/officeDocument/2006/relationships" ref="K234" r:id="rId230"/>
    <hyperlink xmlns:r="http://schemas.openxmlformats.org/officeDocument/2006/relationships" ref="K235" r:id="rId231"/>
    <hyperlink xmlns:r="http://schemas.openxmlformats.org/officeDocument/2006/relationships" ref="K236" r:id="rId232"/>
    <hyperlink xmlns:r="http://schemas.openxmlformats.org/officeDocument/2006/relationships" ref="K237" r:id="rId233"/>
    <hyperlink xmlns:r="http://schemas.openxmlformats.org/officeDocument/2006/relationships" ref="K238" r:id="rId234"/>
    <hyperlink xmlns:r="http://schemas.openxmlformats.org/officeDocument/2006/relationships" ref="K239" r:id="rId235"/>
    <hyperlink xmlns:r="http://schemas.openxmlformats.org/officeDocument/2006/relationships" ref="K240" r:id="rId236"/>
    <hyperlink xmlns:r="http://schemas.openxmlformats.org/officeDocument/2006/relationships" ref="K241" r:id="rId237"/>
    <hyperlink xmlns:r="http://schemas.openxmlformats.org/officeDocument/2006/relationships" ref="K242" r:id="rId238"/>
    <hyperlink xmlns:r="http://schemas.openxmlformats.org/officeDocument/2006/relationships" ref="K243" r:id="rId239"/>
    <hyperlink xmlns:r="http://schemas.openxmlformats.org/officeDocument/2006/relationships" ref="K244" r:id="rId240"/>
    <hyperlink xmlns:r="http://schemas.openxmlformats.org/officeDocument/2006/relationships" ref="K245" r:id="rId241"/>
    <hyperlink xmlns:r="http://schemas.openxmlformats.org/officeDocument/2006/relationships" ref="K246" r:id="rId242"/>
    <hyperlink xmlns:r="http://schemas.openxmlformats.org/officeDocument/2006/relationships" ref="K247" r:id="rId243"/>
    <hyperlink xmlns:r="http://schemas.openxmlformats.org/officeDocument/2006/relationships" ref="K248" r:id="rId244"/>
    <hyperlink xmlns:r="http://schemas.openxmlformats.org/officeDocument/2006/relationships" ref="K249" r:id="rId245"/>
    <hyperlink xmlns:r="http://schemas.openxmlformats.org/officeDocument/2006/relationships" ref="K250" r:id="rId246"/>
    <hyperlink xmlns:r="http://schemas.openxmlformats.org/officeDocument/2006/relationships" ref="K251" r:id="rId247"/>
    <hyperlink xmlns:r="http://schemas.openxmlformats.org/officeDocument/2006/relationships" ref="K252" r:id="rId248"/>
    <hyperlink xmlns:r="http://schemas.openxmlformats.org/officeDocument/2006/relationships" ref="K253" r:id="rId249"/>
    <hyperlink xmlns:r="http://schemas.openxmlformats.org/officeDocument/2006/relationships" ref="K254" r:id="rId250"/>
    <hyperlink xmlns:r="http://schemas.openxmlformats.org/officeDocument/2006/relationships" ref="K255" r:id="rId251"/>
    <hyperlink xmlns:r="http://schemas.openxmlformats.org/officeDocument/2006/relationships" ref="K256" r:id="rId252"/>
    <hyperlink xmlns:r="http://schemas.openxmlformats.org/officeDocument/2006/relationships" ref="K257" r:id="rId253"/>
    <hyperlink xmlns:r="http://schemas.openxmlformats.org/officeDocument/2006/relationships" ref="K258" r:id="rId254"/>
    <hyperlink xmlns:r="http://schemas.openxmlformats.org/officeDocument/2006/relationships" ref="K259" r:id="rId255"/>
    <hyperlink xmlns:r="http://schemas.openxmlformats.org/officeDocument/2006/relationships" ref="K260" r:id="rId256"/>
    <hyperlink xmlns:r="http://schemas.openxmlformats.org/officeDocument/2006/relationships" ref="K261" r:id="rId257"/>
    <hyperlink xmlns:r="http://schemas.openxmlformats.org/officeDocument/2006/relationships" ref="K262" r:id="rId258"/>
    <hyperlink xmlns:r="http://schemas.openxmlformats.org/officeDocument/2006/relationships" ref="K263" r:id="rId259"/>
    <hyperlink xmlns:r="http://schemas.openxmlformats.org/officeDocument/2006/relationships" ref="K264" r:id="rId260"/>
    <hyperlink xmlns:r="http://schemas.openxmlformats.org/officeDocument/2006/relationships" ref="K265" r:id="rId261"/>
    <hyperlink xmlns:r="http://schemas.openxmlformats.org/officeDocument/2006/relationships" ref="K266" r:id="rId262"/>
    <hyperlink xmlns:r="http://schemas.openxmlformats.org/officeDocument/2006/relationships" ref="K267" r:id="rId263"/>
    <hyperlink xmlns:r="http://schemas.openxmlformats.org/officeDocument/2006/relationships" ref="K268" r:id="rId264"/>
    <hyperlink xmlns:r="http://schemas.openxmlformats.org/officeDocument/2006/relationships" ref="K269" r:id="rId265"/>
    <hyperlink xmlns:r="http://schemas.openxmlformats.org/officeDocument/2006/relationships" ref="K270" r:id="rId266"/>
    <hyperlink xmlns:r="http://schemas.openxmlformats.org/officeDocument/2006/relationships" ref="K271" r:id="rId267"/>
    <hyperlink xmlns:r="http://schemas.openxmlformats.org/officeDocument/2006/relationships" ref="K272" r:id="rId268"/>
    <hyperlink xmlns:r="http://schemas.openxmlformats.org/officeDocument/2006/relationships" ref="K273" r:id="rId269"/>
    <hyperlink xmlns:r="http://schemas.openxmlformats.org/officeDocument/2006/relationships" ref="K274" r:id="rId270"/>
    <hyperlink xmlns:r="http://schemas.openxmlformats.org/officeDocument/2006/relationships" ref="K275" r:id="rId271"/>
    <hyperlink xmlns:r="http://schemas.openxmlformats.org/officeDocument/2006/relationships" ref="K276" r:id="rId272"/>
    <hyperlink xmlns:r="http://schemas.openxmlformats.org/officeDocument/2006/relationships" ref="K277" r:id="rId273"/>
    <hyperlink xmlns:r="http://schemas.openxmlformats.org/officeDocument/2006/relationships" ref="K278" r:id="rId274"/>
    <hyperlink xmlns:r="http://schemas.openxmlformats.org/officeDocument/2006/relationships" ref="K279" r:id="rId275"/>
    <hyperlink xmlns:r="http://schemas.openxmlformats.org/officeDocument/2006/relationships" ref="K280" r:id="rId276"/>
    <hyperlink xmlns:r="http://schemas.openxmlformats.org/officeDocument/2006/relationships" ref="K281" r:id="rId277"/>
    <hyperlink xmlns:r="http://schemas.openxmlformats.org/officeDocument/2006/relationships" ref="K282" r:id="rId278"/>
    <hyperlink xmlns:r="http://schemas.openxmlformats.org/officeDocument/2006/relationships" ref="K283" r:id="rId279"/>
    <hyperlink xmlns:r="http://schemas.openxmlformats.org/officeDocument/2006/relationships" ref="K284" r:id="rId280"/>
    <hyperlink xmlns:r="http://schemas.openxmlformats.org/officeDocument/2006/relationships" ref="K285" r:id="rId281"/>
    <hyperlink xmlns:r="http://schemas.openxmlformats.org/officeDocument/2006/relationships" ref="K286" r:id="rId282"/>
    <hyperlink xmlns:r="http://schemas.openxmlformats.org/officeDocument/2006/relationships" ref="K287" r:id="rId283"/>
    <hyperlink xmlns:r="http://schemas.openxmlformats.org/officeDocument/2006/relationships" ref="K288" r:id="rId284"/>
    <hyperlink xmlns:r="http://schemas.openxmlformats.org/officeDocument/2006/relationships" ref="K289" r:id="rId285"/>
    <hyperlink xmlns:r="http://schemas.openxmlformats.org/officeDocument/2006/relationships" ref="K290" r:id="rId286"/>
    <hyperlink xmlns:r="http://schemas.openxmlformats.org/officeDocument/2006/relationships" ref="K291" r:id="rId287"/>
    <hyperlink xmlns:r="http://schemas.openxmlformats.org/officeDocument/2006/relationships" ref="K292" r:id="rId288"/>
    <hyperlink xmlns:r="http://schemas.openxmlformats.org/officeDocument/2006/relationships" ref="K293" r:id="rId289"/>
    <hyperlink xmlns:r="http://schemas.openxmlformats.org/officeDocument/2006/relationships" ref="K294" r:id="rId290"/>
    <hyperlink xmlns:r="http://schemas.openxmlformats.org/officeDocument/2006/relationships" ref="K295" r:id="rId291"/>
    <hyperlink xmlns:r="http://schemas.openxmlformats.org/officeDocument/2006/relationships" ref="K296" r:id="rId292"/>
    <hyperlink xmlns:r="http://schemas.openxmlformats.org/officeDocument/2006/relationships" ref="K297" r:id="rId293"/>
    <hyperlink xmlns:r="http://schemas.openxmlformats.org/officeDocument/2006/relationships" ref="K298" r:id="rId294"/>
    <hyperlink xmlns:r="http://schemas.openxmlformats.org/officeDocument/2006/relationships" ref="K299" r:id="rId295"/>
    <hyperlink xmlns:r="http://schemas.openxmlformats.org/officeDocument/2006/relationships" ref="K300" r:id="rId296"/>
    <hyperlink xmlns:r="http://schemas.openxmlformats.org/officeDocument/2006/relationships" ref="K301" r:id="rId297"/>
    <hyperlink xmlns:r="http://schemas.openxmlformats.org/officeDocument/2006/relationships" ref="K302" r:id="rId298"/>
    <hyperlink xmlns:r="http://schemas.openxmlformats.org/officeDocument/2006/relationships" ref="K303" r:id="rId299"/>
    <hyperlink xmlns:r="http://schemas.openxmlformats.org/officeDocument/2006/relationships" ref="K304" r:id="rId300"/>
    <hyperlink xmlns:r="http://schemas.openxmlformats.org/officeDocument/2006/relationships" ref="K305" r:id="rId301"/>
    <hyperlink xmlns:r="http://schemas.openxmlformats.org/officeDocument/2006/relationships" ref="K306" r:id="rId302"/>
    <hyperlink xmlns:r="http://schemas.openxmlformats.org/officeDocument/2006/relationships" ref="K307" r:id="rId303"/>
    <hyperlink xmlns:r="http://schemas.openxmlformats.org/officeDocument/2006/relationships" ref="K308" r:id="rId304"/>
    <hyperlink xmlns:r="http://schemas.openxmlformats.org/officeDocument/2006/relationships" ref="K309" r:id="rId305"/>
    <hyperlink xmlns:r="http://schemas.openxmlformats.org/officeDocument/2006/relationships" ref="K310" r:id="rId306"/>
    <hyperlink xmlns:r="http://schemas.openxmlformats.org/officeDocument/2006/relationships" ref="K311" r:id="rId307"/>
    <hyperlink xmlns:r="http://schemas.openxmlformats.org/officeDocument/2006/relationships" ref="K312" r:id="rId308"/>
    <hyperlink xmlns:r="http://schemas.openxmlformats.org/officeDocument/2006/relationships" ref="K313" r:id="rId309"/>
    <hyperlink xmlns:r="http://schemas.openxmlformats.org/officeDocument/2006/relationships" ref="K314" r:id="rId310"/>
    <hyperlink xmlns:r="http://schemas.openxmlformats.org/officeDocument/2006/relationships" ref="K315" r:id="rId311"/>
    <hyperlink xmlns:r="http://schemas.openxmlformats.org/officeDocument/2006/relationships" ref="K316" r:id="rId312"/>
    <hyperlink xmlns:r="http://schemas.openxmlformats.org/officeDocument/2006/relationships" ref="K317" r:id="rId313"/>
    <hyperlink xmlns:r="http://schemas.openxmlformats.org/officeDocument/2006/relationships" ref="K318" r:id="rId314"/>
    <hyperlink xmlns:r="http://schemas.openxmlformats.org/officeDocument/2006/relationships" ref="K319" r:id="rId315"/>
    <hyperlink xmlns:r="http://schemas.openxmlformats.org/officeDocument/2006/relationships" ref="K320" r:id="rId316"/>
    <hyperlink xmlns:r="http://schemas.openxmlformats.org/officeDocument/2006/relationships" ref="K321" r:id="rId317"/>
    <hyperlink xmlns:r="http://schemas.openxmlformats.org/officeDocument/2006/relationships" ref="K322" r:id="rId318"/>
    <hyperlink xmlns:r="http://schemas.openxmlformats.org/officeDocument/2006/relationships" ref="K323" r:id="rId319"/>
    <hyperlink xmlns:r="http://schemas.openxmlformats.org/officeDocument/2006/relationships" ref="K324" r:id="rId320"/>
    <hyperlink xmlns:r="http://schemas.openxmlformats.org/officeDocument/2006/relationships" ref="K325" r:id="rId321"/>
    <hyperlink xmlns:r="http://schemas.openxmlformats.org/officeDocument/2006/relationships" ref="K326" r:id="rId322"/>
    <hyperlink xmlns:r="http://schemas.openxmlformats.org/officeDocument/2006/relationships" ref="K327" r:id="rId323"/>
    <hyperlink xmlns:r="http://schemas.openxmlformats.org/officeDocument/2006/relationships" ref="K328" r:id="rId324"/>
    <hyperlink xmlns:r="http://schemas.openxmlformats.org/officeDocument/2006/relationships" ref="K329" r:id="rId325"/>
    <hyperlink xmlns:r="http://schemas.openxmlformats.org/officeDocument/2006/relationships" ref="K330" r:id="rId326"/>
    <hyperlink xmlns:r="http://schemas.openxmlformats.org/officeDocument/2006/relationships" ref="K331" r:id="rId327"/>
    <hyperlink xmlns:r="http://schemas.openxmlformats.org/officeDocument/2006/relationships" ref="K332" r:id="rId328"/>
    <hyperlink xmlns:r="http://schemas.openxmlformats.org/officeDocument/2006/relationships" ref="K333" r:id="rId329"/>
    <hyperlink xmlns:r="http://schemas.openxmlformats.org/officeDocument/2006/relationships" ref="K334" r:id="rId330"/>
    <hyperlink xmlns:r="http://schemas.openxmlformats.org/officeDocument/2006/relationships" ref="K335" r:id="rId331"/>
    <hyperlink xmlns:r="http://schemas.openxmlformats.org/officeDocument/2006/relationships" ref="K336" r:id="rId332"/>
    <hyperlink xmlns:r="http://schemas.openxmlformats.org/officeDocument/2006/relationships" ref="K337" r:id="rId333"/>
    <hyperlink xmlns:r="http://schemas.openxmlformats.org/officeDocument/2006/relationships" ref="K338" r:id="rId334"/>
    <hyperlink xmlns:r="http://schemas.openxmlformats.org/officeDocument/2006/relationships" ref="K339" r:id="rId335"/>
    <hyperlink xmlns:r="http://schemas.openxmlformats.org/officeDocument/2006/relationships" ref="K340" r:id="rId336"/>
    <hyperlink xmlns:r="http://schemas.openxmlformats.org/officeDocument/2006/relationships" ref="K341" r:id="rId337"/>
    <hyperlink xmlns:r="http://schemas.openxmlformats.org/officeDocument/2006/relationships" ref="K342" r:id="rId338"/>
    <hyperlink xmlns:r="http://schemas.openxmlformats.org/officeDocument/2006/relationships" ref="K343" r:id="rId339"/>
    <hyperlink xmlns:r="http://schemas.openxmlformats.org/officeDocument/2006/relationships" ref="K344" r:id="rId340"/>
    <hyperlink xmlns:r="http://schemas.openxmlformats.org/officeDocument/2006/relationships" ref="K345" r:id="rId341"/>
    <hyperlink xmlns:r="http://schemas.openxmlformats.org/officeDocument/2006/relationships" ref="K346" r:id="rId342"/>
    <hyperlink xmlns:r="http://schemas.openxmlformats.org/officeDocument/2006/relationships" ref="K347" r:id="rId343"/>
    <hyperlink xmlns:r="http://schemas.openxmlformats.org/officeDocument/2006/relationships" ref="K348" r:id="rId344"/>
    <hyperlink xmlns:r="http://schemas.openxmlformats.org/officeDocument/2006/relationships" ref="K349" r:id="rId345"/>
    <hyperlink xmlns:r="http://schemas.openxmlformats.org/officeDocument/2006/relationships" ref="K350" r:id="rId346"/>
    <hyperlink xmlns:r="http://schemas.openxmlformats.org/officeDocument/2006/relationships" ref="K351" r:id="rId347"/>
    <hyperlink xmlns:r="http://schemas.openxmlformats.org/officeDocument/2006/relationships" ref="K352" r:id="rId348"/>
    <hyperlink xmlns:r="http://schemas.openxmlformats.org/officeDocument/2006/relationships" ref="K353" r:id="rId349"/>
    <hyperlink xmlns:r="http://schemas.openxmlformats.org/officeDocument/2006/relationships" ref="K354" r:id="rId350"/>
    <hyperlink xmlns:r="http://schemas.openxmlformats.org/officeDocument/2006/relationships" ref="K355" r:id="rId351"/>
    <hyperlink xmlns:r="http://schemas.openxmlformats.org/officeDocument/2006/relationships" ref="K356" r:id="rId352"/>
    <hyperlink xmlns:r="http://schemas.openxmlformats.org/officeDocument/2006/relationships" ref="K357" r:id="rId353"/>
    <hyperlink xmlns:r="http://schemas.openxmlformats.org/officeDocument/2006/relationships" ref="K358" r:id="rId354"/>
    <hyperlink xmlns:r="http://schemas.openxmlformats.org/officeDocument/2006/relationships" ref="K359" r:id="rId355"/>
    <hyperlink xmlns:r="http://schemas.openxmlformats.org/officeDocument/2006/relationships" ref="K360" r:id="rId356"/>
    <hyperlink xmlns:r="http://schemas.openxmlformats.org/officeDocument/2006/relationships" ref="K361" r:id="rId357"/>
    <hyperlink xmlns:r="http://schemas.openxmlformats.org/officeDocument/2006/relationships" ref="K362" r:id="rId358"/>
    <hyperlink xmlns:r="http://schemas.openxmlformats.org/officeDocument/2006/relationships" ref="K363" r:id="rId359"/>
    <hyperlink xmlns:r="http://schemas.openxmlformats.org/officeDocument/2006/relationships" ref="K364" r:id="rId360"/>
    <hyperlink xmlns:r="http://schemas.openxmlformats.org/officeDocument/2006/relationships" ref="K365" r:id="rId361"/>
    <hyperlink xmlns:r="http://schemas.openxmlformats.org/officeDocument/2006/relationships" ref="K366" r:id="rId362"/>
    <hyperlink xmlns:r="http://schemas.openxmlformats.org/officeDocument/2006/relationships" ref="K367" r:id="rId363"/>
    <hyperlink xmlns:r="http://schemas.openxmlformats.org/officeDocument/2006/relationships" ref="K368" r:id="rId364"/>
    <hyperlink xmlns:r="http://schemas.openxmlformats.org/officeDocument/2006/relationships" ref="K369" r:id="rId365"/>
    <hyperlink xmlns:r="http://schemas.openxmlformats.org/officeDocument/2006/relationships" ref="K370" r:id="rId366"/>
    <hyperlink xmlns:r="http://schemas.openxmlformats.org/officeDocument/2006/relationships" ref="K371" r:id="rId367"/>
    <hyperlink xmlns:r="http://schemas.openxmlformats.org/officeDocument/2006/relationships" ref="K372" r:id="rId368"/>
    <hyperlink xmlns:r="http://schemas.openxmlformats.org/officeDocument/2006/relationships" ref="K373" r:id="rId369"/>
    <hyperlink xmlns:r="http://schemas.openxmlformats.org/officeDocument/2006/relationships" ref="K374" r:id="rId370"/>
    <hyperlink xmlns:r="http://schemas.openxmlformats.org/officeDocument/2006/relationships" ref="K375" r:id="rId371"/>
    <hyperlink xmlns:r="http://schemas.openxmlformats.org/officeDocument/2006/relationships" ref="K376" r:id="rId372"/>
    <hyperlink xmlns:r="http://schemas.openxmlformats.org/officeDocument/2006/relationships" ref="K377" r:id="rId373"/>
    <hyperlink xmlns:r="http://schemas.openxmlformats.org/officeDocument/2006/relationships" ref="K378" r:id="rId374"/>
    <hyperlink xmlns:r="http://schemas.openxmlformats.org/officeDocument/2006/relationships" ref="K379" r:id="rId375"/>
    <hyperlink xmlns:r="http://schemas.openxmlformats.org/officeDocument/2006/relationships" ref="K380" r:id="rId376"/>
    <hyperlink xmlns:r="http://schemas.openxmlformats.org/officeDocument/2006/relationships" ref="K381" r:id="rId377"/>
    <hyperlink xmlns:r="http://schemas.openxmlformats.org/officeDocument/2006/relationships" ref="K382" r:id="rId378"/>
    <hyperlink xmlns:r="http://schemas.openxmlformats.org/officeDocument/2006/relationships" ref="K383" r:id="rId379"/>
    <hyperlink xmlns:r="http://schemas.openxmlformats.org/officeDocument/2006/relationships" ref="K384" r:id="rId380"/>
    <hyperlink xmlns:r="http://schemas.openxmlformats.org/officeDocument/2006/relationships" ref="K385" r:id="rId381"/>
    <hyperlink xmlns:r="http://schemas.openxmlformats.org/officeDocument/2006/relationships" ref="K386" r:id="rId382"/>
    <hyperlink xmlns:r="http://schemas.openxmlformats.org/officeDocument/2006/relationships" ref="K387" r:id="rId383"/>
    <hyperlink xmlns:r="http://schemas.openxmlformats.org/officeDocument/2006/relationships" ref="K388" r:id="rId384"/>
  </hyperlinks>
  <pageMargins left="0.4" right="0.4" top="0.5" bottom="0.5" header="0.5" footer="0.5"/>
  <pageSetup orientation="landscape" paperSize="9" fitToHeight="0" fitToWidth="1"/>
  <headerFooter>
    <oddHeader/>
    <oddFooter>&amp;CTrang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20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0" customWidth="1" min="2" max="2"/>
    <col width="13" customWidth="1" min="3" max="3"/>
    <col width="8" customWidth="1" min="4" max="4"/>
    <col width="20" customWidth="1" min="5" max="5"/>
    <col width="18" customWidth="1" min="6" max="6"/>
    <col width="12" customWidth="1" min="7" max="7"/>
    <col width="10" customWidth="1" min="8" max="8"/>
    <col width="17" customWidth="1" min="9" max="9"/>
    <col width="8" customWidth="1" min="10" max="10"/>
    <col width="10" customWidth="1" min="11" max="11"/>
    <col width="13" customWidth="1" min="12" max="12"/>
    <col width="26" customWidth="1" min="13" max="13"/>
  </cols>
  <sheetData>
    <row r="1">
      <c r="A1" s="14" t="inlineStr">
        <is>
          <t>QUÁN PHÁT HIỆN THÊM KHI ĐI KHẢO SÁT (chưa có trong danh sách)</t>
        </is>
      </c>
    </row>
    <row r="2">
      <c r="A2" s="5" t="inlineStr">
        <is>
          <t>Ưu tiên các phường cũ chưa có quán nào trong danh sách: Đống Đa, Yên Thế, Chi Lăng; và Thắng Lợi (mới có 11). Mã KS bắt đầu từ PK-M001.</t>
        </is>
      </c>
    </row>
    <row r="4" ht="34" customHeight="1">
      <c r="A4" s="6" t="inlineStr">
        <is>
          <t>Mã KS</t>
        </is>
      </c>
      <c r="B4" s="6" t="inlineStr">
        <is>
          <t>Tên trên biển hiệu</t>
        </is>
      </c>
      <c r="C4" s="6" t="inlineStr">
        <is>
          <t>Danh mục</t>
        </is>
      </c>
      <c r="D4" s="6" t="inlineStr">
        <is>
          <t>Số nhà</t>
        </is>
      </c>
      <c r="E4" s="6" t="inlineStr">
        <is>
          <t>Đường</t>
        </is>
      </c>
      <c r="F4" s="6" t="inlineStr">
        <is>
          <t>Phường / xã mới</t>
        </is>
      </c>
      <c r="G4" s="6" t="inlineStr">
        <is>
          <t>Phường cũ</t>
        </is>
      </c>
      <c r="H4" s="7" t="inlineStr">
        <is>
          <t>Ngày đến</t>
        </is>
      </c>
      <c r="I4" s="7" t="inlineStr">
        <is>
          <t>Kết quả</t>
        </is>
      </c>
      <c r="J4" s="7" t="inlineStr">
        <is>
          <t>Đã đo GPS</t>
        </is>
      </c>
      <c r="K4" s="7" t="inlineStr">
        <is>
          <t>Chủ quán ký phiếu đồng ý</t>
        </is>
      </c>
      <c r="L4" s="7" t="inlineStr">
        <is>
          <t>Người khảo sát</t>
        </is>
      </c>
      <c r="M4" s="7" t="inlineStr">
        <is>
          <t>Ghi chú</t>
        </is>
      </c>
    </row>
    <row r="5">
      <c r="A5" s="15" t="inlineStr">
        <is>
          <t>PK-M001</t>
        </is>
      </c>
      <c r="B5" s="13" t="n"/>
      <c r="C5" s="13" t="n"/>
      <c r="D5" s="13" t="n"/>
      <c r="E5" s="13" t="n"/>
      <c r="F5" s="13" t="n"/>
      <c r="G5" s="13" t="n"/>
      <c r="H5" s="12" t="n"/>
      <c r="I5" s="13" t="n"/>
      <c r="J5" s="13" t="n"/>
      <c r="K5" s="13" t="n"/>
      <c r="L5" s="13" t="n"/>
      <c r="M5" s="13" t="n"/>
    </row>
    <row r="6">
      <c r="A6" s="15" t="inlineStr">
        <is>
          <t>PK-M002</t>
        </is>
      </c>
      <c r="B6" s="13" t="n"/>
      <c r="C6" s="13" t="n"/>
      <c r="D6" s="13" t="n"/>
      <c r="E6" s="13" t="n"/>
      <c r="F6" s="13" t="n"/>
      <c r="G6" s="13" t="n"/>
      <c r="H6" s="12" t="n"/>
      <c r="I6" s="13" t="n"/>
      <c r="J6" s="13" t="n"/>
      <c r="K6" s="13" t="n"/>
      <c r="L6" s="13" t="n"/>
      <c r="M6" s="13" t="n"/>
    </row>
    <row r="7">
      <c r="A7" s="15" t="inlineStr">
        <is>
          <t>PK-M003</t>
        </is>
      </c>
      <c r="B7" s="13" t="n"/>
      <c r="C7" s="13" t="n"/>
      <c r="D7" s="13" t="n"/>
      <c r="E7" s="13" t="n"/>
      <c r="F7" s="13" t="n"/>
      <c r="G7" s="13" t="n"/>
      <c r="H7" s="12" t="n"/>
      <c r="I7" s="13" t="n"/>
      <c r="J7" s="13" t="n"/>
      <c r="K7" s="13" t="n"/>
      <c r="L7" s="13" t="n"/>
      <c r="M7" s="13" t="n"/>
    </row>
    <row r="8">
      <c r="A8" s="15" t="inlineStr">
        <is>
          <t>PK-M004</t>
        </is>
      </c>
      <c r="B8" s="13" t="n"/>
      <c r="C8" s="13" t="n"/>
      <c r="D8" s="13" t="n"/>
      <c r="E8" s="13" t="n"/>
      <c r="F8" s="13" t="n"/>
      <c r="G8" s="13" t="n"/>
      <c r="H8" s="12" t="n"/>
      <c r="I8" s="13" t="n"/>
      <c r="J8" s="13" t="n"/>
      <c r="K8" s="13" t="n"/>
      <c r="L8" s="13" t="n"/>
      <c r="M8" s="13" t="n"/>
    </row>
    <row r="9">
      <c r="A9" s="15" t="inlineStr">
        <is>
          <t>PK-M005</t>
        </is>
      </c>
      <c r="B9" s="13" t="n"/>
      <c r="C9" s="13" t="n"/>
      <c r="D9" s="13" t="n"/>
      <c r="E9" s="13" t="n"/>
      <c r="F9" s="13" t="n"/>
      <c r="G9" s="13" t="n"/>
      <c r="H9" s="12" t="n"/>
      <c r="I9" s="13" t="n"/>
      <c r="J9" s="13" t="n"/>
      <c r="K9" s="13" t="n"/>
      <c r="L9" s="13" t="n"/>
      <c r="M9" s="13" t="n"/>
    </row>
    <row r="10">
      <c r="A10" s="15" t="inlineStr">
        <is>
          <t>PK-M006</t>
        </is>
      </c>
      <c r="B10" s="13" t="n"/>
      <c r="C10" s="13" t="n"/>
      <c r="D10" s="13" t="n"/>
      <c r="E10" s="13" t="n"/>
      <c r="F10" s="13" t="n"/>
      <c r="G10" s="13" t="n"/>
      <c r="H10" s="12" t="n"/>
      <c r="I10" s="13" t="n"/>
      <c r="J10" s="13" t="n"/>
      <c r="K10" s="13" t="n"/>
      <c r="L10" s="13" t="n"/>
      <c r="M10" s="13" t="n"/>
    </row>
    <row r="11">
      <c r="A11" s="15" t="inlineStr">
        <is>
          <t>PK-M007</t>
        </is>
      </c>
      <c r="B11" s="13" t="n"/>
      <c r="C11" s="13" t="n"/>
      <c r="D11" s="13" t="n"/>
      <c r="E11" s="13" t="n"/>
      <c r="F11" s="13" t="n"/>
      <c r="G11" s="13" t="n"/>
      <c r="H11" s="12" t="n"/>
      <c r="I11" s="13" t="n"/>
      <c r="J11" s="13" t="n"/>
      <c r="K11" s="13" t="n"/>
      <c r="L11" s="13" t="n"/>
      <c r="M11" s="13" t="n"/>
    </row>
    <row r="12">
      <c r="A12" s="15" t="inlineStr">
        <is>
          <t>PK-M008</t>
        </is>
      </c>
      <c r="B12" s="13" t="n"/>
      <c r="C12" s="13" t="n"/>
      <c r="D12" s="13" t="n"/>
      <c r="E12" s="13" t="n"/>
      <c r="F12" s="13" t="n"/>
      <c r="G12" s="13" t="n"/>
      <c r="H12" s="12" t="n"/>
      <c r="I12" s="13" t="n"/>
      <c r="J12" s="13" t="n"/>
      <c r="K12" s="13" t="n"/>
      <c r="L12" s="13" t="n"/>
      <c r="M12" s="13" t="n"/>
    </row>
    <row r="13">
      <c r="A13" s="15" t="inlineStr">
        <is>
          <t>PK-M009</t>
        </is>
      </c>
      <c r="B13" s="13" t="n"/>
      <c r="C13" s="13" t="n"/>
      <c r="D13" s="13" t="n"/>
      <c r="E13" s="13" t="n"/>
      <c r="F13" s="13" t="n"/>
      <c r="G13" s="13" t="n"/>
      <c r="H13" s="12" t="n"/>
      <c r="I13" s="13" t="n"/>
      <c r="J13" s="13" t="n"/>
      <c r="K13" s="13" t="n"/>
      <c r="L13" s="13" t="n"/>
      <c r="M13" s="13" t="n"/>
    </row>
    <row r="14">
      <c r="A14" s="15" t="inlineStr">
        <is>
          <t>PK-M010</t>
        </is>
      </c>
      <c r="B14" s="13" t="n"/>
      <c r="C14" s="13" t="n"/>
      <c r="D14" s="13" t="n"/>
      <c r="E14" s="13" t="n"/>
      <c r="F14" s="13" t="n"/>
      <c r="G14" s="13" t="n"/>
      <c r="H14" s="12" t="n"/>
      <c r="I14" s="13" t="n"/>
      <c r="J14" s="13" t="n"/>
      <c r="K14" s="13" t="n"/>
      <c r="L14" s="13" t="n"/>
      <c r="M14" s="13" t="n"/>
    </row>
    <row r="15">
      <c r="A15" s="15" t="inlineStr">
        <is>
          <t>PK-M011</t>
        </is>
      </c>
      <c r="B15" s="13" t="n"/>
      <c r="C15" s="13" t="n"/>
      <c r="D15" s="13" t="n"/>
      <c r="E15" s="13" t="n"/>
      <c r="F15" s="13" t="n"/>
      <c r="G15" s="13" t="n"/>
      <c r="H15" s="12" t="n"/>
      <c r="I15" s="13" t="n"/>
      <c r="J15" s="13" t="n"/>
      <c r="K15" s="13" t="n"/>
      <c r="L15" s="13" t="n"/>
      <c r="M15" s="13" t="n"/>
    </row>
    <row r="16">
      <c r="A16" s="15" t="inlineStr">
        <is>
          <t>PK-M012</t>
        </is>
      </c>
      <c r="B16" s="13" t="n"/>
      <c r="C16" s="13" t="n"/>
      <c r="D16" s="13" t="n"/>
      <c r="E16" s="13" t="n"/>
      <c r="F16" s="13" t="n"/>
      <c r="G16" s="13" t="n"/>
      <c r="H16" s="12" t="n"/>
      <c r="I16" s="13" t="n"/>
      <c r="J16" s="13" t="n"/>
      <c r="K16" s="13" t="n"/>
      <c r="L16" s="13" t="n"/>
      <c r="M16" s="13" t="n"/>
    </row>
    <row r="17">
      <c r="A17" s="15" t="inlineStr">
        <is>
          <t>PK-M013</t>
        </is>
      </c>
      <c r="B17" s="13" t="n"/>
      <c r="C17" s="13" t="n"/>
      <c r="D17" s="13" t="n"/>
      <c r="E17" s="13" t="n"/>
      <c r="F17" s="13" t="n"/>
      <c r="G17" s="13" t="n"/>
      <c r="H17" s="12" t="n"/>
      <c r="I17" s="13" t="n"/>
      <c r="J17" s="13" t="n"/>
      <c r="K17" s="13" t="n"/>
      <c r="L17" s="13" t="n"/>
      <c r="M17" s="13" t="n"/>
    </row>
    <row r="18">
      <c r="A18" s="15" t="inlineStr">
        <is>
          <t>PK-M014</t>
        </is>
      </c>
      <c r="B18" s="13" t="n"/>
      <c r="C18" s="13" t="n"/>
      <c r="D18" s="13" t="n"/>
      <c r="E18" s="13" t="n"/>
      <c r="F18" s="13" t="n"/>
      <c r="G18" s="13" t="n"/>
      <c r="H18" s="12" t="n"/>
      <c r="I18" s="13" t="n"/>
      <c r="J18" s="13" t="n"/>
      <c r="K18" s="13" t="n"/>
      <c r="L18" s="13" t="n"/>
      <c r="M18" s="13" t="n"/>
    </row>
    <row r="19">
      <c r="A19" s="15" t="inlineStr">
        <is>
          <t>PK-M015</t>
        </is>
      </c>
      <c r="B19" s="13" t="n"/>
      <c r="C19" s="13" t="n"/>
      <c r="D19" s="13" t="n"/>
      <c r="E19" s="13" t="n"/>
      <c r="F19" s="13" t="n"/>
      <c r="G19" s="13" t="n"/>
      <c r="H19" s="12" t="n"/>
      <c r="I19" s="13" t="n"/>
      <c r="J19" s="13" t="n"/>
      <c r="K19" s="13" t="n"/>
      <c r="L19" s="13" t="n"/>
      <c r="M19" s="13" t="n"/>
    </row>
    <row r="20">
      <c r="A20" s="15" t="inlineStr">
        <is>
          <t>PK-M016</t>
        </is>
      </c>
      <c r="B20" s="13" t="n"/>
      <c r="C20" s="13" t="n"/>
      <c r="D20" s="13" t="n"/>
      <c r="E20" s="13" t="n"/>
      <c r="F20" s="13" t="n"/>
      <c r="G20" s="13" t="n"/>
      <c r="H20" s="12" t="n"/>
      <c r="I20" s="13" t="n"/>
      <c r="J20" s="13" t="n"/>
      <c r="K20" s="13" t="n"/>
      <c r="L20" s="13" t="n"/>
      <c r="M20" s="13" t="n"/>
    </row>
    <row r="21">
      <c r="A21" s="15" t="inlineStr">
        <is>
          <t>PK-M017</t>
        </is>
      </c>
      <c r="B21" s="13" t="n"/>
      <c r="C21" s="13" t="n"/>
      <c r="D21" s="13" t="n"/>
      <c r="E21" s="13" t="n"/>
      <c r="F21" s="13" t="n"/>
      <c r="G21" s="13" t="n"/>
      <c r="H21" s="12" t="n"/>
      <c r="I21" s="13" t="n"/>
      <c r="J21" s="13" t="n"/>
      <c r="K21" s="13" t="n"/>
      <c r="L21" s="13" t="n"/>
      <c r="M21" s="13" t="n"/>
    </row>
    <row r="22">
      <c r="A22" s="15" t="inlineStr">
        <is>
          <t>PK-M018</t>
        </is>
      </c>
      <c r="B22" s="13" t="n"/>
      <c r="C22" s="13" t="n"/>
      <c r="D22" s="13" t="n"/>
      <c r="E22" s="13" t="n"/>
      <c r="F22" s="13" t="n"/>
      <c r="G22" s="13" t="n"/>
      <c r="H22" s="12" t="n"/>
      <c r="I22" s="13" t="n"/>
      <c r="J22" s="13" t="n"/>
      <c r="K22" s="13" t="n"/>
      <c r="L22" s="13" t="n"/>
      <c r="M22" s="13" t="n"/>
    </row>
    <row r="23">
      <c r="A23" s="15" t="inlineStr">
        <is>
          <t>PK-M019</t>
        </is>
      </c>
      <c r="B23" s="13" t="n"/>
      <c r="C23" s="13" t="n"/>
      <c r="D23" s="13" t="n"/>
      <c r="E23" s="13" t="n"/>
      <c r="F23" s="13" t="n"/>
      <c r="G23" s="13" t="n"/>
      <c r="H23" s="12" t="n"/>
      <c r="I23" s="13" t="n"/>
      <c r="J23" s="13" t="n"/>
      <c r="K23" s="13" t="n"/>
      <c r="L23" s="13" t="n"/>
      <c r="M23" s="13" t="n"/>
    </row>
    <row r="24">
      <c r="A24" s="15" t="inlineStr">
        <is>
          <t>PK-M020</t>
        </is>
      </c>
      <c r="B24" s="13" t="n"/>
      <c r="C24" s="13" t="n"/>
      <c r="D24" s="13" t="n"/>
      <c r="E24" s="13" t="n"/>
      <c r="F24" s="13" t="n"/>
      <c r="G24" s="13" t="n"/>
      <c r="H24" s="12" t="n"/>
      <c r="I24" s="13" t="n"/>
      <c r="J24" s="13" t="n"/>
      <c r="K24" s="13" t="n"/>
      <c r="L24" s="13" t="n"/>
      <c r="M24" s="13" t="n"/>
    </row>
    <row r="25">
      <c r="A25" s="15" t="inlineStr">
        <is>
          <t>PK-M021</t>
        </is>
      </c>
      <c r="B25" s="13" t="n"/>
      <c r="C25" s="13" t="n"/>
      <c r="D25" s="13" t="n"/>
      <c r="E25" s="13" t="n"/>
      <c r="F25" s="13" t="n"/>
      <c r="G25" s="13" t="n"/>
      <c r="H25" s="12" t="n"/>
      <c r="I25" s="13" t="n"/>
      <c r="J25" s="13" t="n"/>
      <c r="K25" s="13" t="n"/>
      <c r="L25" s="13" t="n"/>
      <c r="M25" s="13" t="n"/>
    </row>
    <row r="26">
      <c r="A26" s="15" t="inlineStr">
        <is>
          <t>PK-M022</t>
        </is>
      </c>
      <c r="B26" s="13" t="n"/>
      <c r="C26" s="13" t="n"/>
      <c r="D26" s="13" t="n"/>
      <c r="E26" s="13" t="n"/>
      <c r="F26" s="13" t="n"/>
      <c r="G26" s="13" t="n"/>
      <c r="H26" s="12" t="n"/>
      <c r="I26" s="13" t="n"/>
      <c r="J26" s="13" t="n"/>
      <c r="K26" s="13" t="n"/>
      <c r="L26" s="13" t="n"/>
      <c r="M26" s="13" t="n"/>
    </row>
    <row r="27">
      <c r="A27" s="15" t="inlineStr">
        <is>
          <t>PK-M023</t>
        </is>
      </c>
      <c r="B27" s="13" t="n"/>
      <c r="C27" s="13" t="n"/>
      <c r="D27" s="13" t="n"/>
      <c r="E27" s="13" t="n"/>
      <c r="F27" s="13" t="n"/>
      <c r="G27" s="13" t="n"/>
      <c r="H27" s="12" t="n"/>
      <c r="I27" s="13" t="n"/>
      <c r="J27" s="13" t="n"/>
      <c r="K27" s="13" t="n"/>
      <c r="L27" s="13" t="n"/>
      <c r="M27" s="13" t="n"/>
    </row>
    <row r="28">
      <c r="A28" s="15" t="inlineStr">
        <is>
          <t>PK-M024</t>
        </is>
      </c>
      <c r="B28" s="13" t="n"/>
      <c r="C28" s="13" t="n"/>
      <c r="D28" s="13" t="n"/>
      <c r="E28" s="13" t="n"/>
      <c r="F28" s="13" t="n"/>
      <c r="G28" s="13" t="n"/>
      <c r="H28" s="12" t="n"/>
      <c r="I28" s="13" t="n"/>
      <c r="J28" s="13" t="n"/>
      <c r="K28" s="13" t="n"/>
      <c r="L28" s="13" t="n"/>
      <c r="M28" s="13" t="n"/>
    </row>
    <row r="29">
      <c r="A29" s="15" t="inlineStr">
        <is>
          <t>PK-M025</t>
        </is>
      </c>
      <c r="B29" s="13" t="n"/>
      <c r="C29" s="13" t="n"/>
      <c r="D29" s="13" t="n"/>
      <c r="E29" s="13" t="n"/>
      <c r="F29" s="13" t="n"/>
      <c r="G29" s="13" t="n"/>
      <c r="H29" s="12" t="n"/>
      <c r="I29" s="13" t="n"/>
      <c r="J29" s="13" t="n"/>
      <c r="K29" s="13" t="n"/>
      <c r="L29" s="13" t="n"/>
      <c r="M29" s="13" t="n"/>
    </row>
    <row r="30">
      <c r="A30" s="15" t="inlineStr">
        <is>
          <t>PK-M026</t>
        </is>
      </c>
      <c r="B30" s="13" t="n"/>
      <c r="C30" s="13" t="n"/>
      <c r="D30" s="13" t="n"/>
      <c r="E30" s="13" t="n"/>
      <c r="F30" s="13" t="n"/>
      <c r="G30" s="13" t="n"/>
      <c r="H30" s="12" t="n"/>
      <c r="I30" s="13" t="n"/>
      <c r="J30" s="13" t="n"/>
      <c r="K30" s="13" t="n"/>
      <c r="L30" s="13" t="n"/>
      <c r="M30" s="13" t="n"/>
    </row>
    <row r="31">
      <c r="A31" s="15" t="inlineStr">
        <is>
          <t>PK-M027</t>
        </is>
      </c>
      <c r="B31" s="13" t="n"/>
      <c r="C31" s="13" t="n"/>
      <c r="D31" s="13" t="n"/>
      <c r="E31" s="13" t="n"/>
      <c r="F31" s="13" t="n"/>
      <c r="G31" s="13" t="n"/>
      <c r="H31" s="12" t="n"/>
      <c r="I31" s="13" t="n"/>
      <c r="J31" s="13" t="n"/>
      <c r="K31" s="13" t="n"/>
      <c r="L31" s="13" t="n"/>
      <c r="M31" s="13" t="n"/>
    </row>
    <row r="32">
      <c r="A32" s="15" t="inlineStr">
        <is>
          <t>PK-M028</t>
        </is>
      </c>
      <c r="B32" s="13" t="n"/>
      <c r="C32" s="13" t="n"/>
      <c r="D32" s="13" t="n"/>
      <c r="E32" s="13" t="n"/>
      <c r="F32" s="13" t="n"/>
      <c r="G32" s="13" t="n"/>
      <c r="H32" s="12" t="n"/>
      <c r="I32" s="13" t="n"/>
      <c r="J32" s="13" t="n"/>
      <c r="K32" s="13" t="n"/>
      <c r="L32" s="13" t="n"/>
      <c r="M32" s="13" t="n"/>
    </row>
    <row r="33">
      <c r="A33" s="15" t="inlineStr">
        <is>
          <t>PK-M029</t>
        </is>
      </c>
      <c r="B33" s="13" t="n"/>
      <c r="C33" s="13" t="n"/>
      <c r="D33" s="13" t="n"/>
      <c r="E33" s="13" t="n"/>
      <c r="F33" s="13" t="n"/>
      <c r="G33" s="13" t="n"/>
      <c r="H33" s="12" t="n"/>
      <c r="I33" s="13" t="n"/>
      <c r="J33" s="13" t="n"/>
      <c r="K33" s="13" t="n"/>
      <c r="L33" s="13" t="n"/>
      <c r="M33" s="13" t="n"/>
    </row>
    <row r="34">
      <c r="A34" s="15" t="inlineStr">
        <is>
          <t>PK-M030</t>
        </is>
      </c>
      <c r="B34" s="13" t="n"/>
      <c r="C34" s="13" t="n"/>
      <c r="D34" s="13" t="n"/>
      <c r="E34" s="13" t="n"/>
      <c r="F34" s="13" t="n"/>
      <c r="G34" s="13" t="n"/>
      <c r="H34" s="12" t="n"/>
      <c r="I34" s="13" t="n"/>
      <c r="J34" s="13" t="n"/>
      <c r="K34" s="13" t="n"/>
      <c r="L34" s="13" t="n"/>
      <c r="M34" s="13" t="n"/>
    </row>
    <row r="35">
      <c r="A35" s="15" t="inlineStr">
        <is>
          <t>PK-M031</t>
        </is>
      </c>
      <c r="B35" s="13" t="n"/>
      <c r="C35" s="13" t="n"/>
      <c r="D35" s="13" t="n"/>
      <c r="E35" s="13" t="n"/>
      <c r="F35" s="13" t="n"/>
      <c r="G35" s="13" t="n"/>
      <c r="H35" s="12" t="n"/>
      <c r="I35" s="13" t="n"/>
      <c r="J35" s="13" t="n"/>
      <c r="K35" s="13" t="n"/>
      <c r="L35" s="13" t="n"/>
      <c r="M35" s="13" t="n"/>
    </row>
    <row r="36">
      <c r="A36" s="15" t="inlineStr">
        <is>
          <t>PK-M032</t>
        </is>
      </c>
      <c r="B36" s="13" t="n"/>
      <c r="C36" s="13" t="n"/>
      <c r="D36" s="13" t="n"/>
      <c r="E36" s="13" t="n"/>
      <c r="F36" s="13" t="n"/>
      <c r="G36" s="13" t="n"/>
      <c r="H36" s="12" t="n"/>
      <c r="I36" s="13" t="n"/>
      <c r="J36" s="13" t="n"/>
      <c r="K36" s="13" t="n"/>
      <c r="L36" s="13" t="n"/>
      <c r="M36" s="13" t="n"/>
    </row>
    <row r="37">
      <c r="A37" s="15" t="inlineStr">
        <is>
          <t>PK-M033</t>
        </is>
      </c>
      <c r="B37" s="13" t="n"/>
      <c r="C37" s="13" t="n"/>
      <c r="D37" s="13" t="n"/>
      <c r="E37" s="13" t="n"/>
      <c r="F37" s="13" t="n"/>
      <c r="G37" s="13" t="n"/>
      <c r="H37" s="12" t="n"/>
      <c r="I37" s="13" t="n"/>
      <c r="J37" s="13" t="n"/>
      <c r="K37" s="13" t="n"/>
      <c r="L37" s="13" t="n"/>
      <c r="M37" s="13" t="n"/>
    </row>
    <row r="38">
      <c r="A38" s="15" t="inlineStr">
        <is>
          <t>PK-M034</t>
        </is>
      </c>
      <c r="B38" s="13" t="n"/>
      <c r="C38" s="13" t="n"/>
      <c r="D38" s="13" t="n"/>
      <c r="E38" s="13" t="n"/>
      <c r="F38" s="13" t="n"/>
      <c r="G38" s="13" t="n"/>
      <c r="H38" s="12" t="n"/>
      <c r="I38" s="13" t="n"/>
      <c r="J38" s="13" t="n"/>
      <c r="K38" s="13" t="n"/>
      <c r="L38" s="13" t="n"/>
      <c r="M38" s="13" t="n"/>
    </row>
    <row r="39">
      <c r="A39" s="15" t="inlineStr">
        <is>
          <t>PK-M035</t>
        </is>
      </c>
      <c r="B39" s="13" t="n"/>
      <c r="C39" s="13" t="n"/>
      <c r="D39" s="13" t="n"/>
      <c r="E39" s="13" t="n"/>
      <c r="F39" s="13" t="n"/>
      <c r="G39" s="13" t="n"/>
      <c r="H39" s="12" t="n"/>
      <c r="I39" s="13" t="n"/>
      <c r="J39" s="13" t="n"/>
      <c r="K39" s="13" t="n"/>
      <c r="L39" s="13" t="n"/>
      <c r="M39" s="13" t="n"/>
    </row>
    <row r="40">
      <c r="A40" s="15" t="inlineStr">
        <is>
          <t>PK-M036</t>
        </is>
      </c>
      <c r="B40" s="13" t="n"/>
      <c r="C40" s="13" t="n"/>
      <c r="D40" s="13" t="n"/>
      <c r="E40" s="13" t="n"/>
      <c r="F40" s="13" t="n"/>
      <c r="G40" s="13" t="n"/>
      <c r="H40" s="12" t="n"/>
      <c r="I40" s="13" t="n"/>
      <c r="J40" s="13" t="n"/>
      <c r="K40" s="13" t="n"/>
      <c r="L40" s="13" t="n"/>
      <c r="M40" s="13" t="n"/>
    </row>
    <row r="41">
      <c r="A41" s="15" t="inlineStr">
        <is>
          <t>PK-M037</t>
        </is>
      </c>
      <c r="B41" s="13" t="n"/>
      <c r="C41" s="13" t="n"/>
      <c r="D41" s="13" t="n"/>
      <c r="E41" s="13" t="n"/>
      <c r="F41" s="13" t="n"/>
      <c r="G41" s="13" t="n"/>
      <c r="H41" s="12" t="n"/>
      <c r="I41" s="13" t="n"/>
      <c r="J41" s="13" t="n"/>
      <c r="K41" s="13" t="n"/>
      <c r="L41" s="13" t="n"/>
      <c r="M41" s="13" t="n"/>
    </row>
    <row r="42">
      <c r="A42" s="15" t="inlineStr">
        <is>
          <t>PK-M038</t>
        </is>
      </c>
      <c r="B42" s="13" t="n"/>
      <c r="C42" s="13" t="n"/>
      <c r="D42" s="13" t="n"/>
      <c r="E42" s="13" t="n"/>
      <c r="F42" s="13" t="n"/>
      <c r="G42" s="13" t="n"/>
      <c r="H42" s="12" t="n"/>
      <c r="I42" s="13" t="n"/>
      <c r="J42" s="13" t="n"/>
      <c r="K42" s="13" t="n"/>
      <c r="L42" s="13" t="n"/>
      <c r="M42" s="13" t="n"/>
    </row>
    <row r="43">
      <c r="A43" s="15" t="inlineStr">
        <is>
          <t>PK-M039</t>
        </is>
      </c>
      <c r="B43" s="13" t="n"/>
      <c r="C43" s="13" t="n"/>
      <c r="D43" s="13" t="n"/>
      <c r="E43" s="13" t="n"/>
      <c r="F43" s="13" t="n"/>
      <c r="G43" s="13" t="n"/>
      <c r="H43" s="12" t="n"/>
      <c r="I43" s="13" t="n"/>
      <c r="J43" s="13" t="n"/>
      <c r="K43" s="13" t="n"/>
      <c r="L43" s="13" t="n"/>
      <c r="M43" s="13" t="n"/>
    </row>
    <row r="44">
      <c r="A44" s="15" t="inlineStr">
        <is>
          <t>PK-M040</t>
        </is>
      </c>
      <c r="B44" s="13" t="n"/>
      <c r="C44" s="13" t="n"/>
      <c r="D44" s="13" t="n"/>
      <c r="E44" s="13" t="n"/>
      <c r="F44" s="13" t="n"/>
      <c r="G44" s="13" t="n"/>
      <c r="H44" s="12" t="n"/>
      <c r="I44" s="13" t="n"/>
      <c r="J44" s="13" t="n"/>
      <c r="K44" s="13" t="n"/>
      <c r="L44" s="13" t="n"/>
      <c r="M44" s="13" t="n"/>
    </row>
    <row r="45">
      <c r="A45" s="15" t="inlineStr">
        <is>
          <t>PK-M041</t>
        </is>
      </c>
      <c r="B45" s="13" t="n"/>
      <c r="C45" s="13" t="n"/>
      <c r="D45" s="13" t="n"/>
      <c r="E45" s="13" t="n"/>
      <c r="F45" s="13" t="n"/>
      <c r="G45" s="13" t="n"/>
      <c r="H45" s="12" t="n"/>
      <c r="I45" s="13" t="n"/>
      <c r="J45" s="13" t="n"/>
      <c r="K45" s="13" t="n"/>
      <c r="L45" s="13" t="n"/>
      <c r="M45" s="13" t="n"/>
    </row>
    <row r="46">
      <c r="A46" s="15" t="inlineStr">
        <is>
          <t>PK-M042</t>
        </is>
      </c>
      <c r="B46" s="13" t="n"/>
      <c r="C46" s="13" t="n"/>
      <c r="D46" s="13" t="n"/>
      <c r="E46" s="13" t="n"/>
      <c r="F46" s="13" t="n"/>
      <c r="G46" s="13" t="n"/>
      <c r="H46" s="12" t="n"/>
      <c r="I46" s="13" t="n"/>
      <c r="J46" s="13" t="n"/>
      <c r="K46" s="13" t="n"/>
      <c r="L46" s="13" t="n"/>
      <c r="M46" s="13" t="n"/>
    </row>
    <row r="47">
      <c r="A47" s="15" t="inlineStr">
        <is>
          <t>PK-M043</t>
        </is>
      </c>
      <c r="B47" s="13" t="n"/>
      <c r="C47" s="13" t="n"/>
      <c r="D47" s="13" t="n"/>
      <c r="E47" s="13" t="n"/>
      <c r="F47" s="13" t="n"/>
      <c r="G47" s="13" t="n"/>
      <c r="H47" s="12" t="n"/>
      <c r="I47" s="13" t="n"/>
      <c r="J47" s="13" t="n"/>
      <c r="K47" s="13" t="n"/>
      <c r="L47" s="13" t="n"/>
      <c r="M47" s="13" t="n"/>
    </row>
    <row r="48">
      <c r="A48" s="15" t="inlineStr">
        <is>
          <t>PK-M044</t>
        </is>
      </c>
      <c r="B48" s="13" t="n"/>
      <c r="C48" s="13" t="n"/>
      <c r="D48" s="13" t="n"/>
      <c r="E48" s="13" t="n"/>
      <c r="F48" s="13" t="n"/>
      <c r="G48" s="13" t="n"/>
      <c r="H48" s="12" t="n"/>
      <c r="I48" s="13" t="n"/>
      <c r="J48" s="13" t="n"/>
      <c r="K48" s="13" t="n"/>
      <c r="L48" s="13" t="n"/>
      <c r="M48" s="13" t="n"/>
    </row>
    <row r="49">
      <c r="A49" s="15" t="inlineStr">
        <is>
          <t>PK-M045</t>
        </is>
      </c>
      <c r="B49" s="13" t="n"/>
      <c r="C49" s="13" t="n"/>
      <c r="D49" s="13" t="n"/>
      <c r="E49" s="13" t="n"/>
      <c r="F49" s="13" t="n"/>
      <c r="G49" s="13" t="n"/>
      <c r="H49" s="12" t="n"/>
      <c r="I49" s="13" t="n"/>
      <c r="J49" s="13" t="n"/>
      <c r="K49" s="13" t="n"/>
      <c r="L49" s="13" t="n"/>
      <c r="M49" s="13" t="n"/>
    </row>
    <row r="50">
      <c r="A50" s="15" t="inlineStr">
        <is>
          <t>PK-M046</t>
        </is>
      </c>
      <c r="B50" s="13" t="n"/>
      <c r="C50" s="13" t="n"/>
      <c r="D50" s="13" t="n"/>
      <c r="E50" s="13" t="n"/>
      <c r="F50" s="13" t="n"/>
      <c r="G50" s="13" t="n"/>
      <c r="H50" s="12" t="n"/>
      <c r="I50" s="13" t="n"/>
      <c r="J50" s="13" t="n"/>
      <c r="K50" s="13" t="n"/>
      <c r="L50" s="13" t="n"/>
      <c r="M50" s="13" t="n"/>
    </row>
    <row r="51">
      <c r="A51" s="15" t="inlineStr">
        <is>
          <t>PK-M047</t>
        </is>
      </c>
      <c r="B51" s="13" t="n"/>
      <c r="C51" s="13" t="n"/>
      <c r="D51" s="13" t="n"/>
      <c r="E51" s="13" t="n"/>
      <c r="F51" s="13" t="n"/>
      <c r="G51" s="13" t="n"/>
      <c r="H51" s="12" t="n"/>
      <c r="I51" s="13" t="n"/>
      <c r="J51" s="13" t="n"/>
      <c r="K51" s="13" t="n"/>
      <c r="L51" s="13" t="n"/>
      <c r="M51" s="13" t="n"/>
    </row>
    <row r="52">
      <c r="A52" s="15" t="inlineStr">
        <is>
          <t>PK-M048</t>
        </is>
      </c>
      <c r="B52" s="13" t="n"/>
      <c r="C52" s="13" t="n"/>
      <c r="D52" s="13" t="n"/>
      <c r="E52" s="13" t="n"/>
      <c r="F52" s="13" t="n"/>
      <c r="G52" s="13" t="n"/>
      <c r="H52" s="12" t="n"/>
      <c r="I52" s="13" t="n"/>
      <c r="J52" s="13" t="n"/>
      <c r="K52" s="13" t="n"/>
      <c r="L52" s="13" t="n"/>
      <c r="M52" s="13" t="n"/>
    </row>
    <row r="53">
      <c r="A53" s="15" t="inlineStr">
        <is>
          <t>PK-M049</t>
        </is>
      </c>
      <c r="B53" s="13" t="n"/>
      <c r="C53" s="13" t="n"/>
      <c r="D53" s="13" t="n"/>
      <c r="E53" s="13" t="n"/>
      <c r="F53" s="13" t="n"/>
      <c r="G53" s="13" t="n"/>
      <c r="H53" s="12" t="n"/>
      <c r="I53" s="13" t="n"/>
      <c r="J53" s="13" t="n"/>
      <c r="K53" s="13" t="n"/>
      <c r="L53" s="13" t="n"/>
      <c r="M53" s="13" t="n"/>
    </row>
    <row r="54">
      <c r="A54" s="15" t="inlineStr">
        <is>
          <t>PK-M050</t>
        </is>
      </c>
      <c r="B54" s="13" t="n"/>
      <c r="C54" s="13" t="n"/>
      <c r="D54" s="13" t="n"/>
      <c r="E54" s="13" t="n"/>
      <c r="F54" s="13" t="n"/>
      <c r="G54" s="13" t="n"/>
      <c r="H54" s="12" t="n"/>
      <c r="I54" s="13" t="n"/>
      <c r="J54" s="13" t="n"/>
      <c r="K54" s="13" t="n"/>
      <c r="L54" s="13" t="n"/>
      <c r="M54" s="13" t="n"/>
    </row>
    <row r="55">
      <c r="A55" s="15" t="inlineStr">
        <is>
          <t>PK-M051</t>
        </is>
      </c>
      <c r="B55" s="13" t="n"/>
      <c r="C55" s="13" t="n"/>
      <c r="D55" s="13" t="n"/>
      <c r="E55" s="13" t="n"/>
      <c r="F55" s="13" t="n"/>
      <c r="G55" s="13" t="n"/>
      <c r="H55" s="12" t="n"/>
      <c r="I55" s="13" t="n"/>
      <c r="J55" s="13" t="n"/>
      <c r="K55" s="13" t="n"/>
      <c r="L55" s="13" t="n"/>
      <c r="M55" s="13" t="n"/>
    </row>
    <row r="56">
      <c r="A56" s="15" t="inlineStr">
        <is>
          <t>PK-M052</t>
        </is>
      </c>
      <c r="B56" s="13" t="n"/>
      <c r="C56" s="13" t="n"/>
      <c r="D56" s="13" t="n"/>
      <c r="E56" s="13" t="n"/>
      <c r="F56" s="13" t="n"/>
      <c r="G56" s="13" t="n"/>
      <c r="H56" s="12" t="n"/>
      <c r="I56" s="13" t="n"/>
      <c r="J56" s="13" t="n"/>
      <c r="K56" s="13" t="n"/>
      <c r="L56" s="13" t="n"/>
      <c r="M56" s="13" t="n"/>
    </row>
    <row r="57">
      <c r="A57" s="15" t="inlineStr">
        <is>
          <t>PK-M053</t>
        </is>
      </c>
      <c r="B57" s="13" t="n"/>
      <c r="C57" s="13" t="n"/>
      <c r="D57" s="13" t="n"/>
      <c r="E57" s="13" t="n"/>
      <c r="F57" s="13" t="n"/>
      <c r="G57" s="13" t="n"/>
      <c r="H57" s="12" t="n"/>
      <c r="I57" s="13" t="n"/>
      <c r="J57" s="13" t="n"/>
      <c r="K57" s="13" t="n"/>
      <c r="L57" s="13" t="n"/>
      <c r="M57" s="13" t="n"/>
    </row>
    <row r="58">
      <c r="A58" s="15" t="inlineStr">
        <is>
          <t>PK-M054</t>
        </is>
      </c>
      <c r="B58" s="13" t="n"/>
      <c r="C58" s="13" t="n"/>
      <c r="D58" s="13" t="n"/>
      <c r="E58" s="13" t="n"/>
      <c r="F58" s="13" t="n"/>
      <c r="G58" s="13" t="n"/>
      <c r="H58" s="12" t="n"/>
      <c r="I58" s="13" t="n"/>
      <c r="J58" s="13" t="n"/>
      <c r="K58" s="13" t="n"/>
      <c r="L58" s="13" t="n"/>
      <c r="M58" s="13" t="n"/>
    </row>
    <row r="59">
      <c r="A59" s="15" t="inlineStr">
        <is>
          <t>PK-M055</t>
        </is>
      </c>
      <c r="B59" s="13" t="n"/>
      <c r="C59" s="13" t="n"/>
      <c r="D59" s="13" t="n"/>
      <c r="E59" s="13" t="n"/>
      <c r="F59" s="13" t="n"/>
      <c r="G59" s="13" t="n"/>
      <c r="H59" s="12" t="n"/>
      <c r="I59" s="13" t="n"/>
      <c r="J59" s="13" t="n"/>
      <c r="K59" s="13" t="n"/>
      <c r="L59" s="13" t="n"/>
      <c r="M59" s="13" t="n"/>
    </row>
    <row r="60">
      <c r="A60" s="15" t="inlineStr">
        <is>
          <t>PK-M056</t>
        </is>
      </c>
      <c r="B60" s="13" t="n"/>
      <c r="C60" s="13" t="n"/>
      <c r="D60" s="13" t="n"/>
      <c r="E60" s="13" t="n"/>
      <c r="F60" s="13" t="n"/>
      <c r="G60" s="13" t="n"/>
      <c r="H60" s="12" t="n"/>
      <c r="I60" s="13" t="n"/>
      <c r="J60" s="13" t="n"/>
      <c r="K60" s="13" t="n"/>
      <c r="L60" s="13" t="n"/>
      <c r="M60" s="13" t="n"/>
    </row>
    <row r="61">
      <c r="A61" s="15" t="inlineStr">
        <is>
          <t>PK-M057</t>
        </is>
      </c>
      <c r="B61" s="13" t="n"/>
      <c r="C61" s="13" t="n"/>
      <c r="D61" s="13" t="n"/>
      <c r="E61" s="13" t="n"/>
      <c r="F61" s="13" t="n"/>
      <c r="G61" s="13" t="n"/>
      <c r="H61" s="12" t="n"/>
      <c r="I61" s="13" t="n"/>
      <c r="J61" s="13" t="n"/>
      <c r="K61" s="13" t="n"/>
      <c r="L61" s="13" t="n"/>
      <c r="M61" s="13" t="n"/>
    </row>
    <row r="62">
      <c r="A62" s="15" t="inlineStr">
        <is>
          <t>PK-M058</t>
        </is>
      </c>
      <c r="B62" s="13" t="n"/>
      <c r="C62" s="13" t="n"/>
      <c r="D62" s="13" t="n"/>
      <c r="E62" s="13" t="n"/>
      <c r="F62" s="13" t="n"/>
      <c r="G62" s="13" t="n"/>
      <c r="H62" s="12" t="n"/>
      <c r="I62" s="13" t="n"/>
      <c r="J62" s="13" t="n"/>
      <c r="K62" s="13" t="n"/>
      <c r="L62" s="13" t="n"/>
      <c r="M62" s="13" t="n"/>
    </row>
    <row r="63">
      <c r="A63" s="15" t="inlineStr">
        <is>
          <t>PK-M059</t>
        </is>
      </c>
      <c r="B63" s="13" t="n"/>
      <c r="C63" s="13" t="n"/>
      <c r="D63" s="13" t="n"/>
      <c r="E63" s="13" t="n"/>
      <c r="F63" s="13" t="n"/>
      <c r="G63" s="13" t="n"/>
      <c r="H63" s="12" t="n"/>
      <c r="I63" s="13" t="n"/>
      <c r="J63" s="13" t="n"/>
      <c r="K63" s="13" t="n"/>
      <c r="L63" s="13" t="n"/>
      <c r="M63" s="13" t="n"/>
    </row>
    <row r="64">
      <c r="A64" s="15" t="inlineStr">
        <is>
          <t>PK-M060</t>
        </is>
      </c>
      <c r="B64" s="13" t="n"/>
      <c r="C64" s="13" t="n"/>
      <c r="D64" s="13" t="n"/>
      <c r="E64" s="13" t="n"/>
      <c r="F64" s="13" t="n"/>
      <c r="G64" s="13" t="n"/>
      <c r="H64" s="12" t="n"/>
      <c r="I64" s="13" t="n"/>
      <c r="J64" s="13" t="n"/>
      <c r="K64" s="13" t="n"/>
      <c r="L64" s="13" t="n"/>
      <c r="M64" s="13" t="n"/>
    </row>
    <row r="65">
      <c r="A65" s="15" t="inlineStr">
        <is>
          <t>PK-M061</t>
        </is>
      </c>
      <c r="B65" s="13" t="n"/>
      <c r="C65" s="13" t="n"/>
      <c r="D65" s="13" t="n"/>
      <c r="E65" s="13" t="n"/>
      <c r="F65" s="13" t="n"/>
      <c r="G65" s="13" t="n"/>
      <c r="H65" s="12" t="n"/>
      <c r="I65" s="13" t="n"/>
      <c r="J65" s="13" t="n"/>
      <c r="K65" s="13" t="n"/>
      <c r="L65" s="13" t="n"/>
      <c r="M65" s="13" t="n"/>
    </row>
    <row r="66">
      <c r="A66" s="15" t="inlineStr">
        <is>
          <t>PK-M062</t>
        </is>
      </c>
      <c r="B66" s="13" t="n"/>
      <c r="C66" s="13" t="n"/>
      <c r="D66" s="13" t="n"/>
      <c r="E66" s="13" t="n"/>
      <c r="F66" s="13" t="n"/>
      <c r="G66" s="13" t="n"/>
      <c r="H66" s="12" t="n"/>
      <c r="I66" s="13" t="n"/>
      <c r="J66" s="13" t="n"/>
      <c r="K66" s="13" t="n"/>
      <c r="L66" s="13" t="n"/>
      <c r="M66" s="13" t="n"/>
    </row>
    <row r="67">
      <c r="A67" s="15" t="inlineStr">
        <is>
          <t>PK-M063</t>
        </is>
      </c>
      <c r="B67" s="13" t="n"/>
      <c r="C67" s="13" t="n"/>
      <c r="D67" s="13" t="n"/>
      <c r="E67" s="13" t="n"/>
      <c r="F67" s="13" t="n"/>
      <c r="G67" s="13" t="n"/>
      <c r="H67" s="12" t="n"/>
      <c r="I67" s="13" t="n"/>
      <c r="J67" s="13" t="n"/>
      <c r="K67" s="13" t="n"/>
      <c r="L67" s="13" t="n"/>
      <c r="M67" s="13" t="n"/>
    </row>
    <row r="68">
      <c r="A68" s="15" t="inlineStr">
        <is>
          <t>PK-M064</t>
        </is>
      </c>
      <c r="B68" s="13" t="n"/>
      <c r="C68" s="13" t="n"/>
      <c r="D68" s="13" t="n"/>
      <c r="E68" s="13" t="n"/>
      <c r="F68" s="13" t="n"/>
      <c r="G68" s="13" t="n"/>
      <c r="H68" s="12" t="n"/>
      <c r="I68" s="13" t="n"/>
      <c r="J68" s="13" t="n"/>
      <c r="K68" s="13" t="n"/>
      <c r="L68" s="13" t="n"/>
      <c r="M68" s="13" t="n"/>
    </row>
    <row r="69">
      <c r="A69" s="15" t="inlineStr">
        <is>
          <t>PK-M065</t>
        </is>
      </c>
      <c r="B69" s="13" t="n"/>
      <c r="C69" s="13" t="n"/>
      <c r="D69" s="13" t="n"/>
      <c r="E69" s="13" t="n"/>
      <c r="F69" s="13" t="n"/>
      <c r="G69" s="13" t="n"/>
      <c r="H69" s="12" t="n"/>
      <c r="I69" s="13" t="n"/>
      <c r="J69" s="13" t="n"/>
      <c r="K69" s="13" t="n"/>
      <c r="L69" s="13" t="n"/>
      <c r="M69" s="13" t="n"/>
    </row>
    <row r="70">
      <c r="A70" s="15" t="inlineStr">
        <is>
          <t>PK-M066</t>
        </is>
      </c>
      <c r="B70" s="13" t="n"/>
      <c r="C70" s="13" t="n"/>
      <c r="D70" s="13" t="n"/>
      <c r="E70" s="13" t="n"/>
      <c r="F70" s="13" t="n"/>
      <c r="G70" s="13" t="n"/>
      <c r="H70" s="12" t="n"/>
      <c r="I70" s="13" t="n"/>
      <c r="J70" s="13" t="n"/>
      <c r="K70" s="13" t="n"/>
      <c r="L70" s="13" t="n"/>
      <c r="M70" s="13" t="n"/>
    </row>
    <row r="71">
      <c r="A71" s="15" t="inlineStr">
        <is>
          <t>PK-M067</t>
        </is>
      </c>
      <c r="B71" s="13" t="n"/>
      <c r="C71" s="13" t="n"/>
      <c r="D71" s="13" t="n"/>
      <c r="E71" s="13" t="n"/>
      <c r="F71" s="13" t="n"/>
      <c r="G71" s="13" t="n"/>
      <c r="H71" s="12" t="n"/>
      <c r="I71" s="13" t="n"/>
      <c r="J71" s="13" t="n"/>
      <c r="K71" s="13" t="n"/>
      <c r="L71" s="13" t="n"/>
      <c r="M71" s="13" t="n"/>
    </row>
    <row r="72">
      <c r="A72" s="15" t="inlineStr">
        <is>
          <t>PK-M068</t>
        </is>
      </c>
      <c r="B72" s="13" t="n"/>
      <c r="C72" s="13" t="n"/>
      <c r="D72" s="13" t="n"/>
      <c r="E72" s="13" t="n"/>
      <c r="F72" s="13" t="n"/>
      <c r="G72" s="13" t="n"/>
      <c r="H72" s="12" t="n"/>
      <c r="I72" s="13" t="n"/>
      <c r="J72" s="13" t="n"/>
      <c r="K72" s="13" t="n"/>
      <c r="L72" s="13" t="n"/>
      <c r="M72" s="13" t="n"/>
    </row>
    <row r="73">
      <c r="A73" s="15" t="inlineStr">
        <is>
          <t>PK-M069</t>
        </is>
      </c>
      <c r="B73" s="13" t="n"/>
      <c r="C73" s="13" t="n"/>
      <c r="D73" s="13" t="n"/>
      <c r="E73" s="13" t="n"/>
      <c r="F73" s="13" t="n"/>
      <c r="G73" s="13" t="n"/>
      <c r="H73" s="12" t="n"/>
      <c r="I73" s="13" t="n"/>
      <c r="J73" s="13" t="n"/>
      <c r="K73" s="13" t="n"/>
      <c r="L73" s="13" t="n"/>
      <c r="M73" s="13" t="n"/>
    </row>
    <row r="74">
      <c r="A74" s="15" t="inlineStr">
        <is>
          <t>PK-M070</t>
        </is>
      </c>
      <c r="B74" s="13" t="n"/>
      <c r="C74" s="13" t="n"/>
      <c r="D74" s="13" t="n"/>
      <c r="E74" s="13" t="n"/>
      <c r="F74" s="13" t="n"/>
      <c r="G74" s="13" t="n"/>
      <c r="H74" s="12" t="n"/>
      <c r="I74" s="13" t="n"/>
      <c r="J74" s="13" t="n"/>
      <c r="K74" s="13" t="n"/>
      <c r="L74" s="13" t="n"/>
      <c r="M74" s="13" t="n"/>
    </row>
    <row r="75">
      <c r="A75" s="15" t="inlineStr">
        <is>
          <t>PK-M071</t>
        </is>
      </c>
      <c r="B75" s="13" t="n"/>
      <c r="C75" s="13" t="n"/>
      <c r="D75" s="13" t="n"/>
      <c r="E75" s="13" t="n"/>
      <c r="F75" s="13" t="n"/>
      <c r="G75" s="13" t="n"/>
      <c r="H75" s="12" t="n"/>
      <c r="I75" s="13" t="n"/>
      <c r="J75" s="13" t="n"/>
      <c r="K75" s="13" t="n"/>
      <c r="L75" s="13" t="n"/>
      <c r="M75" s="13" t="n"/>
    </row>
    <row r="76">
      <c r="A76" s="15" t="inlineStr">
        <is>
          <t>PK-M072</t>
        </is>
      </c>
      <c r="B76" s="13" t="n"/>
      <c r="C76" s="13" t="n"/>
      <c r="D76" s="13" t="n"/>
      <c r="E76" s="13" t="n"/>
      <c r="F76" s="13" t="n"/>
      <c r="G76" s="13" t="n"/>
      <c r="H76" s="12" t="n"/>
      <c r="I76" s="13" t="n"/>
      <c r="J76" s="13" t="n"/>
      <c r="K76" s="13" t="n"/>
      <c r="L76" s="13" t="n"/>
      <c r="M76" s="13" t="n"/>
    </row>
    <row r="77">
      <c r="A77" s="15" t="inlineStr">
        <is>
          <t>PK-M073</t>
        </is>
      </c>
      <c r="B77" s="13" t="n"/>
      <c r="C77" s="13" t="n"/>
      <c r="D77" s="13" t="n"/>
      <c r="E77" s="13" t="n"/>
      <c r="F77" s="13" t="n"/>
      <c r="G77" s="13" t="n"/>
      <c r="H77" s="12" t="n"/>
      <c r="I77" s="13" t="n"/>
      <c r="J77" s="13" t="n"/>
      <c r="K77" s="13" t="n"/>
      <c r="L77" s="13" t="n"/>
      <c r="M77" s="13" t="n"/>
    </row>
    <row r="78">
      <c r="A78" s="15" t="inlineStr">
        <is>
          <t>PK-M074</t>
        </is>
      </c>
      <c r="B78" s="13" t="n"/>
      <c r="C78" s="13" t="n"/>
      <c r="D78" s="13" t="n"/>
      <c r="E78" s="13" t="n"/>
      <c r="F78" s="13" t="n"/>
      <c r="G78" s="13" t="n"/>
      <c r="H78" s="12" t="n"/>
      <c r="I78" s="13" t="n"/>
      <c r="J78" s="13" t="n"/>
      <c r="K78" s="13" t="n"/>
      <c r="L78" s="13" t="n"/>
      <c r="M78" s="13" t="n"/>
    </row>
    <row r="79">
      <c r="A79" s="15" t="inlineStr">
        <is>
          <t>PK-M075</t>
        </is>
      </c>
      <c r="B79" s="13" t="n"/>
      <c r="C79" s="13" t="n"/>
      <c r="D79" s="13" t="n"/>
      <c r="E79" s="13" t="n"/>
      <c r="F79" s="13" t="n"/>
      <c r="G79" s="13" t="n"/>
      <c r="H79" s="12" t="n"/>
      <c r="I79" s="13" t="n"/>
      <c r="J79" s="13" t="n"/>
      <c r="K79" s="13" t="n"/>
      <c r="L79" s="13" t="n"/>
      <c r="M79" s="13" t="n"/>
    </row>
    <row r="80">
      <c r="A80" s="15" t="inlineStr">
        <is>
          <t>PK-M076</t>
        </is>
      </c>
      <c r="B80" s="13" t="n"/>
      <c r="C80" s="13" t="n"/>
      <c r="D80" s="13" t="n"/>
      <c r="E80" s="13" t="n"/>
      <c r="F80" s="13" t="n"/>
      <c r="G80" s="13" t="n"/>
      <c r="H80" s="12" t="n"/>
      <c r="I80" s="13" t="n"/>
      <c r="J80" s="13" t="n"/>
      <c r="K80" s="13" t="n"/>
      <c r="L80" s="13" t="n"/>
      <c r="M80" s="13" t="n"/>
    </row>
    <row r="81">
      <c r="A81" s="15" t="inlineStr">
        <is>
          <t>PK-M077</t>
        </is>
      </c>
      <c r="B81" s="13" t="n"/>
      <c r="C81" s="13" t="n"/>
      <c r="D81" s="13" t="n"/>
      <c r="E81" s="13" t="n"/>
      <c r="F81" s="13" t="n"/>
      <c r="G81" s="13" t="n"/>
      <c r="H81" s="12" t="n"/>
      <c r="I81" s="13" t="n"/>
      <c r="J81" s="13" t="n"/>
      <c r="K81" s="13" t="n"/>
      <c r="L81" s="13" t="n"/>
      <c r="M81" s="13" t="n"/>
    </row>
    <row r="82">
      <c r="A82" s="15" t="inlineStr">
        <is>
          <t>PK-M078</t>
        </is>
      </c>
      <c r="B82" s="13" t="n"/>
      <c r="C82" s="13" t="n"/>
      <c r="D82" s="13" t="n"/>
      <c r="E82" s="13" t="n"/>
      <c r="F82" s="13" t="n"/>
      <c r="G82" s="13" t="n"/>
      <c r="H82" s="12" t="n"/>
      <c r="I82" s="13" t="n"/>
      <c r="J82" s="13" t="n"/>
      <c r="K82" s="13" t="n"/>
      <c r="L82" s="13" t="n"/>
      <c r="M82" s="13" t="n"/>
    </row>
    <row r="83">
      <c r="A83" s="15" t="inlineStr">
        <is>
          <t>PK-M079</t>
        </is>
      </c>
      <c r="B83" s="13" t="n"/>
      <c r="C83" s="13" t="n"/>
      <c r="D83" s="13" t="n"/>
      <c r="E83" s="13" t="n"/>
      <c r="F83" s="13" t="n"/>
      <c r="G83" s="13" t="n"/>
      <c r="H83" s="12" t="n"/>
      <c r="I83" s="13" t="n"/>
      <c r="J83" s="13" t="n"/>
      <c r="K83" s="13" t="n"/>
      <c r="L83" s="13" t="n"/>
      <c r="M83" s="13" t="n"/>
    </row>
    <row r="84">
      <c r="A84" s="15" t="inlineStr">
        <is>
          <t>PK-M080</t>
        </is>
      </c>
      <c r="B84" s="13" t="n"/>
      <c r="C84" s="13" t="n"/>
      <c r="D84" s="13" t="n"/>
      <c r="E84" s="13" t="n"/>
      <c r="F84" s="13" t="n"/>
      <c r="G84" s="13" t="n"/>
      <c r="H84" s="12" t="n"/>
      <c r="I84" s="13" t="n"/>
      <c r="J84" s="13" t="n"/>
      <c r="K84" s="13" t="n"/>
      <c r="L84" s="13" t="n"/>
      <c r="M84" s="13" t="n"/>
    </row>
    <row r="85">
      <c r="A85" s="15" t="inlineStr">
        <is>
          <t>PK-M081</t>
        </is>
      </c>
      <c r="B85" s="13" t="n"/>
      <c r="C85" s="13" t="n"/>
      <c r="D85" s="13" t="n"/>
      <c r="E85" s="13" t="n"/>
      <c r="F85" s="13" t="n"/>
      <c r="G85" s="13" t="n"/>
      <c r="H85" s="12" t="n"/>
      <c r="I85" s="13" t="n"/>
      <c r="J85" s="13" t="n"/>
      <c r="K85" s="13" t="n"/>
      <c r="L85" s="13" t="n"/>
      <c r="M85" s="13" t="n"/>
    </row>
    <row r="86">
      <c r="A86" s="15" t="inlineStr">
        <is>
          <t>PK-M082</t>
        </is>
      </c>
      <c r="B86" s="13" t="n"/>
      <c r="C86" s="13" t="n"/>
      <c r="D86" s="13" t="n"/>
      <c r="E86" s="13" t="n"/>
      <c r="F86" s="13" t="n"/>
      <c r="G86" s="13" t="n"/>
      <c r="H86" s="12" t="n"/>
      <c r="I86" s="13" t="n"/>
      <c r="J86" s="13" t="n"/>
      <c r="K86" s="13" t="n"/>
      <c r="L86" s="13" t="n"/>
      <c r="M86" s="13" t="n"/>
    </row>
    <row r="87">
      <c r="A87" s="15" t="inlineStr">
        <is>
          <t>PK-M083</t>
        </is>
      </c>
      <c r="B87" s="13" t="n"/>
      <c r="C87" s="13" t="n"/>
      <c r="D87" s="13" t="n"/>
      <c r="E87" s="13" t="n"/>
      <c r="F87" s="13" t="n"/>
      <c r="G87" s="13" t="n"/>
      <c r="H87" s="12" t="n"/>
      <c r="I87" s="13" t="n"/>
      <c r="J87" s="13" t="n"/>
      <c r="K87" s="13" t="n"/>
      <c r="L87" s="13" t="n"/>
      <c r="M87" s="13" t="n"/>
    </row>
    <row r="88">
      <c r="A88" s="15" t="inlineStr">
        <is>
          <t>PK-M084</t>
        </is>
      </c>
      <c r="B88" s="13" t="n"/>
      <c r="C88" s="13" t="n"/>
      <c r="D88" s="13" t="n"/>
      <c r="E88" s="13" t="n"/>
      <c r="F88" s="13" t="n"/>
      <c r="G88" s="13" t="n"/>
      <c r="H88" s="12" t="n"/>
      <c r="I88" s="13" t="n"/>
      <c r="J88" s="13" t="n"/>
      <c r="K88" s="13" t="n"/>
      <c r="L88" s="13" t="n"/>
      <c r="M88" s="13" t="n"/>
    </row>
    <row r="89">
      <c r="A89" s="15" t="inlineStr">
        <is>
          <t>PK-M085</t>
        </is>
      </c>
      <c r="B89" s="13" t="n"/>
      <c r="C89" s="13" t="n"/>
      <c r="D89" s="13" t="n"/>
      <c r="E89" s="13" t="n"/>
      <c r="F89" s="13" t="n"/>
      <c r="G89" s="13" t="n"/>
      <c r="H89" s="12" t="n"/>
      <c r="I89" s="13" t="n"/>
      <c r="J89" s="13" t="n"/>
      <c r="K89" s="13" t="n"/>
      <c r="L89" s="13" t="n"/>
      <c r="M89" s="13" t="n"/>
    </row>
    <row r="90">
      <c r="A90" s="15" t="inlineStr">
        <is>
          <t>PK-M086</t>
        </is>
      </c>
      <c r="B90" s="13" t="n"/>
      <c r="C90" s="13" t="n"/>
      <c r="D90" s="13" t="n"/>
      <c r="E90" s="13" t="n"/>
      <c r="F90" s="13" t="n"/>
      <c r="G90" s="13" t="n"/>
      <c r="H90" s="12" t="n"/>
      <c r="I90" s="13" t="n"/>
      <c r="J90" s="13" t="n"/>
      <c r="K90" s="13" t="n"/>
      <c r="L90" s="13" t="n"/>
      <c r="M90" s="13" t="n"/>
    </row>
    <row r="91">
      <c r="A91" s="15" t="inlineStr">
        <is>
          <t>PK-M087</t>
        </is>
      </c>
      <c r="B91" s="13" t="n"/>
      <c r="C91" s="13" t="n"/>
      <c r="D91" s="13" t="n"/>
      <c r="E91" s="13" t="n"/>
      <c r="F91" s="13" t="n"/>
      <c r="G91" s="13" t="n"/>
      <c r="H91" s="12" t="n"/>
      <c r="I91" s="13" t="n"/>
      <c r="J91" s="13" t="n"/>
      <c r="K91" s="13" t="n"/>
      <c r="L91" s="13" t="n"/>
      <c r="M91" s="13" t="n"/>
    </row>
    <row r="92">
      <c r="A92" s="15" t="inlineStr">
        <is>
          <t>PK-M088</t>
        </is>
      </c>
      <c r="B92" s="13" t="n"/>
      <c r="C92" s="13" t="n"/>
      <c r="D92" s="13" t="n"/>
      <c r="E92" s="13" t="n"/>
      <c r="F92" s="13" t="n"/>
      <c r="G92" s="13" t="n"/>
      <c r="H92" s="12" t="n"/>
      <c r="I92" s="13" t="n"/>
      <c r="J92" s="13" t="n"/>
      <c r="K92" s="13" t="n"/>
      <c r="L92" s="13" t="n"/>
      <c r="M92" s="13" t="n"/>
    </row>
    <row r="93">
      <c r="A93" s="15" t="inlineStr">
        <is>
          <t>PK-M089</t>
        </is>
      </c>
      <c r="B93" s="13" t="n"/>
      <c r="C93" s="13" t="n"/>
      <c r="D93" s="13" t="n"/>
      <c r="E93" s="13" t="n"/>
      <c r="F93" s="13" t="n"/>
      <c r="G93" s="13" t="n"/>
      <c r="H93" s="12" t="n"/>
      <c r="I93" s="13" t="n"/>
      <c r="J93" s="13" t="n"/>
      <c r="K93" s="13" t="n"/>
      <c r="L93" s="13" t="n"/>
      <c r="M93" s="13" t="n"/>
    </row>
    <row r="94">
      <c r="A94" s="15" t="inlineStr">
        <is>
          <t>PK-M090</t>
        </is>
      </c>
      <c r="B94" s="13" t="n"/>
      <c r="C94" s="13" t="n"/>
      <c r="D94" s="13" t="n"/>
      <c r="E94" s="13" t="n"/>
      <c r="F94" s="13" t="n"/>
      <c r="G94" s="13" t="n"/>
      <c r="H94" s="12" t="n"/>
      <c r="I94" s="13" t="n"/>
      <c r="J94" s="13" t="n"/>
      <c r="K94" s="13" t="n"/>
      <c r="L94" s="13" t="n"/>
      <c r="M94" s="13" t="n"/>
    </row>
    <row r="95">
      <c r="A95" s="15" t="inlineStr">
        <is>
          <t>PK-M091</t>
        </is>
      </c>
      <c r="B95" s="13" t="n"/>
      <c r="C95" s="13" t="n"/>
      <c r="D95" s="13" t="n"/>
      <c r="E95" s="13" t="n"/>
      <c r="F95" s="13" t="n"/>
      <c r="G95" s="13" t="n"/>
      <c r="H95" s="12" t="n"/>
      <c r="I95" s="13" t="n"/>
      <c r="J95" s="13" t="n"/>
      <c r="K95" s="13" t="n"/>
      <c r="L95" s="13" t="n"/>
      <c r="M95" s="13" t="n"/>
    </row>
    <row r="96">
      <c r="A96" s="15" t="inlineStr">
        <is>
          <t>PK-M092</t>
        </is>
      </c>
      <c r="B96" s="13" t="n"/>
      <c r="C96" s="13" t="n"/>
      <c r="D96" s="13" t="n"/>
      <c r="E96" s="13" t="n"/>
      <c r="F96" s="13" t="n"/>
      <c r="G96" s="13" t="n"/>
      <c r="H96" s="12" t="n"/>
      <c r="I96" s="13" t="n"/>
      <c r="J96" s="13" t="n"/>
      <c r="K96" s="13" t="n"/>
      <c r="L96" s="13" t="n"/>
      <c r="M96" s="13" t="n"/>
    </row>
    <row r="97">
      <c r="A97" s="15" t="inlineStr">
        <is>
          <t>PK-M093</t>
        </is>
      </c>
      <c r="B97" s="13" t="n"/>
      <c r="C97" s="13" t="n"/>
      <c r="D97" s="13" t="n"/>
      <c r="E97" s="13" t="n"/>
      <c r="F97" s="13" t="n"/>
      <c r="G97" s="13" t="n"/>
      <c r="H97" s="12" t="n"/>
      <c r="I97" s="13" t="n"/>
      <c r="J97" s="13" t="n"/>
      <c r="K97" s="13" t="n"/>
      <c r="L97" s="13" t="n"/>
      <c r="M97" s="13" t="n"/>
    </row>
    <row r="98">
      <c r="A98" s="15" t="inlineStr">
        <is>
          <t>PK-M094</t>
        </is>
      </c>
      <c r="B98" s="13" t="n"/>
      <c r="C98" s="13" t="n"/>
      <c r="D98" s="13" t="n"/>
      <c r="E98" s="13" t="n"/>
      <c r="F98" s="13" t="n"/>
      <c r="G98" s="13" t="n"/>
      <c r="H98" s="12" t="n"/>
      <c r="I98" s="13" t="n"/>
      <c r="J98" s="13" t="n"/>
      <c r="K98" s="13" t="n"/>
      <c r="L98" s="13" t="n"/>
      <c r="M98" s="13" t="n"/>
    </row>
    <row r="99">
      <c r="A99" s="15" t="inlineStr">
        <is>
          <t>PK-M095</t>
        </is>
      </c>
      <c r="B99" s="13" t="n"/>
      <c r="C99" s="13" t="n"/>
      <c r="D99" s="13" t="n"/>
      <c r="E99" s="13" t="n"/>
      <c r="F99" s="13" t="n"/>
      <c r="G99" s="13" t="n"/>
      <c r="H99" s="12" t="n"/>
      <c r="I99" s="13" t="n"/>
      <c r="J99" s="13" t="n"/>
      <c r="K99" s="13" t="n"/>
      <c r="L99" s="13" t="n"/>
      <c r="M99" s="13" t="n"/>
    </row>
    <row r="100">
      <c r="A100" s="15" t="inlineStr">
        <is>
          <t>PK-M096</t>
        </is>
      </c>
      <c r="B100" s="13" t="n"/>
      <c r="C100" s="13" t="n"/>
      <c r="D100" s="13" t="n"/>
      <c r="E100" s="13" t="n"/>
      <c r="F100" s="13" t="n"/>
      <c r="G100" s="13" t="n"/>
      <c r="H100" s="12" t="n"/>
      <c r="I100" s="13" t="n"/>
      <c r="J100" s="13" t="n"/>
      <c r="K100" s="13" t="n"/>
      <c r="L100" s="13" t="n"/>
      <c r="M100" s="13" t="n"/>
    </row>
    <row r="101">
      <c r="A101" s="15" t="inlineStr">
        <is>
          <t>PK-M097</t>
        </is>
      </c>
      <c r="B101" s="13" t="n"/>
      <c r="C101" s="13" t="n"/>
      <c r="D101" s="13" t="n"/>
      <c r="E101" s="13" t="n"/>
      <c r="F101" s="13" t="n"/>
      <c r="G101" s="13" t="n"/>
      <c r="H101" s="12" t="n"/>
      <c r="I101" s="13" t="n"/>
      <c r="J101" s="13" t="n"/>
      <c r="K101" s="13" t="n"/>
      <c r="L101" s="13" t="n"/>
      <c r="M101" s="13" t="n"/>
    </row>
    <row r="102">
      <c r="A102" s="15" t="inlineStr">
        <is>
          <t>PK-M098</t>
        </is>
      </c>
      <c r="B102" s="13" t="n"/>
      <c r="C102" s="13" t="n"/>
      <c r="D102" s="13" t="n"/>
      <c r="E102" s="13" t="n"/>
      <c r="F102" s="13" t="n"/>
      <c r="G102" s="13" t="n"/>
      <c r="H102" s="12" t="n"/>
      <c r="I102" s="13" t="n"/>
      <c r="J102" s="13" t="n"/>
      <c r="K102" s="13" t="n"/>
      <c r="L102" s="13" t="n"/>
      <c r="M102" s="13" t="n"/>
    </row>
    <row r="103">
      <c r="A103" s="15" t="inlineStr">
        <is>
          <t>PK-M099</t>
        </is>
      </c>
      <c r="B103" s="13" t="n"/>
      <c r="C103" s="13" t="n"/>
      <c r="D103" s="13" t="n"/>
      <c r="E103" s="13" t="n"/>
      <c r="F103" s="13" t="n"/>
      <c r="G103" s="13" t="n"/>
      <c r="H103" s="12" t="n"/>
      <c r="I103" s="13" t="n"/>
      <c r="J103" s="13" t="n"/>
      <c r="K103" s="13" t="n"/>
      <c r="L103" s="13" t="n"/>
      <c r="M103" s="13" t="n"/>
    </row>
    <row r="104">
      <c r="A104" s="15" t="inlineStr">
        <is>
          <t>PK-M100</t>
        </is>
      </c>
      <c r="B104" s="13" t="n"/>
      <c r="C104" s="13" t="n"/>
      <c r="D104" s="13" t="n"/>
      <c r="E104" s="13" t="n"/>
      <c r="F104" s="13" t="n"/>
      <c r="G104" s="13" t="n"/>
      <c r="H104" s="12" t="n"/>
      <c r="I104" s="13" t="n"/>
      <c r="J104" s="13" t="n"/>
      <c r="K104" s="13" t="n"/>
      <c r="L104" s="13" t="n"/>
      <c r="M104" s="13" t="n"/>
    </row>
    <row r="105">
      <c r="A105" s="15" t="inlineStr">
        <is>
          <t>PK-M101</t>
        </is>
      </c>
      <c r="B105" s="13" t="n"/>
      <c r="C105" s="13" t="n"/>
      <c r="D105" s="13" t="n"/>
      <c r="E105" s="13" t="n"/>
      <c r="F105" s="13" t="n"/>
      <c r="G105" s="13" t="n"/>
      <c r="H105" s="12" t="n"/>
      <c r="I105" s="13" t="n"/>
      <c r="J105" s="13" t="n"/>
      <c r="K105" s="13" t="n"/>
      <c r="L105" s="13" t="n"/>
      <c r="M105" s="13" t="n"/>
    </row>
    <row r="106">
      <c r="A106" s="15" t="inlineStr">
        <is>
          <t>PK-M102</t>
        </is>
      </c>
      <c r="B106" s="13" t="n"/>
      <c r="C106" s="13" t="n"/>
      <c r="D106" s="13" t="n"/>
      <c r="E106" s="13" t="n"/>
      <c r="F106" s="13" t="n"/>
      <c r="G106" s="13" t="n"/>
      <c r="H106" s="12" t="n"/>
      <c r="I106" s="13" t="n"/>
      <c r="J106" s="13" t="n"/>
      <c r="K106" s="13" t="n"/>
      <c r="L106" s="13" t="n"/>
      <c r="M106" s="13" t="n"/>
    </row>
    <row r="107">
      <c r="A107" s="15" t="inlineStr">
        <is>
          <t>PK-M103</t>
        </is>
      </c>
      <c r="B107" s="13" t="n"/>
      <c r="C107" s="13" t="n"/>
      <c r="D107" s="13" t="n"/>
      <c r="E107" s="13" t="n"/>
      <c r="F107" s="13" t="n"/>
      <c r="G107" s="13" t="n"/>
      <c r="H107" s="12" t="n"/>
      <c r="I107" s="13" t="n"/>
      <c r="J107" s="13" t="n"/>
      <c r="K107" s="13" t="n"/>
      <c r="L107" s="13" t="n"/>
      <c r="M107" s="13" t="n"/>
    </row>
    <row r="108">
      <c r="A108" s="15" t="inlineStr">
        <is>
          <t>PK-M104</t>
        </is>
      </c>
      <c r="B108" s="13" t="n"/>
      <c r="C108" s="13" t="n"/>
      <c r="D108" s="13" t="n"/>
      <c r="E108" s="13" t="n"/>
      <c r="F108" s="13" t="n"/>
      <c r="G108" s="13" t="n"/>
      <c r="H108" s="12" t="n"/>
      <c r="I108" s="13" t="n"/>
      <c r="J108" s="13" t="n"/>
      <c r="K108" s="13" t="n"/>
      <c r="L108" s="13" t="n"/>
      <c r="M108" s="13" t="n"/>
    </row>
    <row r="109">
      <c r="A109" s="15" t="inlineStr">
        <is>
          <t>PK-M105</t>
        </is>
      </c>
      <c r="B109" s="13" t="n"/>
      <c r="C109" s="13" t="n"/>
      <c r="D109" s="13" t="n"/>
      <c r="E109" s="13" t="n"/>
      <c r="F109" s="13" t="n"/>
      <c r="G109" s="13" t="n"/>
      <c r="H109" s="12" t="n"/>
      <c r="I109" s="13" t="n"/>
      <c r="J109" s="13" t="n"/>
      <c r="K109" s="13" t="n"/>
      <c r="L109" s="13" t="n"/>
      <c r="M109" s="13" t="n"/>
    </row>
    <row r="110">
      <c r="A110" s="15" t="inlineStr">
        <is>
          <t>PK-M106</t>
        </is>
      </c>
      <c r="B110" s="13" t="n"/>
      <c r="C110" s="13" t="n"/>
      <c r="D110" s="13" t="n"/>
      <c r="E110" s="13" t="n"/>
      <c r="F110" s="13" t="n"/>
      <c r="G110" s="13" t="n"/>
      <c r="H110" s="12" t="n"/>
      <c r="I110" s="13" t="n"/>
      <c r="J110" s="13" t="n"/>
      <c r="K110" s="13" t="n"/>
      <c r="L110" s="13" t="n"/>
      <c r="M110" s="13" t="n"/>
    </row>
    <row r="111">
      <c r="A111" s="15" t="inlineStr">
        <is>
          <t>PK-M107</t>
        </is>
      </c>
      <c r="B111" s="13" t="n"/>
      <c r="C111" s="13" t="n"/>
      <c r="D111" s="13" t="n"/>
      <c r="E111" s="13" t="n"/>
      <c r="F111" s="13" t="n"/>
      <c r="G111" s="13" t="n"/>
      <c r="H111" s="12" t="n"/>
      <c r="I111" s="13" t="n"/>
      <c r="J111" s="13" t="n"/>
      <c r="K111" s="13" t="n"/>
      <c r="L111" s="13" t="n"/>
      <c r="M111" s="13" t="n"/>
    </row>
    <row r="112">
      <c r="A112" s="15" t="inlineStr">
        <is>
          <t>PK-M108</t>
        </is>
      </c>
      <c r="B112" s="13" t="n"/>
      <c r="C112" s="13" t="n"/>
      <c r="D112" s="13" t="n"/>
      <c r="E112" s="13" t="n"/>
      <c r="F112" s="13" t="n"/>
      <c r="G112" s="13" t="n"/>
      <c r="H112" s="12" t="n"/>
      <c r="I112" s="13" t="n"/>
      <c r="J112" s="13" t="n"/>
      <c r="K112" s="13" t="n"/>
      <c r="L112" s="13" t="n"/>
      <c r="M112" s="13" t="n"/>
    </row>
    <row r="113">
      <c r="A113" s="15" t="inlineStr">
        <is>
          <t>PK-M109</t>
        </is>
      </c>
      <c r="B113" s="13" t="n"/>
      <c r="C113" s="13" t="n"/>
      <c r="D113" s="13" t="n"/>
      <c r="E113" s="13" t="n"/>
      <c r="F113" s="13" t="n"/>
      <c r="G113" s="13" t="n"/>
      <c r="H113" s="12" t="n"/>
      <c r="I113" s="13" t="n"/>
      <c r="J113" s="13" t="n"/>
      <c r="K113" s="13" t="n"/>
      <c r="L113" s="13" t="n"/>
      <c r="M113" s="13" t="n"/>
    </row>
    <row r="114">
      <c r="A114" s="15" t="inlineStr">
        <is>
          <t>PK-M110</t>
        </is>
      </c>
      <c r="B114" s="13" t="n"/>
      <c r="C114" s="13" t="n"/>
      <c r="D114" s="13" t="n"/>
      <c r="E114" s="13" t="n"/>
      <c r="F114" s="13" t="n"/>
      <c r="G114" s="13" t="n"/>
      <c r="H114" s="12" t="n"/>
      <c r="I114" s="13" t="n"/>
      <c r="J114" s="13" t="n"/>
      <c r="K114" s="13" t="n"/>
      <c r="L114" s="13" t="n"/>
      <c r="M114" s="13" t="n"/>
    </row>
    <row r="115">
      <c r="A115" s="15" t="inlineStr">
        <is>
          <t>PK-M111</t>
        </is>
      </c>
      <c r="B115" s="13" t="n"/>
      <c r="C115" s="13" t="n"/>
      <c r="D115" s="13" t="n"/>
      <c r="E115" s="13" t="n"/>
      <c r="F115" s="13" t="n"/>
      <c r="G115" s="13" t="n"/>
      <c r="H115" s="12" t="n"/>
      <c r="I115" s="13" t="n"/>
      <c r="J115" s="13" t="n"/>
      <c r="K115" s="13" t="n"/>
      <c r="L115" s="13" t="n"/>
      <c r="M115" s="13" t="n"/>
    </row>
    <row r="116">
      <c r="A116" s="15" t="inlineStr">
        <is>
          <t>PK-M112</t>
        </is>
      </c>
      <c r="B116" s="13" t="n"/>
      <c r="C116" s="13" t="n"/>
      <c r="D116" s="13" t="n"/>
      <c r="E116" s="13" t="n"/>
      <c r="F116" s="13" t="n"/>
      <c r="G116" s="13" t="n"/>
      <c r="H116" s="12" t="n"/>
      <c r="I116" s="13" t="n"/>
      <c r="J116" s="13" t="n"/>
      <c r="K116" s="13" t="n"/>
      <c r="L116" s="13" t="n"/>
      <c r="M116" s="13" t="n"/>
    </row>
    <row r="117">
      <c r="A117" s="15" t="inlineStr">
        <is>
          <t>PK-M113</t>
        </is>
      </c>
      <c r="B117" s="13" t="n"/>
      <c r="C117" s="13" t="n"/>
      <c r="D117" s="13" t="n"/>
      <c r="E117" s="13" t="n"/>
      <c r="F117" s="13" t="n"/>
      <c r="G117" s="13" t="n"/>
      <c r="H117" s="12" t="n"/>
      <c r="I117" s="13" t="n"/>
      <c r="J117" s="13" t="n"/>
      <c r="K117" s="13" t="n"/>
      <c r="L117" s="13" t="n"/>
      <c r="M117" s="13" t="n"/>
    </row>
    <row r="118">
      <c r="A118" s="15" t="inlineStr">
        <is>
          <t>PK-M114</t>
        </is>
      </c>
      <c r="B118" s="13" t="n"/>
      <c r="C118" s="13" t="n"/>
      <c r="D118" s="13" t="n"/>
      <c r="E118" s="13" t="n"/>
      <c r="F118" s="13" t="n"/>
      <c r="G118" s="13" t="n"/>
      <c r="H118" s="12" t="n"/>
      <c r="I118" s="13" t="n"/>
      <c r="J118" s="13" t="n"/>
      <c r="K118" s="13" t="n"/>
      <c r="L118" s="13" t="n"/>
      <c r="M118" s="13" t="n"/>
    </row>
    <row r="119">
      <c r="A119" s="15" t="inlineStr">
        <is>
          <t>PK-M115</t>
        </is>
      </c>
      <c r="B119" s="13" t="n"/>
      <c r="C119" s="13" t="n"/>
      <c r="D119" s="13" t="n"/>
      <c r="E119" s="13" t="n"/>
      <c r="F119" s="13" t="n"/>
      <c r="G119" s="13" t="n"/>
      <c r="H119" s="12" t="n"/>
      <c r="I119" s="13" t="n"/>
      <c r="J119" s="13" t="n"/>
      <c r="K119" s="13" t="n"/>
      <c r="L119" s="13" t="n"/>
      <c r="M119" s="13" t="n"/>
    </row>
    <row r="120">
      <c r="A120" s="15" t="inlineStr">
        <is>
          <t>PK-M116</t>
        </is>
      </c>
      <c r="B120" s="13" t="n"/>
      <c r="C120" s="13" t="n"/>
      <c r="D120" s="13" t="n"/>
      <c r="E120" s="13" t="n"/>
      <c r="F120" s="13" t="n"/>
      <c r="G120" s="13" t="n"/>
      <c r="H120" s="12" t="n"/>
      <c r="I120" s="13" t="n"/>
      <c r="J120" s="13" t="n"/>
      <c r="K120" s="13" t="n"/>
      <c r="L120" s="13" t="n"/>
      <c r="M120" s="13" t="n"/>
    </row>
    <row r="121">
      <c r="A121" s="15" t="inlineStr">
        <is>
          <t>PK-M117</t>
        </is>
      </c>
      <c r="B121" s="13" t="n"/>
      <c r="C121" s="13" t="n"/>
      <c r="D121" s="13" t="n"/>
      <c r="E121" s="13" t="n"/>
      <c r="F121" s="13" t="n"/>
      <c r="G121" s="13" t="n"/>
      <c r="H121" s="12" t="n"/>
      <c r="I121" s="13" t="n"/>
      <c r="J121" s="13" t="n"/>
      <c r="K121" s="13" t="n"/>
      <c r="L121" s="13" t="n"/>
      <c r="M121" s="13" t="n"/>
    </row>
    <row r="122">
      <c r="A122" s="15" t="inlineStr">
        <is>
          <t>PK-M118</t>
        </is>
      </c>
      <c r="B122" s="13" t="n"/>
      <c r="C122" s="13" t="n"/>
      <c r="D122" s="13" t="n"/>
      <c r="E122" s="13" t="n"/>
      <c r="F122" s="13" t="n"/>
      <c r="G122" s="13" t="n"/>
      <c r="H122" s="12" t="n"/>
      <c r="I122" s="13" t="n"/>
      <c r="J122" s="13" t="n"/>
      <c r="K122" s="13" t="n"/>
      <c r="L122" s="13" t="n"/>
      <c r="M122" s="13" t="n"/>
    </row>
    <row r="123">
      <c r="A123" s="15" t="inlineStr">
        <is>
          <t>PK-M119</t>
        </is>
      </c>
      <c r="B123" s="13" t="n"/>
      <c r="C123" s="13" t="n"/>
      <c r="D123" s="13" t="n"/>
      <c r="E123" s="13" t="n"/>
      <c r="F123" s="13" t="n"/>
      <c r="G123" s="13" t="n"/>
      <c r="H123" s="12" t="n"/>
      <c r="I123" s="13" t="n"/>
      <c r="J123" s="13" t="n"/>
      <c r="K123" s="13" t="n"/>
      <c r="L123" s="13" t="n"/>
      <c r="M123" s="13" t="n"/>
    </row>
    <row r="124">
      <c r="A124" s="15" t="inlineStr">
        <is>
          <t>PK-M120</t>
        </is>
      </c>
      <c r="B124" s="13" t="n"/>
      <c r="C124" s="13" t="n"/>
      <c r="D124" s="13" t="n"/>
      <c r="E124" s="13" t="n"/>
      <c r="F124" s="13" t="n"/>
      <c r="G124" s="13" t="n"/>
      <c r="H124" s="12" t="n"/>
      <c r="I124" s="13" t="n"/>
      <c r="J124" s="13" t="n"/>
      <c r="K124" s="13" t="n"/>
      <c r="L124" s="13" t="n"/>
      <c r="M124" s="13" t="n"/>
    </row>
    <row r="125">
      <c r="A125" s="15" t="inlineStr">
        <is>
          <t>PK-M121</t>
        </is>
      </c>
      <c r="B125" s="13" t="n"/>
      <c r="C125" s="13" t="n"/>
      <c r="D125" s="13" t="n"/>
      <c r="E125" s="13" t="n"/>
      <c r="F125" s="13" t="n"/>
      <c r="G125" s="13" t="n"/>
      <c r="H125" s="12" t="n"/>
      <c r="I125" s="13" t="n"/>
      <c r="J125" s="13" t="n"/>
      <c r="K125" s="13" t="n"/>
      <c r="L125" s="13" t="n"/>
      <c r="M125" s="13" t="n"/>
    </row>
    <row r="126">
      <c r="A126" s="15" t="inlineStr">
        <is>
          <t>PK-M122</t>
        </is>
      </c>
      <c r="B126" s="13" t="n"/>
      <c r="C126" s="13" t="n"/>
      <c r="D126" s="13" t="n"/>
      <c r="E126" s="13" t="n"/>
      <c r="F126" s="13" t="n"/>
      <c r="G126" s="13" t="n"/>
      <c r="H126" s="12" t="n"/>
      <c r="I126" s="13" t="n"/>
      <c r="J126" s="13" t="n"/>
      <c r="K126" s="13" t="n"/>
      <c r="L126" s="13" t="n"/>
      <c r="M126" s="13" t="n"/>
    </row>
    <row r="127">
      <c r="A127" s="15" t="inlineStr">
        <is>
          <t>PK-M123</t>
        </is>
      </c>
      <c r="B127" s="13" t="n"/>
      <c r="C127" s="13" t="n"/>
      <c r="D127" s="13" t="n"/>
      <c r="E127" s="13" t="n"/>
      <c r="F127" s="13" t="n"/>
      <c r="G127" s="13" t="n"/>
      <c r="H127" s="12" t="n"/>
      <c r="I127" s="13" t="n"/>
      <c r="J127" s="13" t="n"/>
      <c r="K127" s="13" t="n"/>
      <c r="L127" s="13" t="n"/>
      <c r="M127" s="13" t="n"/>
    </row>
    <row r="128">
      <c r="A128" s="15" t="inlineStr">
        <is>
          <t>PK-M124</t>
        </is>
      </c>
      <c r="B128" s="13" t="n"/>
      <c r="C128" s="13" t="n"/>
      <c r="D128" s="13" t="n"/>
      <c r="E128" s="13" t="n"/>
      <c r="F128" s="13" t="n"/>
      <c r="G128" s="13" t="n"/>
      <c r="H128" s="12" t="n"/>
      <c r="I128" s="13" t="n"/>
      <c r="J128" s="13" t="n"/>
      <c r="K128" s="13" t="n"/>
      <c r="L128" s="13" t="n"/>
      <c r="M128" s="13" t="n"/>
    </row>
    <row r="129">
      <c r="A129" s="15" t="inlineStr">
        <is>
          <t>PK-M125</t>
        </is>
      </c>
      <c r="B129" s="13" t="n"/>
      <c r="C129" s="13" t="n"/>
      <c r="D129" s="13" t="n"/>
      <c r="E129" s="13" t="n"/>
      <c r="F129" s="13" t="n"/>
      <c r="G129" s="13" t="n"/>
      <c r="H129" s="12" t="n"/>
      <c r="I129" s="13" t="n"/>
      <c r="J129" s="13" t="n"/>
      <c r="K129" s="13" t="n"/>
      <c r="L129" s="13" t="n"/>
      <c r="M129" s="13" t="n"/>
    </row>
    <row r="130">
      <c r="A130" s="15" t="inlineStr">
        <is>
          <t>PK-M126</t>
        </is>
      </c>
      <c r="B130" s="13" t="n"/>
      <c r="C130" s="13" t="n"/>
      <c r="D130" s="13" t="n"/>
      <c r="E130" s="13" t="n"/>
      <c r="F130" s="13" t="n"/>
      <c r="G130" s="13" t="n"/>
      <c r="H130" s="12" t="n"/>
      <c r="I130" s="13" t="n"/>
      <c r="J130" s="13" t="n"/>
      <c r="K130" s="13" t="n"/>
      <c r="L130" s="13" t="n"/>
      <c r="M130" s="13" t="n"/>
    </row>
    <row r="131">
      <c r="A131" s="15" t="inlineStr">
        <is>
          <t>PK-M127</t>
        </is>
      </c>
      <c r="B131" s="13" t="n"/>
      <c r="C131" s="13" t="n"/>
      <c r="D131" s="13" t="n"/>
      <c r="E131" s="13" t="n"/>
      <c r="F131" s="13" t="n"/>
      <c r="G131" s="13" t="n"/>
      <c r="H131" s="12" t="n"/>
      <c r="I131" s="13" t="n"/>
      <c r="J131" s="13" t="n"/>
      <c r="K131" s="13" t="n"/>
      <c r="L131" s="13" t="n"/>
      <c r="M131" s="13" t="n"/>
    </row>
    <row r="132">
      <c r="A132" s="15" t="inlineStr">
        <is>
          <t>PK-M128</t>
        </is>
      </c>
      <c r="B132" s="13" t="n"/>
      <c r="C132" s="13" t="n"/>
      <c r="D132" s="13" t="n"/>
      <c r="E132" s="13" t="n"/>
      <c r="F132" s="13" t="n"/>
      <c r="G132" s="13" t="n"/>
      <c r="H132" s="12" t="n"/>
      <c r="I132" s="13" t="n"/>
      <c r="J132" s="13" t="n"/>
      <c r="K132" s="13" t="n"/>
      <c r="L132" s="13" t="n"/>
      <c r="M132" s="13" t="n"/>
    </row>
    <row r="133">
      <c r="A133" s="15" t="inlineStr">
        <is>
          <t>PK-M129</t>
        </is>
      </c>
      <c r="B133" s="13" t="n"/>
      <c r="C133" s="13" t="n"/>
      <c r="D133" s="13" t="n"/>
      <c r="E133" s="13" t="n"/>
      <c r="F133" s="13" t="n"/>
      <c r="G133" s="13" t="n"/>
      <c r="H133" s="12" t="n"/>
      <c r="I133" s="13" t="n"/>
      <c r="J133" s="13" t="n"/>
      <c r="K133" s="13" t="n"/>
      <c r="L133" s="13" t="n"/>
      <c r="M133" s="13" t="n"/>
    </row>
    <row r="134">
      <c r="A134" s="15" t="inlineStr">
        <is>
          <t>PK-M130</t>
        </is>
      </c>
      <c r="B134" s="13" t="n"/>
      <c r="C134" s="13" t="n"/>
      <c r="D134" s="13" t="n"/>
      <c r="E134" s="13" t="n"/>
      <c r="F134" s="13" t="n"/>
      <c r="G134" s="13" t="n"/>
      <c r="H134" s="12" t="n"/>
      <c r="I134" s="13" t="n"/>
      <c r="J134" s="13" t="n"/>
      <c r="K134" s="13" t="n"/>
      <c r="L134" s="13" t="n"/>
      <c r="M134" s="13" t="n"/>
    </row>
    <row r="135">
      <c r="A135" s="15" t="inlineStr">
        <is>
          <t>PK-M131</t>
        </is>
      </c>
      <c r="B135" s="13" t="n"/>
      <c r="C135" s="13" t="n"/>
      <c r="D135" s="13" t="n"/>
      <c r="E135" s="13" t="n"/>
      <c r="F135" s="13" t="n"/>
      <c r="G135" s="13" t="n"/>
      <c r="H135" s="12" t="n"/>
      <c r="I135" s="13" t="n"/>
      <c r="J135" s="13" t="n"/>
      <c r="K135" s="13" t="n"/>
      <c r="L135" s="13" t="n"/>
      <c r="M135" s="13" t="n"/>
    </row>
    <row r="136">
      <c r="A136" s="15" t="inlineStr">
        <is>
          <t>PK-M132</t>
        </is>
      </c>
      <c r="B136" s="13" t="n"/>
      <c r="C136" s="13" t="n"/>
      <c r="D136" s="13" t="n"/>
      <c r="E136" s="13" t="n"/>
      <c r="F136" s="13" t="n"/>
      <c r="G136" s="13" t="n"/>
      <c r="H136" s="12" t="n"/>
      <c r="I136" s="13" t="n"/>
      <c r="J136" s="13" t="n"/>
      <c r="K136" s="13" t="n"/>
      <c r="L136" s="13" t="n"/>
      <c r="M136" s="13" t="n"/>
    </row>
    <row r="137">
      <c r="A137" s="15" t="inlineStr">
        <is>
          <t>PK-M133</t>
        </is>
      </c>
      <c r="B137" s="13" t="n"/>
      <c r="C137" s="13" t="n"/>
      <c r="D137" s="13" t="n"/>
      <c r="E137" s="13" t="n"/>
      <c r="F137" s="13" t="n"/>
      <c r="G137" s="13" t="n"/>
      <c r="H137" s="12" t="n"/>
      <c r="I137" s="13" t="n"/>
      <c r="J137" s="13" t="n"/>
      <c r="K137" s="13" t="n"/>
      <c r="L137" s="13" t="n"/>
      <c r="M137" s="13" t="n"/>
    </row>
    <row r="138">
      <c r="A138" s="15" t="inlineStr">
        <is>
          <t>PK-M134</t>
        </is>
      </c>
      <c r="B138" s="13" t="n"/>
      <c r="C138" s="13" t="n"/>
      <c r="D138" s="13" t="n"/>
      <c r="E138" s="13" t="n"/>
      <c r="F138" s="13" t="n"/>
      <c r="G138" s="13" t="n"/>
      <c r="H138" s="12" t="n"/>
      <c r="I138" s="13" t="n"/>
      <c r="J138" s="13" t="n"/>
      <c r="K138" s="13" t="n"/>
      <c r="L138" s="13" t="n"/>
      <c r="M138" s="13" t="n"/>
    </row>
    <row r="139">
      <c r="A139" s="15" t="inlineStr">
        <is>
          <t>PK-M135</t>
        </is>
      </c>
      <c r="B139" s="13" t="n"/>
      <c r="C139" s="13" t="n"/>
      <c r="D139" s="13" t="n"/>
      <c r="E139" s="13" t="n"/>
      <c r="F139" s="13" t="n"/>
      <c r="G139" s="13" t="n"/>
      <c r="H139" s="12" t="n"/>
      <c r="I139" s="13" t="n"/>
      <c r="J139" s="13" t="n"/>
      <c r="K139" s="13" t="n"/>
      <c r="L139" s="13" t="n"/>
      <c r="M139" s="13" t="n"/>
    </row>
    <row r="140">
      <c r="A140" s="15" t="inlineStr">
        <is>
          <t>PK-M136</t>
        </is>
      </c>
      <c r="B140" s="13" t="n"/>
      <c r="C140" s="13" t="n"/>
      <c r="D140" s="13" t="n"/>
      <c r="E140" s="13" t="n"/>
      <c r="F140" s="13" t="n"/>
      <c r="G140" s="13" t="n"/>
      <c r="H140" s="12" t="n"/>
      <c r="I140" s="13" t="n"/>
      <c r="J140" s="13" t="n"/>
      <c r="K140" s="13" t="n"/>
      <c r="L140" s="13" t="n"/>
      <c r="M140" s="13" t="n"/>
    </row>
    <row r="141">
      <c r="A141" s="15" t="inlineStr">
        <is>
          <t>PK-M137</t>
        </is>
      </c>
      <c r="B141" s="13" t="n"/>
      <c r="C141" s="13" t="n"/>
      <c r="D141" s="13" t="n"/>
      <c r="E141" s="13" t="n"/>
      <c r="F141" s="13" t="n"/>
      <c r="G141" s="13" t="n"/>
      <c r="H141" s="12" t="n"/>
      <c r="I141" s="13" t="n"/>
      <c r="J141" s="13" t="n"/>
      <c r="K141" s="13" t="n"/>
      <c r="L141" s="13" t="n"/>
      <c r="M141" s="13" t="n"/>
    </row>
    <row r="142">
      <c r="A142" s="15" t="inlineStr">
        <is>
          <t>PK-M138</t>
        </is>
      </c>
      <c r="B142" s="13" t="n"/>
      <c r="C142" s="13" t="n"/>
      <c r="D142" s="13" t="n"/>
      <c r="E142" s="13" t="n"/>
      <c r="F142" s="13" t="n"/>
      <c r="G142" s="13" t="n"/>
      <c r="H142" s="12" t="n"/>
      <c r="I142" s="13" t="n"/>
      <c r="J142" s="13" t="n"/>
      <c r="K142" s="13" t="n"/>
      <c r="L142" s="13" t="n"/>
      <c r="M142" s="13" t="n"/>
    </row>
    <row r="143">
      <c r="A143" s="15" t="inlineStr">
        <is>
          <t>PK-M139</t>
        </is>
      </c>
      <c r="B143" s="13" t="n"/>
      <c r="C143" s="13" t="n"/>
      <c r="D143" s="13" t="n"/>
      <c r="E143" s="13" t="n"/>
      <c r="F143" s="13" t="n"/>
      <c r="G143" s="13" t="n"/>
      <c r="H143" s="12" t="n"/>
      <c r="I143" s="13" t="n"/>
      <c r="J143" s="13" t="n"/>
      <c r="K143" s="13" t="n"/>
      <c r="L143" s="13" t="n"/>
      <c r="M143" s="13" t="n"/>
    </row>
    <row r="144">
      <c r="A144" s="15" t="inlineStr">
        <is>
          <t>PK-M140</t>
        </is>
      </c>
      <c r="B144" s="13" t="n"/>
      <c r="C144" s="13" t="n"/>
      <c r="D144" s="13" t="n"/>
      <c r="E144" s="13" t="n"/>
      <c r="F144" s="13" t="n"/>
      <c r="G144" s="13" t="n"/>
      <c r="H144" s="12" t="n"/>
      <c r="I144" s="13" t="n"/>
      <c r="J144" s="13" t="n"/>
      <c r="K144" s="13" t="n"/>
      <c r="L144" s="13" t="n"/>
      <c r="M144" s="13" t="n"/>
    </row>
    <row r="145">
      <c r="A145" s="15" t="inlineStr">
        <is>
          <t>PK-M141</t>
        </is>
      </c>
      <c r="B145" s="13" t="n"/>
      <c r="C145" s="13" t="n"/>
      <c r="D145" s="13" t="n"/>
      <c r="E145" s="13" t="n"/>
      <c r="F145" s="13" t="n"/>
      <c r="G145" s="13" t="n"/>
      <c r="H145" s="12" t="n"/>
      <c r="I145" s="13" t="n"/>
      <c r="J145" s="13" t="n"/>
      <c r="K145" s="13" t="n"/>
      <c r="L145" s="13" t="n"/>
      <c r="M145" s="13" t="n"/>
    </row>
    <row r="146">
      <c r="A146" s="15" t="inlineStr">
        <is>
          <t>PK-M142</t>
        </is>
      </c>
      <c r="B146" s="13" t="n"/>
      <c r="C146" s="13" t="n"/>
      <c r="D146" s="13" t="n"/>
      <c r="E146" s="13" t="n"/>
      <c r="F146" s="13" t="n"/>
      <c r="G146" s="13" t="n"/>
      <c r="H146" s="12" t="n"/>
      <c r="I146" s="13" t="n"/>
      <c r="J146" s="13" t="n"/>
      <c r="K146" s="13" t="n"/>
      <c r="L146" s="13" t="n"/>
      <c r="M146" s="13" t="n"/>
    </row>
    <row r="147">
      <c r="A147" s="15" t="inlineStr">
        <is>
          <t>PK-M143</t>
        </is>
      </c>
      <c r="B147" s="13" t="n"/>
      <c r="C147" s="13" t="n"/>
      <c r="D147" s="13" t="n"/>
      <c r="E147" s="13" t="n"/>
      <c r="F147" s="13" t="n"/>
      <c r="G147" s="13" t="n"/>
      <c r="H147" s="12" t="n"/>
      <c r="I147" s="13" t="n"/>
      <c r="J147" s="13" t="n"/>
      <c r="K147" s="13" t="n"/>
      <c r="L147" s="13" t="n"/>
      <c r="M147" s="13" t="n"/>
    </row>
    <row r="148">
      <c r="A148" s="15" t="inlineStr">
        <is>
          <t>PK-M144</t>
        </is>
      </c>
      <c r="B148" s="13" t="n"/>
      <c r="C148" s="13" t="n"/>
      <c r="D148" s="13" t="n"/>
      <c r="E148" s="13" t="n"/>
      <c r="F148" s="13" t="n"/>
      <c r="G148" s="13" t="n"/>
      <c r="H148" s="12" t="n"/>
      <c r="I148" s="13" t="n"/>
      <c r="J148" s="13" t="n"/>
      <c r="K148" s="13" t="n"/>
      <c r="L148" s="13" t="n"/>
      <c r="M148" s="13" t="n"/>
    </row>
    <row r="149">
      <c r="A149" s="15" t="inlineStr">
        <is>
          <t>PK-M145</t>
        </is>
      </c>
      <c r="B149" s="13" t="n"/>
      <c r="C149" s="13" t="n"/>
      <c r="D149" s="13" t="n"/>
      <c r="E149" s="13" t="n"/>
      <c r="F149" s="13" t="n"/>
      <c r="G149" s="13" t="n"/>
      <c r="H149" s="12" t="n"/>
      <c r="I149" s="13" t="n"/>
      <c r="J149" s="13" t="n"/>
      <c r="K149" s="13" t="n"/>
      <c r="L149" s="13" t="n"/>
      <c r="M149" s="13" t="n"/>
    </row>
    <row r="150">
      <c r="A150" s="15" t="inlineStr">
        <is>
          <t>PK-M146</t>
        </is>
      </c>
      <c r="B150" s="13" t="n"/>
      <c r="C150" s="13" t="n"/>
      <c r="D150" s="13" t="n"/>
      <c r="E150" s="13" t="n"/>
      <c r="F150" s="13" t="n"/>
      <c r="G150" s="13" t="n"/>
      <c r="H150" s="12" t="n"/>
      <c r="I150" s="13" t="n"/>
      <c r="J150" s="13" t="n"/>
      <c r="K150" s="13" t="n"/>
      <c r="L150" s="13" t="n"/>
      <c r="M150" s="13" t="n"/>
    </row>
    <row r="151">
      <c r="A151" s="15" t="inlineStr">
        <is>
          <t>PK-M147</t>
        </is>
      </c>
      <c r="B151" s="13" t="n"/>
      <c r="C151" s="13" t="n"/>
      <c r="D151" s="13" t="n"/>
      <c r="E151" s="13" t="n"/>
      <c r="F151" s="13" t="n"/>
      <c r="G151" s="13" t="n"/>
      <c r="H151" s="12" t="n"/>
      <c r="I151" s="13" t="n"/>
      <c r="J151" s="13" t="n"/>
      <c r="K151" s="13" t="n"/>
      <c r="L151" s="13" t="n"/>
      <c r="M151" s="13" t="n"/>
    </row>
    <row r="152">
      <c r="A152" s="15" t="inlineStr">
        <is>
          <t>PK-M148</t>
        </is>
      </c>
      <c r="B152" s="13" t="n"/>
      <c r="C152" s="13" t="n"/>
      <c r="D152" s="13" t="n"/>
      <c r="E152" s="13" t="n"/>
      <c r="F152" s="13" t="n"/>
      <c r="G152" s="13" t="n"/>
      <c r="H152" s="12" t="n"/>
      <c r="I152" s="13" t="n"/>
      <c r="J152" s="13" t="n"/>
      <c r="K152" s="13" t="n"/>
      <c r="L152" s="13" t="n"/>
      <c r="M152" s="13" t="n"/>
    </row>
    <row r="153">
      <c r="A153" s="15" t="inlineStr">
        <is>
          <t>PK-M149</t>
        </is>
      </c>
      <c r="B153" s="13" t="n"/>
      <c r="C153" s="13" t="n"/>
      <c r="D153" s="13" t="n"/>
      <c r="E153" s="13" t="n"/>
      <c r="F153" s="13" t="n"/>
      <c r="G153" s="13" t="n"/>
      <c r="H153" s="12" t="n"/>
      <c r="I153" s="13" t="n"/>
      <c r="J153" s="13" t="n"/>
      <c r="K153" s="13" t="n"/>
      <c r="L153" s="13" t="n"/>
      <c r="M153" s="13" t="n"/>
    </row>
    <row r="154">
      <c r="A154" s="15" t="inlineStr">
        <is>
          <t>PK-M150</t>
        </is>
      </c>
      <c r="B154" s="13" t="n"/>
      <c r="C154" s="13" t="n"/>
      <c r="D154" s="13" t="n"/>
      <c r="E154" s="13" t="n"/>
      <c r="F154" s="13" t="n"/>
      <c r="G154" s="13" t="n"/>
      <c r="H154" s="12" t="n"/>
      <c r="I154" s="13" t="n"/>
      <c r="J154" s="13" t="n"/>
      <c r="K154" s="13" t="n"/>
      <c r="L154" s="13" t="n"/>
      <c r="M154" s="13" t="n"/>
    </row>
    <row r="155">
      <c r="A155" s="15" t="inlineStr">
        <is>
          <t>PK-M151</t>
        </is>
      </c>
      <c r="B155" s="13" t="n"/>
      <c r="C155" s="13" t="n"/>
      <c r="D155" s="13" t="n"/>
      <c r="E155" s="13" t="n"/>
      <c r="F155" s="13" t="n"/>
      <c r="G155" s="13" t="n"/>
      <c r="H155" s="12" t="n"/>
      <c r="I155" s="13" t="n"/>
      <c r="J155" s="13" t="n"/>
      <c r="K155" s="13" t="n"/>
      <c r="L155" s="13" t="n"/>
      <c r="M155" s="13" t="n"/>
    </row>
    <row r="156">
      <c r="A156" s="15" t="inlineStr">
        <is>
          <t>PK-M152</t>
        </is>
      </c>
      <c r="B156" s="13" t="n"/>
      <c r="C156" s="13" t="n"/>
      <c r="D156" s="13" t="n"/>
      <c r="E156" s="13" t="n"/>
      <c r="F156" s="13" t="n"/>
      <c r="G156" s="13" t="n"/>
      <c r="H156" s="12" t="n"/>
      <c r="I156" s="13" t="n"/>
      <c r="J156" s="13" t="n"/>
      <c r="K156" s="13" t="n"/>
      <c r="L156" s="13" t="n"/>
      <c r="M156" s="13" t="n"/>
    </row>
    <row r="157">
      <c r="A157" s="15" t="inlineStr">
        <is>
          <t>PK-M153</t>
        </is>
      </c>
      <c r="B157" s="13" t="n"/>
      <c r="C157" s="13" t="n"/>
      <c r="D157" s="13" t="n"/>
      <c r="E157" s="13" t="n"/>
      <c r="F157" s="13" t="n"/>
      <c r="G157" s="13" t="n"/>
      <c r="H157" s="12" t="n"/>
      <c r="I157" s="13" t="n"/>
      <c r="J157" s="13" t="n"/>
      <c r="K157" s="13" t="n"/>
      <c r="L157" s="13" t="n"/>
      <c r="M157" s="13" t="n"/>
    </row>
    <row r="158">
      <c r="A158" s="15" t="inlineStr">
        <is>
          <t>PK-M154</t>
        </is>
      </c>
      <c r="B158" s="13" t="n"/>
      <c r="C158" s="13" t="n"/>
      <c r="D158" s="13" t="n"/>
      <c r="E158" s="13" t="n"/>
      <c r="F158" s="13" t="n"/>
      <c r="G158" s="13" t="n"/>
      <c r="H158" s="12" t="n"/>
      <c r="I158" s="13" t="n"/>
      <c r="J158" s="13" t="n"/>
      <c r="K158" s="13" t="n"/>
      <c r="L158" s="13" t="n"/>
      <c r="M158" s="13" t="n"/>
    </row>
    <row r="159">
      <c r="A159" s="15" t="inlineStr">
        <is>
          <t>PK-M155</t>
        </is>
      </c>
      <c r="B159" s="13" t="n"/>
      <c r="C159" s="13" t="n"/>
      <c r="D159" s="13" t="n"/>
      <c r="E159" s="13" t="n"/>
      <c r="F159" s="13" t="n"/>
      <c r="G159" s="13" t="n"/>
      <c r="H159" s="12" t="n"/>
      <c r="I159" s="13" t="n"/>
      <c r="J159" s="13" t="n"/>
      <c r="K159" s="13" t="n"/>
      <c r="L159" s="13" t="n"/>
      <c r="M159" s="13" t="n"/>
    </row>
    <row r="160">
      <c r="A160" s="15" t="inlineStr">
        <is>
          <t>PK-M156</t>
        </is>
      </c>
      <c r="B160" s="13" t="n"/>
      <c r="C160" s="13" t="n"/>
      <c r="D160" s="13" t="n"/>
      <c r="E160" s="13" t="n"/>
      <c r="F160" s="13" t="n"/>
      <c r="G160" s="13" t="n"/>
      <c r="H160" s="12" t="n"/>
      <c r="I160" s="13" t="n"/>
      <c r="J160" s="13" t="n"/>
      <c r="K160" s="13" t="n"/>
      <c r="L160" s="13" t="n"/>
      <c r="M160" s="13" t="n"/>
    </row>
    <row r="161">
      <c r="A161" s="15" t="inlineStr">
        <is>
          <t>PK-M157</t>
        </is>
      </c>
      <c r="B161" s="13" t="n"/>
      <c r="C161" s="13" t="n"/>
      <c r="D161" s="13" t="n"/>
      <c r="E161" s="13" t="n"/>
      <c r="F161" s="13" t="n"/>
      <c r="G161" s="13" t="n"/>
      <c r="H161" s="12" t="n"/>
      <c r="I161" s="13" t="n"/>
      <c r="J161" s="13" t="n"/>
      <c r="K161" s="13" t="n"/>
      <c r="L161" s="13" t="n"/>
      <c r="M161" s="13" t="n"/>
    </row>
    <row r="162">
      <c r="A162" s="15" t="inlineStr">
        <is>
          <t>PK-M158</t>
        </is>
      </c>
      <c r="B162" s="13" t="n"/>
      <c r="C162" s="13" t="n"/>
      <c r="D162" s="13" t="n"/>
      <c r="E162" s="13" t="n"/>
      <c r="F162" s="13" t="n"/>
      <c r="G162" s="13" t="n"/>
      <c r="H162" s="12" t="n"/>
      <c r="I162" s="13" t="n"/>
      <c r="J162" s="13" t="n"/>
      <c r="K162" s="13" t="n"/>
      <c r="L162" s="13" t="n"/>
      <c r="M162" s="13" t="n"/>
    </row>
    <row r="163">
      <c r="A163" s="15" t="inlineStr">
        <is>
          <t>PK-M159</t>
        </is>
      </c>
      <c r="B163" s="13" t="n"/>
      <c r="C163" s="13" t="n"/>
      <c r="D163" s="13" t="n"/>
      <c r="E163" s="13" t="n"/>
      <c r="F163" s="13" t="n"/>
      <c r="G163" s="13" t="n"/>
      <c r="H163" s="12" t="n"/>
      <c r="I163" s="13" t="n"/>
      <c r="J163" s="13" t="n"/>
      <c r="K163" s="13" t="n"/>
      <c r="L163" s="13" t="n"/>
      <c r="M163" s="13" t="n"/>
    </row>
    <row r="164">
      <c r="A164" s="15" t="inlineStr">
        <is>
          <t>PK-M160</t>
        </is>
      </c>
      <c r="B164" s="13" t="n"/>
      <c r="C164" s="13" t="n"/>
      <c r="D164" s="13" t="n"/>
      <c r="E164" s="13" t="n"/>
      <c r="F164" s="13" t="n"/>
      <c r="G164" s="13" t="n"/>
      <c r="H164" s="12" t="n"/>
      <c r="I164" s="13" t="n"/>
      <c r="J164" s="13" t="n"/>
      <c r="K164" s="13" t="n"/>
      <c r="L164" s="13" t="n"/>
      <c r="M164" s="13" t="n"/>
    </row>
    <row r="165">
      <c r="A165" s="15" t="inlineStr">
        <is>
          <t>PK-M161</t>
        </is>
      </c>
      <c r="B165" s="13" t="n"/>
      <c r="C165" s="13" t="n"/>
      <c r="D165" s="13" t="n"/>
      <c r="E165" s="13" t="n"/>
      <c r="F165" s="13" t="n"/>
      <c r="G165" s="13" t="n"/>
      <c r="H165" s="12" t="n"/>
      <c r="I165" s="13" t="n"/>
      <c r="J165" s="13" t="n"/>
      <c r="K165" s="13" t="n"/>
      <c r="L165" s="13" t="n"/>
      <c r="M165" s="13" t="n"/>
    </row>
    <row r="166">
      <c r="A166" s="15" t="inlineStr">
        <is>
          <t>PK-M162</t>
        </is>
      </c>
      <c r="B166" s="13" t="n"/>
      <c r="C166" s="13" t="n"/>
      <c r="D166" s="13" t="n"/>
      <c r="E166" s="13" t="n"/>
      <c r="F166" s="13" t="n"/>
      <c r="G166" s="13" t="n"/>
      <c r="H166" s="12" t="n"/>
      <c r="I166" s="13" t="n"/>
      <c r="J166" s="13" t="n"/>
      <c r="K166" s="13" t="n"/>
      <c r="L166" s="13" t="n"/>
      <c r="M166" s="13" t="n"/>
    </row>
    <row r="167">
      <c r="A167" s="15" t="inlineStr">
        <is>
          <t>PK-M163</t>
        </is>
      </c>
      <c r="B167" s="13" t="n"/>
      <c r="C167" s="13" t="n"/>
      <c r="D167" s="13" t="n"/>
      <c r="E167" s="13" t="n"/>
      <c r="F167" s="13" t="n"/>
      <c r="G167" s="13" t="n"/>
      <c r="H167" s="12" t="n"/>
      <c r="I167" s="13" t="n"/>
      <c r="J167" s="13" t="n"/>
      <c r="K167" s="13" t="n"/>
      <c r="L167" s="13" t="n"/>
      <c r="M167" s="13" t="n"/>
    </row>
    <row r="168">
      <c r="A168" s="15" t="inlineStr">
        <is>
          <t>PK-M164</t>
        </is>
      </c>
      <c r="B168" s="13" t="n"/>
      <c r="C168" s="13" t="n"/>
      <c r="D168" s="13" t="n"/>
      <c r="E168" s="13" t="n"/>
      <c r="F168" s="13" t="n"/>
      <c r="G168" s="13" t="n"/>
      <c r="H168" s="12" t="n"/>
      <c r="I168" s="13" t="n"/>
      <c r="J168" s="13" t="n"/>
      <c r="K168" s="13" t="n"/>
      <c r="L168" s="13" t="n"/>
      <c r="M168" s="13" t="n"/>
    </row>
    <row r="169">
      <c r="A169" s="15" t="inlineStr">
        <is>
          <t>PK-M165</t>
        </is>
      </c>
      <c r="B169" s="13" t="n"/>
      <c r="C169" s="13" t="n"/>
      <c r="D169" s="13" t="n"/>
      <c r="E169" s="13" t="n"/>
      <c r="F169" s="13" t="n"/>
      <c r="G169" s="13" t="n"/>
      <c r="H169" s="12" t="n"/>
      <c r="I169" s="13" t="n"/>
      <c r="J169" s="13" t="n"/>
      <c r="K169" s="13" t="n"/>
      <c r="L169" s="13" t="n"/>
      <c r="M169" s="13" t="n"/>
    </row>
    <row r="170">
      <c r="A170" s="15" t="inlineStr">
        <is>
          <t>PK-M166</t>
        </is>
      </c>
      <c r="B170" s="13" t="n"/>
      <c r="C170" s="13" t="n"/>
      <c r="D170" s="13" t="n"/>
      <c r="E170" s="13" t="n"/>
      <c r="F170" s="13" t="n"/>
      <c r="G170" s="13" t="n"/>
      <c r="H170" s="12" t="n"/>
      <c r="I170" s="13" t="n"/>
      <c r="J170" s="13" t="n"/>
      <c r="K170" s="13" t="n"/>
      <c r="L170" s="13" t="n"/>
      <c r="M170" s="13" t="n"/>
    </row>
    <row r="171">
      <c r="A171" s="15" t="inlineStr">
        <is>
          <t>PK-M167</t>
        </is>
      </c>
      <c r="B171" s="13" t="n"/>
      <c r="C171" s="13" t="n"/>
      <c r="D171" s="13" t="n"/>
      <c r="E171" s="13" t="n"/>
      <c r="F171" s="13" t="n"/>
      <c r="G171" s="13" t="n"/>
      <c r="H171" s="12" t="n"/>
      <c r="I171" s="13" t="n"/>
      <c r="J171" s="13" t="n"/>
      <c r="K171" s="13" t="n"/>
      <c r="L171" s="13" t="n"/>
      <c r="M171" s="13" t="n"/>
    </row>
    <row r="172">
      <c r="A172" s="15" t="inlineStr">
        <is>
          <t>PK-M168</t>
        </is>
      </c>
      <c r="B172" s="13" t="n"/>
      <c r="C172" s="13" t="n"/>
      <c r="D172" s="13" t="n"/>
      <c r="E172" s="13" t="n"/>
      <c r="F172" s="13" t="n"/>
      <c r="G172" s="13" t="n"/>
      <c r="H172" s="12" t="n"/>
      <c r="I172" s="13" t="n"/>
      <c r="J172" s="13" t="n"/>
      <c r="K172" s="13" t="n"/>
      <c r="L172" s="13" t="n"/>
      <c r="M172" s="13" t="n"/>
    </row>
    <row r="173">
      <c r="A173" s="15" t="inlineStr">
        <is>
          <t>PK-M169</t>
        </is>
      </c>
      <c r="B173" s="13" t="n"/>
      <c r="C173" s="13" t="n"/>
      <c r="D173" s="13" t="n"/>
      <c r="E173" s="13" t="n"/>
      <c r="F173" s="13" t="n"/>
      <c r="G173" s="13" t="n"/>
      <c r="H173" s="12" t="n"/>
      <c r="I173" s="13" t="n"/>
      <c r="J173" s="13" t="n"/>
      <c r="K173" s="13" t="n"/>
      <c r="L173" s="13" t="n"/>
      <c r="M173" s="13" t="n"/>
    </row>
    <row r="174">
      <c r="A174" s="15" t="inlineStr">
        <is>
          <t>PK-M170</t>
        </is>
      </c>
      <c r="B174" s="13" t="n"/>
      <c r="C174" s="13" t="n"/>
      <c r="D174" s="13" t="n"/>
      <c r="E174" s="13" t="n"/>
      <c r="F174" s="13" t="n"/>
      <c r="G174" s="13" t="n"/>
      <c r="H174" s="12" t="n"/>
      <c r="I174" s="13" t="n"/>
      <c r="J174" s="13" t="n"/>
      <c r="K174" s="13" t="n"/>
      <c r="L174" s="13" t="n"/>
      <c r="M174" s="13" t="n"/>
    </row>
    <row r="175">
      <c r="A175" s="15" t="inlineStr">
        <is>
          <t>PK-M171</t>
        </is>
      </c>
      <c r="B175" s="13" t="n"/>
      <c r="C175" s="13" t="n"/>
      <c r="D175" s="13" t="n"/>
      <c r="E175" s="13" t="n"/>
      <c r="F175" s="13" t="n"/>
      <c r="G175" s="13" t="n"/>
      <c r="H175" s="12" t="n"/>
      <c r="I175" s="13" t="n"/>
      <c r="J175" s="13" t="n"/>
      <c r="K175" s="13" t="n"/>
      <c r="L175" s="13" t="n"/>
      <c r="M175" s="13" t="n"/>
    </row>
    <row r="176">
      <c r="A176" s="15" t="inlineStr">
        <is>
          <t>PK-M172</t>
        </is>
      </c>
      <c r="B176" s="13" t="n"/>
      <c r="C176" s="13" t="n"/>
      <c r="D176" s="13" t="n"/>
      <c r="E176" s="13" t="n"/>
      <c r="F176" s="13" t="n"/>
      <c r="G176" s="13" t="n"/>
      <c r="H176" s="12" t="n"/>
      <c r="I176" s="13" t="n"/>
      <c r="J176" s="13" t="n"/>
      <c r="K176" s="13" t="n"/>
      <c r="L176" s="13" t="n"/>
      <c r="M176" s="13" t="n"/>
    </row>
    <row r="177">
      <c r="A177" s="15" t="inlineStr">
        <is>
          <t>PK-M173</t>
        </is>
      </c>
      <c r="B177" s="13" t="n"/>
      <c r="C177" s="13" t="n"/>
      <c r="D177" s="13" t="n"/>
      <c r="E177" s="13" t="n"/>
      <c r="F177" s="13" t="n"/>
      <c r="G177" s="13" t="n"/>
      <c r="H177" s="12" t="n"/>
      <c r="I177" s="13" t="n"/>
      <c r="J177" s="13" t="n"/>
      <c r="K177" s="13" t="n"/>
      <c r="L177" s="13" t="n"/>
      <c r="M177" s="13" t="n"/>
    </row>
    <row r="178">
      <c r="A178" s="15" t="inlineStr">
        <is>
          <t>PK-M174</t>
        </is>
      </c>
      <c r="B178" s="13" t="n"/>
      <c r="C178" s="13" t="n"/>
      <c r="D178" s="13" t="n"/>
      <c r="E178" s="13" t="n"/>
      <c r="F178" s="13" t="n"/>
      <c r="G178" s="13" t="n"/>
      <c r="H178" s="12" t="n"/>
      <c r="I178" s="13" t="n"/>
      <c r="J178" s="13" t="n"/>
      <c r="K178" s="13" t="n"/>
      <c r="L178" s="13" t="n"/>
      <c r="M178" s="13" t="n"/>
    </row>
    <row r="179">
      <c r="A179" s="15" t="inlineStr">
        <is>
          <t>PK-M175</t>
        </is>
      </c>
      <c r="B179" s="13" t="n"/>
      <c r="C179" s="13" t="n"/>
      <c r="D179" s="13" t="n"/>
      <c r="E179" s="13" t="n"/>
      <c r="F179" s="13" t="n"/>
      <c r="G179" s="13" t="n"/>
      <c r="H179" s="12" t="n"/>
      <c r="I179" s="13" t="n"/>
      <c r="J179" s="13" t="n"/>
      <c r="K179" s="13" t="n"/>
      <c r="L179" s="13" t="n"/>
      <c r="M179" s="13" t="n"/>
    </row>
    <row r="180">
      <c r="A180" s="15" t="inlineStr">
        <is>
          <t>PK-M176</t>
        </is>
      </c>
      <c r="B180" s="13" t="n"/>
      <c r="C180" s="13" t="n"/>
      <c r="D180" s="13" t="n"/>
      <c r="E180" s="13" t="n"/>
      <c r="F180" s="13" t="n"/>
      <c r="G180" s="13" t="n"/>
      <c r="H180" s="12" t="n"/>
      <c r="I180" s="13" t="n"/>
      <c r="J180" s="13" t="n"/>
      <c r="K180" s="13" t="n"/>
      <c r="L180" s="13" t="n"/>
      <c r="M180" s="13" t="n"/>
    </row>
    <row r="181">
      <c r="A181" s="15" t="inlineStr">
        <is>
          <t>PK-M177</t>
        </is>
      </c>
      <c r="B181" s="13" t="n"/>
      <c r="C181" s="13" t="n"/>
      <c r="D181" s="13" t="n"/>
      <c r="E181" s="13" t="n"/>
      <c r="F181" s="13" t="n"/>
      <c r="G181" s="13" t="n"/>
      <c r="H181" s="12" t="n"/>
      <c r="I181" s="13" t="n"/>
      <c r="J181" s="13" t="n"/>
      <c r="K181" s="13" t="n"/>
      <c r="L181" s="13" t="n"/>
      <c r="M181" s="13" t="n"/>
    </row>
    <row r="182">
      <c r="A182" s="15" t="inlineStr">
        <is>
          <t>PK-M178</t>
        </is>
      </c>
      <c r="B182" s="13" t="n"/>
      <c r="C182" s="13" t="n"/>
      <c r="D182" s="13" t="n"/>
      <c r="E182" s="13" t="n"/>
      <c r="F182" s="13" t="n"/>
      <c r="G182" s="13" t="n"/>
      <c r="H182" s="12" t="n"/>
      <c r="I182" s="13" t="n"/>
      <c r="J182" s="13" t="n"/>
      <c r="K182" s="13" t="n"/>
      <c r="L182" s="13" t="n"/>
      <c r="M182" s="13" t="n"/>
    </row>
    <row r="183">
      <c r="A183" s="15" t="inlineStr">
        <is>
          <t>PK-M179</t>
        </is>
      </c>
      <c r="B183" s="13" t="n"/>
      <c r="C183" s="13" t="n"/>
      <c r="D183" s="13" t="n"/>
      <c r="E183" s="13" t="n"/>
      <c r="F183" s="13" t="n"/>
      <c r="G183" s="13" t="n"/>
      <c r="H183" s="12" t="n"/>
      <c r="I183" s="13" t="n"/>
      <c r="J183" s="13" t="n"/>
      <c r="K183" s="13" t="n"/>
      <c r="L183" s="13" t="n"/>
      <c r="M183" s="13" t="n"/>
    </row>
    <row r="184">
      <c r="A184" s="15" t="inlineStr">
        <is>
          <t>PK-M180</t>
        </is>
      </c>
      <c r="B184" s="13" t="n"/>
      <c r="C184" s="13" t="n"/>
      <c r="D184" s="13" t="n"/>
      <c r="E184" s="13" t="n"/>
      <c r="F184" s="13" t="n"/>
      <c r="G184" s="13" t="n"/>
      <c r="H184" s="12" t="n"/>
      <c r="I184" s="13" t="n"/>
      <c r="J184" s="13" t="n"/>
      <c r="K184" s="13" t="n"/>
      <c r="L184" s="13" t="n"/>
      <c r="M184" s="13" t="n"/>
    </row>
    <row r="185">
      <c r="A185" s="15" t="inlineStr">
        <is>
          <t>PK-M181</t>
        </is>
      </c>
      <c r="B185" s="13" t="n"/>
      <c r="C185" s="13" t="n"/>
      <c r="D185" s="13" t="n"/>
      <c r="E185" s="13" t="n"/>
      <c r="F185" s="13" t="n"/>
      <c r="G185" s="13" t="n"/>
      <c r="H185" s="12" t="n"/>
      <c r="I185" s="13" t="n"/>
      <c r="J185" s="13" t="n"/>
      <c r="K185" s="13" t="n"/>
      <c r="L185" s="13" t="n"/>
      <c r="M185" s="13" t="n"/>
    </row>
    <row r="186">
      <c r="A186" s="15" t="inlineStr">
        <is>
          <t>PK-M182</t>
        </is>
      </c>
      <c r="B186" s="13" t="n"/>
      <c r="C186" s="13" t="n"/>
      <c r="D186" s="13" t="n"/>
      <c r="E186" s="13" t="n"/>
      <c r="F186" s="13" t="n"/>
      <c r="G186" s="13" t="n"/>
      <c r="H186" s="12" t="n"/>
      <c r="I186" s="13" t="n"/>
      <c r="J186" s="13" t="n"/>
      <c r="K186" s="13" t="n"/>
      <c r="L186" s="13" t="n"/>
      <c r="M186" s="13" t="n"/>
    </row>
    <row r="187">
      <c r="A187" s="15" t="inlineStr">
        <is>
          <t>PK-M183</t>
        </is>
      </c>
      <c r="B187" s="13" t="n"/>
      <c r="C187" s="13" t="n"/>
      <c r="D187" s="13" t="n"/>
      <c r="E187" s="13" t="n"/>
      <c r="F187" s="13" t="n"/>
      <c r="G187" s="13" t="n"/>
      <c r="H187" s="12" t="n"/>
      <c r="I187" s="13" t="n"/>
      <c r="J187" s="13" t="n"/>
      <c r="K187" s="13" t="n"/>
      <c r="L187" s="13" t="n"/>
      <c r="M187" s="13" t="n"/>
    </row>
    <row r="188">
      <c r="A188" s="15" t="inlineStr">
        <is>
          <t>PK-M184</t>
        </is>
      </c>
      <c r="B188" s="13" t="n"/>
      <c r="C188" s="13" t="n"/>
      <c r="D188" s="13" t="n"/>
      <c r="E188" s="13" t="n"/>
      <c r="F188" s="13" t="n"/>
      <c r="G188" s="13" t="n"/>
      <c r="H188" s="12" t="n"/>
      <c r="I188" s="13" t="n"/>
      <c r="J188" s="13" t="n"/>
      <c r="K188" s="13" t="n"/>
      <c r="L188" s="13" t="n"/>
      <c r="M188" s="13" t="n"/>
    </row>
    <row r="189">
      <c r="A189" s="15" t="inlineStr">
        <is>
          <t>PK-M185</t>
        </is>
      </c>
      <c r="B189" s="13" t="n"/>
      <c r="C189" s="13" t="n"/>
      <c r="D189" s="13" t="n"/>
      <c r="E189" s="13" t="n"/>
      <c r="F189" s="13" t="n"/>
      <c r="G189" s="13" t="n"/>
      <c r="H189" s="12" t="n"/>
      <c r="I189" s="13" t="n"/>
      <c r="J189" s="13" t="n"/>
      <c r="K189" s="13" t="n"/>
      <c r="L189" s="13" t="n"/>
      <c r="M189" s="13" t="n"/>
    </row>
    <row r="190">
      <c r="A190" s="15" t="inlineStr">
        <is>
          <t>PK-M186</t>
        </is>
      </c>
      <c r="B190" s="13" t="n"/>
      <c r="C190" s="13" t="n"/>
      <c r="D190" s="13" t="n"/>
      <c r="E190" s="13" t="n"/>
      <c r="F190" s="13" t="n"/>
      <c r="G190" s="13" t="n"/>
      <c r="H190" s="12" t="n"/>
      <c r="I190" s="13" t="n"/>
      <c r="J190" s="13" t="n"/>
      <c r="K190" s="13" t="n"/>
      <c r="L190" s="13" t="n"/>
      <c r="M190" s="13" t="n"/>
    </row>
    <row r="191">
      <c r="A191" s="15" t="inlineStr">
        <is>
          <t>PK-M187</t>
        </is>
      </c>
      <c r="B191" s="13" t="n"/>
      <c r="C191" s="13" t="n"/>
      <c r="D191" s="13" t="n"/>
      <c r="E191" s="13" t="n"/>
      <c r="F191" s="13" t="n"/>
      <c r="G191" s="13" t="n"/>
      <c r="H191" s="12" t="n"/>
      <c r="I191" s="13" t="n"/>
      <c r="J191" s="13" t="n"/>
      <c r="K191" s="13" t="n"/>
      <c r="L191" s="13" t="n"/>
      <c r="M191" s="13" t="n"/>
    </row>
    <row r="192">
      <c r="A192" s="15" t="inlineStr">
        <is>
          <t>PK-M188</t>
        </is>
      </c>
      <c r="B192" s="13" t="n"/>
      <c r="C192" s="13" t="n"/>
      <c r="D192" s="13" t="n"/>
      <c r="E192" s="13" t="n"/>
      <c r="F192" s="13" t="n"/>
      <c r="G192" s="13" t="n"/>
      <c r="H192" s="12" t="n"/>
      <c r="I192" s="13" t="n"/>
      <c r="J192" s="13" t="n"/>
      <c r="K192" s="13" t="n"/>
      <c r="L192" s="13" t="n"/>
      <c r="M192" s="13" t="n"/>
    </row>
    <row r="193">
      <c r="A193" s="15" t="inlineStr">
        <is>
          <t>PK-M189</t>
        </is>
      </c>
      <c r="B193" s="13" t="n"/>
      <c r="C193" s="13" t="n"/>
      <c r="D193" s="13" t="n"/>
      <c r="E193" s="13" t="n"/>
      <c r="F193" s="13" t="n"/>
      <c r="G193" s="13" t="n"/>
      <c r="H193" s="12" t="n"/>
      <c r="I193" s="13" t="n"/>
      <c r="J193" s="13" t="n"/>
      <c r="K193" s="13" t="n"/>
      <c r="L193" s="13" t="n"/>
      <c r="M193" s="13" t="n"/>
    </row>
    <row r="194">
      <c r="A194" s="15" t="inlineStr">
        <is>
          <t>PK-M190</t>
        </is>
      </c>
      <c r="B194" s="13" t="n"/>
      <c r="C194" s="13" t="n"/>
      <c r="D194" s="13" t="n"/>
      <c r="E194" s="13" t="n"/>
      <c r="F194" s="13" t="n"/>
      <c r="G194" s="13" t="n"/>
      <c r="H194" s="12" t="n"/>
      <c r="I194" s="13" t="n"/>
      <c r="J194" s="13" t="n"/>
      <c r="K194" s="13" t="n"/>
      <c r="L194" s="13" t="n"/>
      <c r="M194" s="13" t="n"/>
    </row>
    <row r="195">
      <c r="A195" s="15" t="inlineStr">
        <is>
          <t>PK-M191</t>
        </is>
      </c>
      <c r="B195" s="13" t="n"/>
      <c r="C195" s="13" t="n"/>
      <c r="D195" s="13" t="n"/>
      <c r="E195" s="13" t="n"/>
      <c r="F195" s="13" t="n"/>
      <c r="G195" s="13" t="n"/>
      <c r="H195" s="12" t="n"/>
      <c r="I195" s="13" t="n"/>
      <c r="J195" s="13" t="n"/>
      <c r="K195" s="13" t="n"/>
      <c r="L195" s="13" t="n"/>
      <c r="M195" s="13" t="n"/>
    </row>
    <row r="196">
      <c r="A196" s="15" t="inlineStr">
        <is>
          <t>PK-M192</t>
        </is>
      </c>
      <c r="B196" s="13" t="n"/>
      <c r="C196" s="13" t="n"/>
      <c r="D196" s="13" t="n"/>
      <c r="E196" s="13" t="n"/>
      <c r="F196" s="13" t="n"/>
      <c r="G196" s="13" t="n"/>
      <c r="H196" s="12" t="n"/>
      <c r="I196" s="13" t="n"/>
      <c r="J196" s="13" t="n"/>
      <c r="K196" s="13" t="n"/>
      <c r="L196" s="13" t="n"/>
      <c r="M196" s="13" t="n"/>
    </row>
    <row r="197">
      <c r="A197" s="15" t="inlineStr">
        <is>
          <t>PK-M193</t>
        </is>
      </c>
      <c r="B197" s="13" t="n"/>
      <c r="C197" s="13" t="n"/>
      <c r="D197" s="13" t="n"/>
      <c r="E197" s="13" t="n"/>
      <c r="F197" s="13" t="n"/>
      <c r="G197" s="13" t="n"/>
      <c r="H197" s="12" t="n"/>
      <c r="I197" s="13" t="n"/>
      <c r="J197" s="13" t="n"/>
      <c r="K197" s="13" t="n"/>
      <c r="L197" s="13" t="n"/>
      <c r="M197" s="13" t="n"/>
    </row>
    <row r="198">
      <c r="A198" s="15" t="inlineStr">
        <is>
          <t>PK-M194</t>
        </is>
      </c>
      <c r="B198" s="13" t="n"/>
      <c r="C198" s="13" t="n"/>
      <c r="D198" s="13" t="n"/>
      <c r="E198" s="13" t="n"/>
      <c r="F198" s="13" t="n"/>
      <c r="G198" s="13" t="n"/>
      <c r="H198" s="12" t="n"/>
      <c r="I198" s="13" t="n"/>
      <c r="J198" s="13" t="n"/>
      <c r="K198" s="13" t="n"/>
      <c r="L198" s="13" t="n"/>
      <c r="M198" s="13" t="n"/>
    </row>
    <row r="199">
      <c r="A199" s="15" t="inlineStr">
        <is>
          <t>PK-M195</t>
        </is>
      </c>
      <c r="B199" s="13" t="n"/>
      <c r="C199" s="13" t="n"/>
      <c r="D199" s="13" t="n"/>
      <c r="E199" s="13" t="n"/>
      <c r="F199" s="13" t="n"/>
      <c r="G199" s="13" t="n"/>
      <c r="H199" s="12" t="n"/>
      <c r="I199" s="13" t="n"/>
      <c r="J199" s="13" t="n"/>
      <c r="K199" s="13" t="n"/>
      <c r="L199" s="13" t="n"/>
      <c r="M199" s="13" t="n"/>
    </row>
    <row r="200">
      <c r="A200" s="15" t="inlineStr">
        <is>
          <t>PK-M196</t>
        </is>
      </c>
      <c r="B200" s="13" t="n"/>
      <c r="C200" s="13" t="n"/>
      <c r="D200" s="13" t="n"/>
      <c r="E200" s="13" t="n"/>
      <c r="F200" s="13" t="n"/>
      <c r="G200" s="13" t="n"/>
      <c r="H200" s="12" t="n"/>
      <c r="I200" s="13" t="n"/>
      <c r="J200" s="13" t="n"/>
      <c r="K200" s="13" t="n"/>
      <c r="L200" s="13" t="n"/>
      <c r="M200" s="13" t="n"/>
    </row>
    <row r="201">
      <c r="A201" s="15" t="inlineStr">
        <is>
          <t>PK-M197</t>
        </is>
      </c>
      <c r="B201" s="13" t="n"/>
      <c r="C201" s="13" t="n"/>
      <c r="D201" s="13" t="n"/>
      <c r="E201" s="13" t="n"/>
      <c r="F201" s="13" t="n"/>
      <c r="G201" s="13" t="n"/>
      <c r="H201" s="12" t="n"/>
      <c r="I201" s="13" t="n"/>
      <c r="J201" s="13" t="n"/>
      <c r="K201" s="13" t="n"/>
      <c r="L201" s="13" t="n"/>
      <c r="M201" s="13" t="n"/>
    </row>
    <row r="202">
      <c r="A202" s="15" t="inlineStr">
        <is>
          <t>PK-M198</t>
        </is>
      </c>
      <c r="B202" s="13" t="n"/>
      <c r="C202" s="13" t="n"/>
      <c r="D202" s="13" t="n"/>
      <c r="E202" s="13" t="n"/>
      <c r="F202" s="13" t="n"/>
      <c r="G202" s="13" t="n"/>
      <c r="H202" s="12" t="n"/>
      <c r="I202" s="13" t="n"/>
      <c r="J202" s="13" t="n"/>
      <c r="K202" s="13" t="n"/>
      <c r="L202" s="13" t="n"/>
      <c r="M202" s="13" t="n"/>
    </row>
    <row r="203">
      <c r="A203" s="15" t="inlineStr">
        <is>
          <t>PK-M199</t>
        </is>
      </c>
      <c r="B203" s="13" t="n"/>
      <c r="C203" s="13" t="n"/>
      <c r="D203" s="13" t="n"/>
      <c r="E203" s="13" t="n"/>
      <c r="F203" s="13" t="n"/>
      <c r="G203" s="13" t="n"/>
      <c r="H203" s="12" t="n"/>
      <c r="I203" s="13" t="n"/>
      <c r="J203" s="13" t="n"/>
      <c r="K203" s="13" t="n"/>
      <c r="L203" s="13" t="n"/>
      <c r="M203" s="13" t="n"/>
    </row>
    <row r="204">
      <c r="A204" s="15" t="inlineStr">
        <is>
          <t>PK-M200</t>
        </is>
      </c>
      <c r="B204" s="13" t="n"/>
      <c r="C204" s="13" t="n"/>
      <c r="D204" s="13" t="n"/>
      <c r="E204" s="13" t="n"/>
      <c r="F204" s="13" t="n"/>
      <c r="G204" s="13" t="n"/>
      <c r="H204" s="12" t="n"/>
      <c r="I204" s="13" t="n"/>
      <c r="J204" s="13" t="n"/>
      <c r="K204" s="13" t="n"/>
      <c r="L204" s="13" t="n"/>
      <c r="M204" s="13" t="n"/>
    </row>
  </sheetData>
  <dataValidations count="5">
    <dataValidation sqref="C5:C204" showDropDown="0" showInputMessage="0" showErrorMessage="0" allowBlank="1" type="list">
      <formula1>"Nhà hàng,Quán cà phê,Quán nước"</formula1>
    </dataValidation>
    <dataValidation sqref="F5:F204" showDropDown="0" showInputMessage="0" showErrorMessage="0" allowBlank="1" type="list">
      <formula1>"Phường Pleiku,Phường Diên Hồng,Phường Thống Nhất,Phường Hội Phú,Phường An Phú,Xã Biển Hồ"</formula1>
    </dataValidation>
    <dataValidation sqref="G5:G204" showDropDown="0" showInputMessage="0" showErrorMessage="0" allowBlank="1" type="list">
      <formula1>"Diên Hồng,Đống Đa,Hoa Lư,Hội Phú,Hội Thương,Ia Kring,Phù Đổng,Tây Sơn,Thắng Lợi,Thống Nhất,Trà Bá,Yên Đỗ,Yên Thế,Chi Lăng"</formula1>
    </dataValidation>
    <dataValidation sqref="I5:I204" showDropDown="0" showInputMessage="0" showErrorMessage="0" allowBlank="1" type="list">
      <formula1>"Đã thu thập đủ,Chủ quán hẹn lại,Từ chối cung cấp,Đã đóng cửa,Không tìm thấy,Đã chuyển địa chỉ,Không phải quán ăn"</formula1>
    </dataValidation>
    <dataValidation sqref="J5:K204" showDropDown="0" showInputMessage="0" showErrorMessage="0" allowBlank="1" type="list">
      <formula1>"Có,Không"</formula1>
    </dataValidation>
  </dataValidations>
  <pageMargins left="0.4" right="0.4" top="0.5" bottom="0.5" header="0.5" footer="0.5"/>
  <pageSetup orientation="landscape" paperSize="9" fitToHeight="0" fitToWidth="1"/>
  <headerFooter>
    <oddHeader/>
    <oddFooter>&amp;CTrang &amp;P /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22" customWidth="1" min="1" max="1"/>
    <col width="12" customWidth="1" min="2" max="2"/>
    <col width="10" customWidth="1" min="3" max="3"/>
    <col width="12" customWidth="1" min="4" max="4"/>
    <col width="10" customWidth="1" min="5" max="5"/>
    <col width="10" customWidth="1" min="6" max="6"/>
    <col width="18" customWidth="1" min="7" max="7"/>
    <col width="12" customWidth="1" min="8" max="8"/>
    <col width="12" customWidth="1" min="9" max="9"/>
  </cols>
  <sheetData>
    <row r="1">
      <c r="A1" s="14" t="inlineStr">
        <is>
          <t>TIẾN ĐỘ KHẢO SÁT THEO PHƯỜNG / XÃ</t>
        </is>
      </c>
    </row>
    <row r="3" ht="34" customHeight="1">
      <c r="A3" s="6" t="inlineStr">
        <is>
          <t>Phường / xã mới</t>
        </is>
      </c>
      <c r="B3" s="6" t="inlineStr">
        <is>
          <t>Trong danh sách</t>
        </is>
      </c>
      <c r="C3" s="6" t="inlineStr">
        <is>
          <t>Đã đến</t>
        </is>
      </c>
      <c r="D3" s="6" t="inlineStr">
        <is>
          <t>Đã thu thập đủ</t>
        </is>
      </c>
      <c r="E3" s="6" t="inlineStr">
        <is>
          <t>Hẹn lại</t>
        </is>
      </c>
      <c r="F3" s="6" t="inlineStr">
        <is>
          <t>Từ chối</t>
        </is>
      </c>
      <c r="G3" s="6" t="inlineStr">
        <is>
          <t>Đóng cửa / không thấy / không phải quán ăn</t>
        </is>
      </c>
      <c r="H3" s="6" t="inlineStr">
        <is>
          <t>Phát hiện thêm</t>
        </is>
      </c>
      <c r="I3" s="6" t="inlineStr">
        <is>
          <t>% hoàn thành</t>
        </is>
      </c>
    </row>
    <row r="4">
      <c r="A4" s="15" t="inlineStr">
        <is>
          <t>Phường Pleiku</t>
        </is>
      </c>
      <c r="B4" s="15">
        <f>COUNTIF('Danh sách khảo sát'!$G$5:$G$388,A4)</f>
        <v/>
      </c>
      <c r="C4" s="15">
        <f>COUNTIFS('Danh sách khảo sát'!$G$5:$G$388,A4,'Danh sách khảo sát'!$M$5:$M$388,"&lt;&gt;")</f>
        <v/>
      </c>
      <c r="D4" s="15">
        <f>COUNTIFS('Danh sách khảo sát'!$G$5:$G$388,A4,'Danh sách khảo sát'!$M$5:$M$388,"Đã thu thập đủ")</f>
        <v/>
      </c>
      <c r="E4" s="15">
        <f>COUNTIFS('Danh sách khảo sát'!$G$5:$G$388,A4,'Danh sách khảo sát'!$M$5:$M$388,"Chủ quán hẹn lại")</f>
        <v/>
      </c>
      <c r="F4" s="15">
        <f>COUNTIFS('Danh sách khảo sát'!$G$5:$G$388,A4,'Danh sách khảo sát'!$M$5:$M$388,"Từ chối cung cấp")</f>
        <v/>
      </c>
      <c r="G4" s="15">
        <f>COUNTIFS('Danh sách khảo sát'!$G$5:$G$388,A4,'Danh sách khảo sát'!$M$5:$M$388,"Đã đóng cửa")+COUNTIFS('Danh sách khảo sát'!$G$5:$G$388,A4,'Danh sách khảo sát'!$M$5:$M$388,"Không tìm thấy")+COUNTIFS('Danh sách khảo sát'!$G$5:$G$388,A4,'Danh sách khảo sát'!$M$5:$M$388,"Không phải quán ăn")+COUNTIFS('Danh sách khảo sát'!$G$5:$G$388,A4,'Danh sách khảo sát'!$M$5:$M$388,"Đã chuyển địa chỉ")</f>
        <v/>
      </c>
      <c r="H4" s="15">
        <f>COUNTIF('Quán phát hiện thêm'!$F$5:$F$204,A4)</f>
        <v/>
      </c>
      <c r="I4" s="16">
        <f>IF(B4=0,0,C4/B4)</f>
        <v/>
      </c>
    </row>
    <row r="5">
      <c r="A5" s="15" t="inlineStr">
        <is>
          <t>Phường Diên Hồng</t>
        </is>
      </c>
      <c r="B5" s="15">
        <f>COUNTIF('Danh sách khảo sát'!$G$5:$G$388,A5)</f>
        <v/>
      </c>
      <c r="C5" s="15">
        <f>COUNTIFS('Danh sách khảo sát'!$G$5:$G$388,A5,'Danh sách khảo sát'!$M$5:$M$388,"&lt;&gt;")</f>
        <v/>
      </c>
      <c r="D5" s="15">
        <f>COUNTIFS('Danh sách khảo sát'!$G$5:$G$388,A5,'Danh sách khảo sát'!$M$5:$M$388,"Đã thu thập đủ")</f>
        <v/>
      </c>
      <c r="E5" s="15">
        <f>COUNTIFS('Danh sách khảo sát'!$G$5:$G$388,A5,'Danh sách khảo sát'!$M$5:$M$388,"Chủ quán hẹn lại")</f>
        <v/>
      </c>
      <c r="F5" s="15">
        <f>COUNTIFS('Danh sách khảo sát'!$G$5:$G$388,A5,'Danh sách khảo sát'!$M$5:$M$388,"Từ chối cung cấp")</f>
        <v/>
      </c>
      <c r="G5" s="15">
        <f>COUNTIFS('Danh sách khảo sát'!$G$5:$G$388,A5,'Danh sách khảo sát'!$M$5:$M$388,"Đã đóng cửa")+COUNTIFS('Danh sách khảo sát'!$G$5:$G$388,A5,'Danh sách khảo sát'!$M$5:$M$388,"Không tìm thấy")+COUNTIFS('Danh sách khảo sát'!$G$5:$G$388,A5,'Danh sách khảo sát'!$M$5:$M$388,"Không phải quán ăn")+COUNTIFS('Danh sách khảo sát'!$G$5:$G$388,A5,'Danh sách khảo sát'!$M$5:$M$388,"Đã chuyển địa chỉ")</f>
        <v/>
      </c>
      <c r="H5" s="15">
        <f>COUNTIF('Quán phát hiện thêm'!$F$5:$F$204,A5)</f>
        <v/>
      </c>
      <c r="I5" s="16">
        <f>IF(B5=0,0,C5/B5)</f>
        <v/>
      </c>
    </row>
    <row r="6">
      <c r="A6" s="15" t="inlineStr">
        <is>
          <t>Phường Thống Nhất</t>
        </is>
      </c>
      <c r="B6" s="15">
        <f>COUNTIF('Danh sách khảo sát'!$G$5:$G$388,A6)</f>
        <v/>
      </c>
      <c r="C6" s="15">
        <f>COUNTIFS('Danh sách khảo sát'!$G$5:$G$388,A6,'Danh sách khảo sát'!$M$5:$M$388,"&lt;&gt;")</f>
        <v/>
      </c>
      <c r="D6" s="15">
        <f>COUNTIFS('Danh sách khảo sát'!$G$5:$G$388,A6,'Danh sách khảo sát'!$M$5:$M$388,"Đã thu thập đủ")</f>
        <v/>
      </c>
      <c r="E6" s="15">
        <f>COUNTIFS('Danh sách khảo sát'!$G$5:$G$388,A6,'Danh sách khảo sát'!$M$5:$M$388,"Chủ quán hẹn lại")</f>
        <v/>
      </c>
      <c r="F6" s="15">
        <f>COUNTIFS('Danh sách khảo sát'!$G$5:$G$388,A6,'Danh sách khảo sát'!$M$5:$M$388,"Từ chối cung cấp")</f>
        <v/>
      </c>
      <c r="G6" s="15">
        <f>COUNTIFS('Danh sách khảo sát'!$G$5:$G$388,A6,'Danh sách khảo sát'!$M$5:$M$388,"Đã đóng cửa")+COUNTIFS('Danh sách khảo sát'!$G$5:$G$388,A6,'Danh sách khảo sát'!$M$5:$M$388,"Không tìm thấy")+COUNTIFS('Danh sách khảo sát'!$G$5:$G$388,A6,'Danh sách khảo sát'!$M$5:$M$388,"Không phải quán ăn")+COUNTIFS('Danh sách khảo sát'!$G$5:$G$388,A6,'Danh sách khảo sát'!$M$5:$M$388,"Đã chuyển địa chỉ")</f>
        <v/>
      </c>
      <c r="H6" s="15">
        <f>COUNTIF('Quán phát hiện thêm'!$F$5:$F$204,A6)</f>
        <v/>
      </c>
      <c r="I6" s="16">
        <f>IF(B6=0,0,C6/B6)</f>
        <v/>
      </c>
    </row>
    <row r="7">
      <c r="A7" s="15" t="inlineStr">
        <is>
          <t>Phường Hội Phú</t>
        </is>
      </c>
      <c r="B7" s="15">
        <f>COUNTIF('Danh sách khảo sát'!$G$5:$G$388,A7)</f>
        <v/>
      </c>
      <c r="C7" s="15">
        <f>COUNTIFS('Danh sách khảo sát'!$G$5:$G$388,A7,'Danh sách khảo sát'!$M$5:$M$388,"&lt;&gt;")</f>
        <v/>
      </c>
      <c r="D7" s="15">
        <f>COUNTIFS('Danh sách khảo sát'!$G$5:$G$388,A7,'Danh sách khảo sát'!$M$5:$M$388,"Đã thu thập đủ")</f>
        <v/>
      </c>
      <c r="E7" s="15">
        <f>COUNTIFS('Danh sách khảo sát'!$G$5:$G$388,A7,'Danh sách khảo sát'!$M$5:$M$388,"Chủ quán hẹn lại")</f>
        <v/>
      </c>
      <c r="F7" s="15">
        <f>COUNTIFS('Danh sách khảo sát'!$G$5:$G$388,A7,'Danh sách khảo sát'!$M$5:$M$388,"Từ chối cung cấp")</f>
        <v/>
      </c>
      <c r="G7" s="15">
        <f>COUNTIFS('Danh sách khảo sát'!$G$5:$G$388,A7,'Danh sách khảo sát'!$M$5:$M$388,"Đã đóng cửa")+COUNTIFS('Danh sách khảo sát'!$G$5:$G$388,A7,'Danh sách khảo sát'!$M$5:$M$388,"Không tìm thấy")+COUNTIFS('Danh sách khảo sát'!$G$5:$G$388,A7,'Danh sách khảo sát'!$M$5:$M$388,"Không phải quán ăn")+COUNTIFS('Danh sách khảo sát'!$G$5:$G$388,A7,'Danh sách khảo sát'!$M$5:$M$388,"Đã chuyển địa chỉ")</f>
        <v/>
      </c>
      <c r="H7" s="15">
        <f>COUNTIF('Quán phát hiện thêm'!$F$5:$F$204,A7)</f>
        <v/>
      </c>
      <c r="I7" s="16">
        <f>IF(B7=0,0,C7/B7)</f>
        <v/>
      </c>
    </row>
    <row r="8">
      <c r="A8" s="15" t="inlineStr">
        <is>
          <t>Phường An Phú</t>
        </is>
      </c>
      <c r="B8" s="15">
        <f>COUNTIF('Danh sách khảo sát'!$G$5:$G$388,A8)</f>
        <v/>
      </c>
      <c r="C8" s="15">
        <f>COUNTIFS('Danh sách khảo sát'!$G$5:$G$388,A8,'Danh sách khảo sát'!$M$5:$M$388,"&lt;&gt;")</f>
        <v/>
      </c>
      <c r="D8" s="15">
        <f>COUNTIFS('Danh sách khảo sát'!$G$5:$G$388,A8,'Danh sách khảo sát'!$M$5:$M$388,"Đã thu thập đủ")</f>
        <v/>
      </c>
      <c r="E8" s="15">
        <f>COUNTIFS('Danh sách khảo sát'!$G$5:$G$388,A8,'Danh sách khảo sát'!$M$5:$M$388,"Chủ quán hẹn lại")</f>
        <v/>
      </c>
      <c r="F8" s="15">
        <f>COUNTIFS('Danh sách khảo sát'!$G$5:$G$388,A8,'Danh sách khảo sát'!$M$5:$M$388,"Từ chối cung cấp")</f>
        <v/>
      </c>
      <c r="G8" s="15">
        <f>COUNTIFS('Danh sách khảo sát'!$G$5:$G$388,A8,'Danh sách khảo sát'!$M$5:$M$388,"Đã đóng cửa")+COUNTIFS('Danh sách khảo sát'!$G$5:$G$388,A8,'Danh sách khảo sát'!$M$5:$M$388,"Không tìm thấy")+COUNTIFS('Danh sách khảo sát'!$G$5:$G$388,A8,'Danh sách khảo sát'!$M$5:$M$388,"Không phải quán ăn")+COUNTIFS('Danh sách khảo sát'!$G$5:$G$388,A8,'Danh sách khảo sát'!$M$5:$M$388,"Đã chuyển địa chỉ")</f>
        <v/>
      </c>
      <c r="H8" s="15">
        <f>COUNTIF('Quán phát hiện thêm'!$F$5:$F$204,A8)</f>
        <v/>
      </c>
      <c r="I8" s="16">
        <f>IF(B8=0,0,C8/B8)</f>
        <v/>
      </c>
    </row>
    <row r="9">
      <c r="A9" s="15" t="inlineStr">
        <is>
          <t>Xã Biển Hồ</t>
        </is>
      </c>
      <c r="B9" s="15">
        <f>COUNTIF('Danh sách khảo sát'!$G$5:$G$388,A9)</f>
        <v/>
      </c>
      <c r="C9" s="15">
        <f>COUNTIFS('Danh sách khảo sát'!$G$5:$G$388,A9,'Danh sách khảo sát'!$M$5:$M$388,"&lt;&gt;")</f>
        <v/>
      </c>
      <c r="D9" s="15">
        <f>COUNTIFS('Danh sách khảo sát'!$G$5:$G$388,A9,'Danh sách khảo sát'!$M$5:$M$388,"Đã thu thập đủ")</f>
        <v/>
      </c>
      <c r="E9" s="15">
        <f>COUNTIFS('Danh sách khảo sát'!$G$5:$G$388,A9,'Danh sách khảo sát'!$M$5:$M$388,"Chủ quán hẹn lại")</f>
        <v/>
      </c>
      <c r="F9" s="15">
        <f>COUNTIFS('Danh sách khảo sát'!$G$5:$G$388,A9,'Danh sách khảo sát'!$M$5:$M$388,"Từ chối cung cấp")</f>
        <v/>
      </c>
      <c r="G9" s="15">
        <f>COUNTIFS('Danh sách khảo sát'!$G$5:$G$388,A9,'Danh sách khảo sát'!$M$5:$M$388,"Đã đóng cửa")+COUNTIFS('Danh sách khảo sát'!$G$5:$G$388,A9,'Danh sách khảo sát'!$M$5:$M$388,"Không tìm thấy")+COUNTIFS('Danh sách khảo sát'!$G$5:$G$388,A9,'Danh sách khảo sát'!$M$5:$M$388,"Không phải quán ăn")+COUNTIFS('Danh sách khảo sát'!$G$5:$G$388,A9,'Danh sách khảo sát'!$M$5:$M$388,"Đã chuyển địa chỉ")</f>
        <v/>
      </c>
      <c r="H9" s="15">
        <f>COUNTIF('Quán phát hiện thêm'!$F$5:$F$204,A9)</f>
        <v/>
      </c>
      <c r="I9" s="16">
        <f>IF(B9=0,0,C9/B9)</f>
        <v/>
      </c>
    </row>
    <row r="10">
      <c r="A10" s="17" t="inlineStr">
        <is>
          <t>Tổng</t>
        </is>
      </c>
      <c r="B10" s="17">
        <f>SUM(B4:B9)</f>
        <v/>
      </c>
      <c r="C10" s="17">
        <f>SUM(C4:C9)</f>
        <v/>
      </c>
      <c r="D10" s="17">
        <f>SUM(D4:D9)</f>
        <v/>
      </c>
      <c r="E10" s="17">
        <f>SUM(E4:E9)</f>
        <v/>
      </c>
      <c r="F10" s="17">
        <f>SUM(F4:F9)</f>
        <v/>
      </c>
      <c r="G10" s="17">
        <f>SUM(G4:G9)</f>
        <v/>
      </c>
      <c r="H10" s="17">
        <f>SUM(H4:H9)</f>
        <v/>
      </c>
      <c r="I10" s="18">
        <f>IF(B10=0,0,C10/B10)</f>
        <v/>
      </c>
    </row>
    <row r="12">
      <c r="A12" s="5" t="inlineStr">
        <is>
          <t>Bảng tự cập nhật theo cột "Kết quả" của sheet Danh sách khảo sát và sheet Quán phát hiện thêm.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H39"/>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4" customWidth="1" min="8" max="8"/>
  </cols>
  <sheetData>
    <row r="1" ht="22" customHeight="1">
      <c r="A1" s="19" t="inlineStr">
        <is>
          <t>PHIẾU CUNG CẤP THÔNG TIN QUÁN ĂN – BẢN ĐỒ SỐ GIA LAI</t>
        </is>
      </c>
    </row>
    <row r="2">
      <c r="A2" s="20" t="inlineStr">
        <is>
          <t>Mã KS: ____________     Ngày: ___ / ___ / 20___     Người khảo sát: ______________________</t>
        </is>
      </c>
    </row>
    <row r="4" ht="22" customHeight="1">
      <c r="A4" s="21" t="inlineStr">
        <is>
          <t>A. THÔNG TIN QUÁN</t>
        </is>
      </c>
    </row>
    <row r="5" ht="22" customHeight="1">
      <c r="A5" s="22" t="inlineStr">
        <is>
          <t>Tên trên biển hiệu</t>
        </is>
      </c>
      <c r="B5" s="27" t="n"/>
      <c r="C5" s="23" t="n"/>
      <c r="D5" s="28" t="n"/>
      <c r="E5" s="28" t="n"/>
      <c r="F5" s="28" t="n"/>
      <c r="G5" s="28" t="n"/>
      <c r="H5" s="27" t="n"/>
    </row>
    <row r="6" ht="22" customHeight="1">
      <c r="A6" s="22" t="inlineStr">
        <is>
          <t>Danh mục</t>
        </is>
      </c>
      <c r="B6" s="27" t="n"/>
      <c r="C6" s="24" t="inlineStr">
        <is>
          <t>☐ Nhà hàng     ☐ Quán cà phê     ☐ Quán nước</t>
        </is>
      </c>
      <c r="D6" s="28" t="n"/>
      <c r="E6" s="28" t="n"/>
      <c r="F6" s="28" t="n"/>
      <c r="G6" s="28" t="n"/>
      <c r="H6" s="27" t="n"/>
    </row>
    <row r="7" ht="32" customHeight="1">
      <c r="A7" s="22" t="inlineStr">
        <is>
          <t>Loại món chính / món đặc trưng</t>
        </is>
      </c>
      <c r="B7" s="27" t="n"/>
      <c r="C7" s="23" t="n"/>
      <c r="D7" s="28" t="n"/>
      <c r="E7" s="28" t="n"/>
      <c r="F7" s="28" t="n"/>
      <c r="G7" s="28" t="n"/>
      <c r="H7" s="27" t="n"/>
    </row>
    <row r="8" ht="22" customHeight="1">
      <c r="A8" s="22" t="inlineStr">
        <is>
          <t>Số nhà – Tên đường</t>
        </is>
      </c>
      <c r="B8" s="27" t="n"/>
      <c r="C8" s="23" t="n"/>
      <c r="D8" s="28" t="n"/>
      <c r="E8" s="28" t="n"/>
      <c r="F8" s="28" t="n"/>
      <c r="G8" s="28" t="n"/>
      <c r="H8" s="27" t="n"/>
    </row>
    <row r="9" ht="22" customHeight="1">
      <c r="A9" s="22" t="inlineStr">
        <is>
          <t>Phường / xã (mới)</t>
        </is>
      </c>
      <c r="B9" s="27" t="n"/>
      <c r="C9" s="23" t="n"/>
      <c r="D9" s="28" t="n"/>
      <c r="E9" s="28" t="n"/>
      <c r="F9" s="28" t="n"/>
      <c r="G9" s="28" t="n"/>
      <c r="H9" s="27" t="n"/>
    </row>
    <row r="10" ht="30" customHeight="1">
      <c r="A10" s="22" t="inlineStr">
        <is>
          <t>Vĩ độ – Kinh độ (đo GPS tại cửa)</t>
        </is>
      </c>
      <c r="B10" s="27" t="n"/>
      <c r="C10" s="23" t="n"/>
      <c r="D10" s="28" t="n"/>
      <c r="E10" s="28" t="n"/>
      <c r="F10" s="28" t="n"/>
      <c r="G10" s="28" t="n"/>
      <c r="H10" s="27" t="n"/>
    </row>
    <row r="11" ht="22" customHeight="1">
      <c r="A11" s="22" t="inlineStr">
        <is>
          <t>Số điện thoại quán</t>
        </is>
      </c>
      <c r="B11" s="27" t="n"/>
      <c r="C11" s="23" t="n"/>
      <c r="D11" s="28" t="n"/>
      <c r="E11" s="28" t="n"/>
      <c r="F11" s="28" t="n"/>
      <c r="G11" s="28" t="n"/>
      <c r="H11" s="27" t="n"/>
    </row>
    <row r="12" ht="22" customHeight="1">
      <c r="A12" s="22" t="inlineStr">
        <is>
          <t>Website / Facebook</t>
        </is>
      </c>
      <c r="B12" s="27" t="n"/>
      <c r="C12" s="23" t="n"/>
      <c r="D12" s="28" t="n"/>
      <c r="E12" s="28" t="n"/>
      <c r="F12" s="28" t="n"/>
      <c r="G12" s="28" t="n"/>
      <c r="H12" s="27" t="n"/>
    </row>
    <row r="14" ht="22" customHeight="1">
      <c r="A14" s="21" t="inlineStr">
        <is>
          <t>B. GIỜ MỞ CỬA (ghi HH:MM-HH:MM hoặc "Nghỉ")</t>
        </is>
      </c>
    </row>
    <row r="15">
      <c r="A15" s="25" t="inlineStr"/>
      <c r="B15" s="25" t="inlineStr">
        <is>
          <t>Thứ 2</t>
        </is>
      </c>
      <c r="C15" s="25" t="inlineStr">
        <is>
          <t>Thứ 3</t>
        </is>
      </c>
      <c r="D15" s="25" t="inlineStr">
        <is>
          <t>Thứ 4</t>
        </is>
      </c>
      <c r="E15" s="25" t="inlineStr">
        <is>
          <t>Thứ 5</t>
        </is>
      </c>
      <c r="F15" s="25" t="inlineStr">
        <is>
          <t>Thứ 6</t>
        </is>
      </c>
      <c r="G15" s="25" t="inlineStr">
        <is>
          <t>Thứ 7</t>
        </is>
      </c>
      <c r="H15" s="25" t="inlineStr">
        <is>
          <t>Chủ nhật</t>
        </is>
      </c>
    </row>
    <row r="16" ht="26" customHeight="1">
      <c r="A16" s="17" t="inlineStr">
        <is>
          <t>Giờ mở – đóng</t>
        </is>
      </c>
      <c r="B16" s="23" t="n"/>
      <c r="C16" s="23" t="n"/>
      <c r="D16" s="23" t="n"/>
      <c r="E16" s="23" t="n"/>
      <c r="F16" s="23" t="n"/>
      <c r="G16" s="23" t="n"/>
      <c r="H16" s="23" t="n"/>
    </row>
    <row r="18" ht="22" customHeight="1">
      <c r="A18" s="21" t="inlineStr">
        <is>
          <t>C. GIÁ &amp; TIỆN ÍCH</t>
        </is>
      </c>
    </row>
    <row r="19" ht="30" customHeight="1">
      <c r="A19" s="22" t="inlineStr">
        <is>
          <t>Giá mỗi người (đồng): từ … đến …</t>
        </is>
      </c>
      <c r="B19" s="27" t="n"/>
      <c r="C19" s="23" t="n"/>
      <c r="D19" s="28" t="n"/>
      <c r="E19" s="28" t="n"/>
      <c r="F19" s="28" t="n"/>
      <c r="G19" s="28" t="n"/>
      <c r="H19" s="27" t="n"/>
    </row>
    <row r="20" ht="22" customHeight="1">
      <c r="A20" s="22" t="inlineStr">
        <is>
          <t>Tiện ích</t>
        </is>
      </c>
      <c r="B20" s="27" t="n"/>
      <c r="C20" s="24" t="inlineStr">
        <is>
          <t>☐ Wifi     ☐ Máy lạnh     ☐ Đỗ ô tô     ☐ Thẻ / QR     ☐ Giao hàng     ☐ Có món chay</t>
        </is>
      </c>
      <c r="D20" s="28" t="n"/>
      <c r="E20" s="28" t="n"/>
      <c r="F20" s="28" t="n"/>
      <c r="G20" s="28" t="n"/>
      <c r="H20" s="27" t="n"/>
    </row>
    <row r="21" ht="22" customHeight="1">
      <c r="A21" s="22" t="inlineStr">
        <is>
          <t>Số chỗ ngồi (ước lượng)</t>
        </is>
      </c>
      <c r="B21" s="27" t="n"/>
      <c r="C21" s="23" t="n"/>
      <c r="D21" s="28" t="n"/>
      <c r="E21" s="28" t="n"/>
      <c r="F21" s="28" t="n"/>
      <c r="G21" s="28" t="n"/>
      <c r="H21" s="27" t="n"/>
    </row>
    <row r="22" ht="22" customHeight="1">
      <c r="A22" s="22" t="inlineStr">
        <is>
          <t>Giấy chứng nhận ATTP</t>
        </is>
      </c>
      <c r="B22" s="27" t="n"/>
      <c r="C22" s="24" t="inlineStr">
        <is>
          <t>☐ Có     ☐ Không     ☐ Không rõ</t>
        </is>
      </c>
      <c r="D22" s="28" t="n"/>
      <c r="E22" s="28" t="n"/>
      <c r="F22" s="28" t="n"/>
      <c r="G22" s="28" t="n"/>
      <c r="H22" s="27" t="n"/>
    </row>
    <row r="23" ht="44" customHeight="1">
      <c r="A23" s="22" t="inlineStr">
        <is>
          <t>Giới thiệu ngắn về quán (≤ 160 ký tự)</t>
        </is>
      </c>
      <c r="B23" s="27" t="n"/>
      <c r="C23" s="23" t="n"/>
      <c r="D23" s="28" t="n"/>
      <c r="E23" s="28" t="n"/>
      <c r="F23" s="28" t="n"/>
      <c r="G23" s="28" t="n"/>
      <c r="H23" s="27" t="n"/>
    </row>
    <row r="24" ht="22" customHeight="1">
      <c r="A24" s="22" t="inlineStr">
        <is>
          <t>Ảnh</t>
        </is>
      </c>
      <c r="B24" s="27" t="n"/>
      <c r="C24" s="24" t="inlineStr">
        <is>
          <t>☐ Người khảo sát chụp     ☐ Chủ quán gửi ảnh     ☐ Không có ảnh</t>
        </is>
      </c>
      <c r="D24" s="28" t="n"/>
      <c r="E24" s="28" t="n"/>
      <c r="F24" s="28" t="n"/>
      <c r="G24" s="28" t="n"/>
      <c r="H24" s="27" t="n"/>
    </row>
    <row r="26" ht="22" customHeight="1">
      <c r="A26" s="21" t="inlineStr">
        <is>
          <t>D. ĐỒNG Ý CÔNG KHAI THÔNG TIN</t>
        </is>
      </c>
    </row>
    <row r="27">
      <c r="A27" s="9" t="inlineStr">
        <is>
          <t>Tôi đồng ý để thông tin ở mục A, B, C (kể cả số điện thoại và ảnh nếu có) được hiển thị miễn phí trên Bản đồ số Gia Lai (đề tài sinh viên Đại học Duy Tân). Tôi có thể yêu cầu sửa hoặc gỡ thông tin bất kỳ lúc nào qua người khảo sát.</t>
        </is>
      </c>
      <c r="B27" s="29" t="n"/>
      <c r="C27" s="29" t="n"/>
      <c r="D27" s="29" t="n"/>
      <c r="E27" s="29" t="n"/>
      <c r="F27" s="29" t="n"/>
      <c r="G27" s="29" t="n"/>
      <c r="H27" s="30" t="n"/>
    </row>
    <row r="28">
      <c r="A28" s="31" t="n"/>
      <c r="H28" s="32" t="n"/>
    </row>
    <row r="29">
      <c r="A29" s="33" t="n"/>
      <c r="B29" s="34" t="n"/>
      <c r="C29" s="34" t="n"/>
      <c r="D29" s="34" t="n"/>
      <c r="E29" s="34" t="n"/>
      <c r="F29" s="34" t="n"/>
      <c r="G29" s="34" t="n"/>
      <c r="H29" s="35" t="n"/>
    </row>
    <row r="30" ht="22" customHeight="1">
      <c r="A30" s="22" t="inlineStr">
        <is>
          <t>Chủ quán</t>
        </is>
      </c>
      <c r="B30" s="27" t="n"/>
      <c r="C30" s="24" t="inlineStr">
        <is>
          <t>☐ Đồng ý     ☐ Không đồng ý công khai SĐT/ảnh</t>
        </is>
      </c>
      <c r="D30" s="28" t="n"/>
      <c r="E30" s="28" t="n"/>
      <c r="F30" s="28" t="n"/>
      <c r="G30" s="28" t="n"/>
      <c r="H30" s="27" t="n"/>
    </row>
    <row r="31">
      <c r="A31" s="17" t="inlineStr">
        <is>
          <t>Họ tên chủ quán / người đại diện</t>
        </is>
      </c>
      <c r="B31" s="28" t="n"/>
      <c r="C31" s="28" t="n"/>
      <c r="D31" s="27" t="n"/>
      <c r="E31" s="17" t="inlineStr">
        <is>
          <t>Chữ ký</t>
        </is>
      </c>
      <c r="F31" s="28" t="n"/>
      <c r="G31" s="28" t="n"/>
      <c r="H31" s="27" t="n"/>
    </row>
    <row r="32">
      <c r="A32" s="23" t="n"/>
      <c r="B32" s="29" t="n"/>
      <c r="C32" s="29" t="n"/>
      <c r="D32" s="30" t="n"/>
      <c r="E32" s="23" t="n"/>
      <c r="F32" s="29" t="n"/>
      <c r="G32" s="29" t="n"/>
      <c r="H32" s="30" t="n"/>
    </row>
    <row r="33">
      <c r="A33" s="31" t="n"/>
      <c r="D33" s="32" t="n"/>
      <c r="E33" s="31" t="n"/>
      <c r="H33" s="32" t="n"/>
    </row>
    <row r="34">
      <c r="A34" s="33" t="n"/>
      <c r="B34" s="34" t="n"/>
      <c r="C34" s="34" t="n"/>
      <c r="D34" s="35" t="n"/>
      <c r="E34" s="33" t="n"/>
      <c r="F34" s="34" t="n"/>
      <c r="G34" s="34" t="n"/>
      <c r="H34" s="35" t="n"/>
    </row>
    <row r="36">
      <c r="A36" s="26" t="inlineStr">
        <is>
          <t>Ghi chú của người khảo sát:</t>
        </is>
      </c>
    </row>
    <row r="37">
      <c r="A37" s="23" t="n"/>
      <c r="B37" s="29" t="n"/>
      <c r="C37" s="29" t="n"/>
      <c r="D37" s="29" t="n"/>
      <c r="E37" s="29" t="n"/>
      <c r="F37" s="29" t="n"/>
      <c r="G37" s="29" t="n"/>
      <c r="H37" s="30" t="n"/>
    </row>
    <row r="38">
      <c r="A38" s="31" t="n"/>
      <c r="H38" s="32" t="n"/>
    </row>
    <row r="39">
      <c r="A39" s="33" t="n"/>
      <c r="B39" s="34" t="n"/>
      <c r="C39" s="34" t="n"/>
      <c r="D39" s="34" t="n"/>
      <c r="E39" s="34" t="n"/>
      <c r="F39" s="34" t="n"/>
      <c r="G39" s="34" t="n"/>
      <c r="H39" s="35" t="n"/>
    </row>
  </sheetData>
  <mergeCells count="42">
    <mergeCell ref="C10:H10"/>
    <mergeCell ref="A24:B24"/>
    <mergeCell ref="A30:B30"/>
    <mergeCell ref="C22:H22"/>
    <mergeCell ref="A11:B11"/>
    <mergeCell ref="C9:H9"/>
    <mergeCell ref="A1:H1"/>
    <mergeCell ref="C12:H12"/>
    <mergeCell ref="E32:H34"/>
    <mergeCell ref="A32:D34"/>
    <mergeCell ref="A6:B6"/>
    <mergeCell ref="C21:H21"/>
    <mergeCell ref="C11:H11"/>
    <mergeCell ref="A31:D31"/>
    <mergeCell ref="A7:B7"/>
    <mergeCell ref="C23:H23"/>
    <mergeCell ref="C8:H8"/>
    <mergeCell ref="C7:H7"/>
    <mergeCell ref="A12:B12"/>
    <mergeCell ref="A18:H18"/>
    <mergeCell ref="A21:B21"/>
    <mergeCell ref="C19:H19"/>
    <mergeCell ref="A26:H26"/>
    <mergeCell ref="A2:H2"/>
    <mergeCell ref="A5:B5"/>
    <mergeCell ref="A37:H39"/>
    <mergeCell ref="A14:H14"/>
    <mergeCell ref="A23:B23"/>
    <mergeCell ref="A27:H29"/>
    <mergeCell ref="A8:B8"/>
    <mergeCell ref="C30:H30"/>
    <mergeCell ref="A22:B22"/>
    <mergeCell ref="A4:H4"/>
    <mergeCell ref="C6:H6"/>
    <mergeCell ref="A20:B20"/>
    <mergeCell ref="C24:H24"/>
    <mergeCell ref="E31:H31"/>
    <mergeCell ref="C5:H5"/>
    <mergeCell ref="A19:B19"/>
    <mergeCell ref="A10:B10"/>
    <mergeCell ref="C20:H20"/>
    <mergeCell ref="A9:B9"/>
  </mergeCells>
  <pageMargins left="0.4" right="0.4" top="0.5" bottom="0.5" header="0.5" footer="0.5"/>
  <pageSetup orientation="portrait" paperSize="9" fitToHeight="1" fitToWidth="1"/>
  <headerFooter>
    <oddHeader/>
    <oddFooter>&amp;CTrang &amp;P /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4" customWidth="1" min="1" max="1"/>
    <col width="50" customWidth="1" min="2" max="2"/>
    <col width="50" customWidth="1" min="3" max="3"/>
  </cols>
  <sheetData>
    <row r="1" ht="34" customHeight="1">
      <c r="A1" s="6" t="inlineStr">
        <is>
          <t>Tên</t>
        </is>
      </c>
      <c r="B1" s="6" t="inlineStr">
        <is>
          <t>Địa chỉ ghi trong danh sách</t>
        </is>
      </c>
      <c r="C1" s="6" t="inlineStr">
        <is>
          <t>Lý do loại</t>
        </is>
      </c>
    </row>
    <row r="2">
      <c r="A2" s="9" t="inlineStr">
        <is>
          <t>Nhà Hàng Hoa Lư 2</t>
        </is>
      </c>
      <c r="B2" s="9" t="inlineStr">
        <is>
          <t>16 Trương Văn Của, Phường Hoa Lư, TP. Pleiku</t>
        </is>
      </c>
      <c r="C2" s="9" t="inlineStr">
        <is>
          <t>Toạ độ nằm ở Phường Quy Nhơn Nam, ngoài TP Pleiku cũ</t>
        </is>
      </c>
    </row>
    <row r="3">
      <c r="A3" s="9" t="inlineStr">
        <is>
          <t>Nhà hàng Hoa Lư 1 - Quy Nhơn</t>
        </is>
      </c>
      <c r="B3" s="9" t="inlineStr">
        <is>
          <t>49 Đường Hoa Lư, Phường Hoa Lư, TP. Pleiku</t>
        </is>
      </c>
      <c r="C3" s="9" t="inlineStr">
        <is>
          <t>Toạ độ nằm ở Phường Quy Nhơn, ngoài TP Pleiku cũ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2026-10-17T02:58:56Z</dcterms:created>
  <dcterms:modified xmlns:dcterms="http://purl.org/dc/terms/" xmlns:xsi="http://www.w3.org/2001/XMLSchema-instance" xsi:type="dcterms:W3CDTF">2026-10-17T03:14:55Z</dcterms:modified>
</cp:coreProperties>
</file>